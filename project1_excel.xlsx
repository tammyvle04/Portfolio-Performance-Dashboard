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tammyle/Documents/PROJECT 1 files/"/>
    </mc:Choice>
  </mc:AlternateContent>
  <xr:revisionPtr revIDLastSave="0" documentId="8_{DE6EFE6E-6223-D747-B434-2096F9A42A6B}" xr6:coauthVersionLast="47" xr6:coauthVersionMax="47" xr10:uidLastSave="{00000000-0000-0000-0000-000000000000}"/>
  <bookViews>
    <workbookView xWindow="0" yWindow="660" windowWidth="29400" windowHeight="18460" xr2:uid="{2EC01D91-F5FC-304F-9858-DCEE911BE647}"/>
  </bookViews>
  <sheets>
    <sheet name="Executive Overview" sheetId="2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</sheets>
  <definedNames>
    <definedName name="ExternalData_1" localSheetId="0" hidden="1">'Executive Overview'!$L$2:$S$1414</definedName>
    <definedName name="ExternalData_2" localSheetId="0" hidden="1">'Executive Overview'!$V$2:$AC$1413</definedName>
  </definedNames>
  <calcPr calcId="181029"/>
  <pivotCaches>
    <pivotCache cacheId="2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21" l="1"/>
  <c r="G11" i="21"/>
  <c r="G10" i="21"/>
  <c r="G9" i="21"/>
  <c r="G8" i="21"/>
  <c r="G7" i="21"/>
  <c r="G6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3AD2AC-F5C9-8044-B3FE-1222464A794B}" keepAlive="1" name="Query - cumulative_returns" description="Connection to the 'cumulative_returns' query in the workbook." type="5" refreshedVersion="0" background="1">
    <dbPr connection="Provider=Microsoft.Mashup.OleDb.1;Data Source=$Workbook$;Location=cumulative_returns;Extended Properties=&quot;&quot;" command="SELECT * FROM [cumulative_returns]"/>
  </connection>
  <connection id="2" xr16:uid="{46B82770-AF94-FA45-99EE-B0B28967C4F7}" keepAlive="1" name="Query - daily_returns" description="Connection to the 'daily_returns' query in the workbook." type="5" refreshedVersion="8" background="1" saveData="1">
    <dbPr connection="Provider=Microsoft.Mashup.OleDb.1;Data Source=$Workbook$;Location=daily_returns;Extended Properties=&quot;&quot;" command="SELECT * FROM [daily_returns]"/>
  </connection>
  <connection id="3" xr16:uid="{30C27F5B-D694-8843-89C4-3D33E0236F7B}" keepAlive="1" name="Query - daily_returns (2)" description="Connection to the 'daily_returns (2)' query in the workbook." type="5" refreshedVersion="0" background="1">
    <dbPr connection="Provider=Microsoft.Mashup.OleDb.1;Data Source=$Workbook$;Location=&quot;daily_returns (2)&quot;;Extended Properties=&quot;&quot;" command="SELECT * FROM [daily_returns (2)]"/>
  </connection>
  <connection id="4" xr16:uid="{D5BC3853-E6E1-2249-9D96-4DABFC6C1BFF}" keepAlive="1" name="Query - daily_returns (3)" description="Connection to the 'daily_returns (3)' query in the workbook." type="5" refreshedVersion="8" background="1" saveData="1">
    <dbPr connection="Provider=Microsoft.Mashup.OleDb.1;Data Source=$Workbook$;Location=&quot;daily_returns (3)&quot;;Extended Properties=&quot;&quot;" command="SELECT * FROM [daily_returns (3)]"/>
  </connection>
  <connection id="5" xr16:uid="{268F74B3-DF9B-0A46-9C40-E64998B55AE7}" keepAlive="1" name="Query - stock_prices" description="Connection to the 'stock_prices' query in the workbook." type="5" refreshedVersion="0" background="1">
    <dbPr connection="Provider=Microsoft.Mashup.OleDb.1;Data Source=$Workbook$;Location=stock_prices;Extended Properties=&quot;&quot;" command="SELECT * FROM [stock_prices]"/>
  </connection>
  <connection id="6" xr16:uid="{126F7AD4-0B59-5249-B93F-5E1424107860}" keepAlive="1" name="Query - stock_prices (2)" description="Connection to the 'stock_prices (2)' query in the workbook." type="5" refreshedVersion="8" background="1" saveData="1">
    <dbPr connection="Provider=Microsoft.Mashup.OleDb.1;Data Source=$Workbook$;Location=&quot;stock_prices (2)&quot;;Extended Properties=&quot;&quot;" command="SELECT * FROM [stock_prices (2)]"/>
  </connection>
</connections>
</file>

<file path=xl/sharedStrings.xml><?xml version="1.0" encoding="utf-8"?>
<sst xmlns="http://schemas.openxmlformats.org/spreadsheetml/2006/main" count="42" uniqueCount="27">
  <si>
    <t>Date</t>
  </si>
  <si>
    <t>AAPL</t>
  </si>
  <si>
    <t>JNJ</t>
  </si>
  <si>
    <t>JPM</t>
  </si>
  <si>
    <t>NVDA</t>
  </si>
  <si>
    <t>PG</t>
  </si>
  <si>
    <t>SPY</t>
  </si>
  <si>
    <t>XOM</t>
  </si>
  <si>
    <t>Average of SPY</t>
  </si>
  <si>
    <t>Average of PG</t>
  </si>
  <si>
    <t>Average of NVDA</t>
  </si>
  <si>
    <t>Average of JPM</t>
  </si>
  <si>
    <t>Average of JNJ</t>
  </si>
  <si>
    <t>Average of AAPL</t>
  </si>
  <si>
    <t>Average of XOM</t>
  </si>
  <si>
    <t>Values</t>
  </si>
  <si>
    <t>Ticker</t>
  </si>
  <si>
    <t>Latest Price</t>
  </si>
  <si>
    <t>Pivot Table Summary</t>
  </si>
  <si>
    <t>Latest Prices by Ticker</t>
  </si>
  <si>
    <t>Daily Returns by Ticker</t>
  </si>
  <si>
    <t>Stock Prices by Ticker</t>
  </si>
  <si>
    <t>Summary</t>
  </si>
  <si>
    <r>
      <t xml:space="preserve">• PG had the lowest average daily return </t>
    </r>
    <r>
      <rPr>
        <b/>
        <sz val="14"/>
        <color theme="1"/>
        <rFont val="Aptos Narrow"/>
        <scheme val="minor"/>
      </rPr>
      <t>(0.02%)</t>
    </r>
    <r>
      <rPr>
        <sz val="14"/>
        <color theme="1"/>
        <rFont val="Aptos Narrow"/>
        <family val="2"/>
        <scheme val="minor"/>
      </rPr>
      <t>.</t>
    </r>
  </si>
  <si>
    <r>
      <t xml:space="preserve">• NVDA's latest price as of 8/18/26 is </t>
    </r>
    <r>
      <rPr>
        <b/>
        <sz val="14"/>
        <color theme="1"/>
        <rFont val="Aptos Narrow"/>
        <scheme val="minor"/>
      </rPr>
      <t>$219.74</t>
    </r>
    <r>
      <rPr>
        <sz val="14"/>
        <color theme="1"/>
        <rFont val="Aptos Narrow"/>
        <family val="2"/>
        <scheme val="minor"/>
      </rPr>
      <t>.</t>
    </r>
  </si>
  <si>
    <r>
      <t xml:space="preserve">• NVDA had the highest average daily return </t>
    </r>
    <r>
      <rPr>
        <b/>
        <sz val="14"/>
        <color theme="1"/>
        <rFont val="Aptos Narrow"/>
        <scheme val="minor"/>
      </rPr>
      <t>(0.25%)</t>
    </r>
    <r>
      <rPr>
        <sz val="14"/>
        <color theme="1"/>
        <rFont val="Aptos Narrow"/>
        <family val="2"/>
        <scheme val="minor"/>
      </rPr>
      <t>.</t>
    </r>
  </si>
  <si>
    <r>
      <t xml:space="preserve">• NVDA's returns were the primary driver of this portfolio's outperformance </t>
    </r>
    <r>
      <rPr>
        <b/>
        <sz val="14"/>
        <color theme="1"/>
        <rFont val="Aptos Narrow"/>
        <scheme val="minor"/>
      </rPr>
      <t>(see Tableau dashboard)</t>
    </r>
    <r>
      <rPr>
        <sz val="14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</si>
</sst>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1" xfId="3" applyAlignment="1">
      <alignment horizontal="center"/>
    </xf>
    <xf numFmtId="10" fontId="4" fillId="2" borderId="3" xfId="0" applyNumberFormat="1" applyFont="1" applyFill="1" applyBorder="1"/>
    <xf numFmtId="44" fontId="4" fillId="2" borderId="3" xfId="5" applyNumberFormat="1" applyAlignment="1">
      <alignment horizontal="center" vertical="center"/>
    </xf>
    <xf numFmtId="0" fontId="0" fillId="0" borderId="0" xfId="0" pivotButton="1" applyAlignment="1">
      <alignment horizontal="center"/>
    </xf>
    <xf numFmtId="0" fontId="2" fillId="0" borderId="1" xfId="3" applyAlignment="1">
      <alignment horizontal="center"/>
    </xf>
    <xf numFmtId="0" fontId="3" fillId="0" borderId="2" xfId="4" applyAlignment="1">
      <alignment horizontal="center"/>
    </xf>
    <xf numFmtId="14" fontId="3" fillId="0" borderId="2" xfId="4" applyNumberFormat="1" applyAlignment="1">
      <alignment horizontal="center"/>
    </xf>
    <xf numFmtId="0" fontId="3" fillId="0" borderId="2" xfId="0" applyFont="1" applyBorder="1" applyAlignment="1">
      <alignment horizontal="center"/>
    </xf>
    <xf numFmtId="44" fontId="0" fillId="0" borderId="0" xfId="1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/>
    <xf numFmtId="0" fontId="6" fillId="0" borderId="0" xfId="0" applyFont="1" applyAlignment="1">
      <alignment horizontal="left" wrapText="1"/>
    </xf>
  </cellXfs>
  <cellStyles count="6">
    <cellStyle name="Currency" xfId="1" builtinId="4"/>
    <cellStyle name="Heading 1" xfId="3" builtinId="16"/>
    <cellStyle name="Heading 2" xfId="4" builtinId="17"/>
    <cellStyle name="Normal" xfId="0" builtinId="0"/>
    <cellStyle name="Output" xfId="5" builtinId="21"/>
    <cellStyle name="Percent" xfId="2" builtinId="5"/>
  </cellStyles>
  <dxfs count="23">
    <dxf>
      <font>
        <b/>
      </font>
      <numFmt numFmtId="19" formatCode="m/d/yy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numFmt numFmtId="19" formatCode="m/d/yy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mmy Le" refreshedDate="46275.61683796296" createdVersion="8" refreshedVersion="8" minRefreshableVersion="3" recordCount="1411" xr:uid="{75901C86-EB8A-AE4F-885F-6FA3D6E19167}">
  <cacheSource type="worksheet">
    <worksheetSource name="daily_returns"/>
  </cacheSource>
  <cacheFields count="8">
    <cacheField name="Date" numFmtId="14">
      <sharedItems containsSemiMixedTypes="0" containsNonDate="0" containsDate="1" containsString="0" minDate="2021-01-05T00:00:00" maxDate="2026-08-19T00:00:00" count="1411"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7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3T00:00:00"/>
        <d v="2026-03-24T00:00:00"/>
        <d v="2026-03-25T00:00:00"/>
        <d v="2026-03-26T00:00:00"/>
        <d v="2026-03-27T00:00:00"/>
        <d v="2026-03-30T00:00:00"/>
        <d v="2026-03-31T00:00:00"/>
        <d v="2026-04-01T00:00:00"/>
        <d v="2026-04-02T00:00:00"/>
        <d v="2026-04-06T00:00:00"/>
        <d v="2026-04-07T00:00:00"/>
        <d v="2026-04-08T00:00:00"/>
        <d v="2026-04-09T00:00:00"/>
        <d v="2026-04-10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1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2T00:00:00"/>
        <d v="2026-06-15T00:00:00"/>
        <d v="2026-06-16T00:00:00"/>
        <d v="2026-06-17T00:00:00"/>
        <d v="2026-06-18T00:00:00"/>
        <d v="2026-06-22T00:00:00"/>
        <d v="2026-06-23T00:00:00"/>
        <d v="2026-06-24T00:00:00"/>
        <d v="2026-06-25T00:00:00"/>
        <d v="2026-06-26T00:00:00"/>
        <d v="2026-06-29T00:00:00"/>
        <d v="2026-06-30T00:00:00"/>
        <d v="2026-07-01T00:00:00"/>
        <d v="2026-07-02T00:00:00"/>
        <d v="2026-07-06T00:00:00"/>
        <d v="2026-07-07T00:00:00"/>
        <d v="2026-07-08T00:00:00"/>
        <d v="2026-07-09T00:00:00"/>
        <d v="2026-07-10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26-08-18T00:00:00"/>
      </sharedItems>
    </cacheField>
    <cacheField name="AAPL" numFmtId="0">
      <sharedItems containsSemiMixedTypes="0" containsString="0" containsNumber="1" minValue="-9.2456118552115774E-2" maxValue="0.15328859263586048" count="1409">
        <n v="1.2363891376538705E-2"/>
        <n v="-3.36615618801549E-2"/>
        <n v="3.4122993097856158E-2"/>
        <n v="8.6313486693891939E-3"/>
        <n v="-2.3248878522382443E-2"/>
        <n v="-1.3953047689871934E-3"/>
        <n v="1.6226150195081779E-2"/>
        <n v="-1.512666899626669E-2"/>
        <n v="-1.3730362009261365E-2"/>
        <n v="5.4268562130970199E-3"/>
        <n v="3.2856250101823692E-2"/>
        <n v="3.6658057688290002E-2"/>
        <n v="1.607404067809215E-2"/>
        <n v="2.7683607646067143E-2"/>
        <n v="1.679094177739815E-3"/>
        <n v="-7.6835700670138118E-3"/>
        <n v="-3.4985299197347497E-2"/>
        <n v="-3.7420453275166743E-2"/>
        <n v="1.6519664670841205E-2"/>
        <n v="6.3368362219422547E-3"/>
        <n v="-7.7784554308067966E-3"/>
        <n v="2.5758241263059034E-2"/>
        <n v="-3.0980999784467889E-3"/>
        <n v="1.0967304304996262E-3"/>
        <n v="-6.5737467387466664E-3"/>
        <n v="-4.5582349915932463E-3"/>
        <n v="-1.9204130389171015E-3"/>
        <n v="1.7757960508106851E-3"/>
        <n v="-1.6103969700121068E-2"/>
        <n v="-1.7643621574131907E-2"/>
        <n v="-8.6366309864243096E-3"/>
        <n v="1.2335945715304941E-3"/>
        <n v="-2.9799216719285426E-2"/>
        <n v="-1.1110452344880173E-3"/>
        <n v="-4.0521570022079567E-3"/>
        <n v="-3.4782638091027218E-2"/>
        <n v="2.2316053244360035E-3"/>
        <n v="5.3851298509891787E-2"/>
        <n v="-2.0893746564336513E-2"/>
        <n v="-2.4456613086842993E-2"/>
        <n v="-1.5811786573089792E-2"/>
        <n v="1.0738327281734295E-2"/>
        <n v="-4.1673608735153578E-2"/>
        <n v="4.064978804955266E-2"/>
        <n v="-9.1666645065463515E-3"/>
        <n v="1.6502780581574061E-2"/>
        <n v="-7.6255407003591458E-3"/>
        <n v="2.4456686295035945E-2"/>
        <n v="1.2743149019505573E-2"/>
        <n v="-6.4506932690819863E-3"/>
        <n v="-3.3905172618209356E-2"/>
        <n v="-4.4802447936588274E-3"/>
        <n v="2.833590531564889E-2"/>
        <n v="-6.8886812137485265E-3"/>
        <n v="-1.999350026655311E-2"/>
        <n v="4.1635394489449862E-3"/>
        <n v="5.1412966721249287E-3"/>
        <n v="1.4850581680692088E-3"/>
        <n v="-1.2274497797985728E-2"/>
        <n v="1.8765684319319575E-2"/>
        <n v="6.9584186992381891E-3"/>
        <n v="2.3577445888553372E-2"/>
        <n v="2.4620721407955237E-3"/>
        <n v="1.3390628568245244E-2"/>
        <n v="1.9233598554814213E-2"/>
        <n v="2.025177076734419E-2"/>
        <n v="-1.3232870411397535E-2"/>
        <n v="2.4306293402066803E-2"/>
        <n v="-1.7853117211961034E-2"/>
        <n v="1.8708033667209634E-2"/>
        <n v="-2.5282141440670092E-3"/>
        <n v="5.0690104620576548E-3"/>
        <n v="-1.2830337395914659E-2"/>
        <n v="2.9297845631515163E-3"/>
        <n v="-1.1685374237629276E-2"/>
        <n v="1.8038744088231695E-2"/>
        <n v="2.97817017270674E-3"/>
        <n v="-2.4497617688516993E-3"/>
        <n v="-6.0273936768713288E-3"/>
        <n v="-7.4852040625705829E-4"/>
        <n v="-1.5133590050284029E-2"/>
        <n v="8.2156665750796609E-3"/>
        <n v="-3.538551876618079E-2"/>
        <n v="1.9555372897164247E-3"/>
        <n v="1.2802174881176187E-2"/>
        <n v="5.327648733847834E-3"/>
        <n v="-2.5804425494588501E-2"/>
        <n v="-7.4104229347818906E-3"/>
        <n v="-2.4938439237919496E-2"/>
        <n v="1.7919642080616915E-2"/>
        <n v="1.9844673743902641E-2"/>
        <n v="-9.258284350035284E-3"/>
        <n v="-1.1245947640302068E-2"/>
        <n v="-1.2813864222107618E-3"/>
        <n v="2.1011932962505364E-2"/>
        <n v="-1.476711308837042E-2"/>
        <n v="1.3314336110322955E-2"/>
        <n v="-1.5736553866048109E-3"/>
        <n v="-3.9384872492709277E-4"/>
        <n v="-1.2376971818160665E-2"/>
        <n v="-5.3479433497936046E-3"/>
        <n v="-2.6481772878125254E-3"/>
        <n v="6.2760224514024632E-3"/>
        <n v="-1.2154232527174846E-2"/>
        <n v="1.9022206439994083E-2"/>
        <n v="7.9463931464740512E-5"/>
        <n v="6.6718887598333776E-3"/>
        <n v="3.0771963709295136E-3"/>
        <n v="-8.0231824645485839E-3"/>
        <n v="9.8326720717611948E-3"/>
        <n v="2.4577958015466583E-2"/>
        <n v="-6.4378773652502552E-3"/>
        <n v="3.9338007204232639E-3"/>
        <n v="1.2601133948570098E-2"/>
        <n v="-1.0092053086260711E-2"/>
        <n v="1.4104016476002679E-2"/>
        <n v="1.2698274724787906E-2"/>
        <n v="-2.0899391857165384E-3"/>
        <n v="-2.168845335945413E-3"/>
        <n v="-2.2489552340470009E-3"/>
        <n v="1.2546264881416525E-2"/>
        <n v="1.1500252193924476E-2"/>
        <n v="4.621305122210817E-3"/>
        <n v="2.263417089451103E-3"/>
        <n v="1.9596331012404766E-2"/>
        <n v="1.4718472633550084E-2"/>
        <n v="1.7955322953773001E-2"/>
        <n v="-9.1999148619628102E-3"/>
        <n v="1.3055214686348071E-2"/>
        <n v="-4.2039190078336786E-3"/>
        <n v="7.8891688924673797E-3"/>
        <n v="2.4100711955978626E-2"/>
        <n v="-4.492057567834884E-3"/>
        <n v="-1.4075974830662474E-2"/>
        <n v="-2.691434319637831E-2"/>
        <n v="2.5973883134903675E-2"/>
        <n v="-5.1316372312293357E-3"/>
        <n v="9.6286311831361715E-3"/>
        <n v="1.1989071154892894E-2"/>
        <n v="2.8946321010872023E-3"/>
        <n v="-1.490049772432378E-2"/>
        <n v="-1.2196052748862152E-2"/>
        <n v="4.5522062649572259E-3"/>
        <n v="1.5107051581819686E-3"/>
        <n v="-2.3310090913758463E-3"/>
        <n v="1.2644270817800285E-2"/>
        <n v="-2.7821130343596012E-3"/>
        <n v="7.4856540069090372E-4"/>
        <n v="-4.7670566501478717E-3"/>
        <n v="-3.4212737714833796E-4"/>
        <n v="-3.3541242921396597E-3"/>
        <n v="1.7857465194059952E-3"/>
        <n v="2.0773190590982926E-2"/>
        <n v="1.4106891698872914E-3"/>
        <n v="1.3547817802567641E-2"/>
        <n v="-6.1541130786186837E-3"/>
        <n v="-2.5501141458932119E-2"/>
        <n v="2.3233116468823756E-3"/>
        <n v="1.0156603994711855E-2"/>
        <n v="1.0257174675265546E-2"/>
        <n v="-6.0106057095943299E-4"/>
        <n v="-8.4212681327131556E-3"/>
        <n v="-5.5273087095445428E-3"/>
        <n v="7.1845734934854466E-3"/>
        <n v="3.0417006446499917E-2"/>
        <n v="-8.424635637931277E-3"/>
        <n v="4.478909128189601E-3"/>
        <n v="7.4747141526274596E-3"/>
        <n v="4.2303685050188999E-3"/>
        <n v="1.5489368915738044E-2"/>
        <n v="-1.0083540952678716E-2"/>
        <n v="-6.7050397733519063E-3"/>
        <n v="-3.3101655590473622E-2"/>
        <n v="3.8932207572630606E-3"/>
        <n v="-9.5620879828418603E-3"/>
        <n v="6.143990239238839E-3"/>
        <n v="-1.6107011693748952E-3"/>
        <n v="-1.8347919690815062E-2"/>
        <n v="-2.1360934729269254E-2"/>
        <n v="3.4278205726365751E-3"/>
        <n v="1.6872118679090775E-2"/>
        <n v="6.719610941101628E-3"/>
        <n v="6.1274346590756146E-4"/>
        <n v="-1.0549642822460736E-2"/>
        <n v="-2.3801452638584131E-2"/>
        <n v="6.4828526359526073E-3"/>
        <n v="-9.3116427133150825E-3"/>
        <n v="8.1271842982488796E-3"/>
        <n v="-2.4605681900557119E-2"/>
        <n v="1.415860429676008E-2"/>
        <n v="6.3068561339907347E-3"/>
        <n v="9.0843660173893781E-3"/>
        <n v="-2.7219117994019548E-3"/>
        <n v="-6.2959524612349327E-4"/>
        <n v="-9.1028405064517148E-3"/>
        <n v="-4.2400762714037699E-3"/>
        <n v="2.0225734015244079E-2"/>
        <n v="7.5125557489181816E-3"/>
        <n v="1.1805861282210062E-2"/>
        <n v="1.5080452565160662E-2"/>
        <n v="3.3611223694203218E-3"/>
        <n v="1.4739565204313632E-3"/>
        <n v="-5.2850586862444038E-3"/>
        <n v="-3.3636517916524333E-4"/>
        <n v="4.5748216517351725E-3"/>
        <n v="-3.1474660446748626E-3"/>
        <n v="2.4991437005525752E-2"/>
        <n v="-1.81555276677412E-2"/>
        <n v="-5.6074333006388422E-3"/>
        <n v="7.1158739777417157E-3"/>
        <n v="9.7987750436254739E-3"/>
        <n v="-3.4985168634750208E-3"/>
        <n v="3.582304609056397E-3"/>
        <n v="-5.5528466819534383E-3"/>
        <n v="2.4595950738319772E-3"/>
        <n v="-1.9163189572467099E-2"/>
        <n v="-3.3804583948049416E-4"/>
        <n v="1.4336891814844543E-2"/>
        <n v="6.6446975053535695E-5"/>
        <n v="6.6670631003327152E-3"/>
        <n v="1.6489973721066642E-2"/>
        <n v="2.8536200238252762E-2"/>
        <n v="1.6975914407194148E-2"/>
        <n v="2.9275194711473329E-3"/>
        <n v="2.4218715059598495E-3"/>
        <n v="3.2835576778371678E-3"/>
        <n v="-3.167849356535879E-2"/>
        <n v="2.1873889245747069E-2"/>
        <n v="3.1577339349308842E-2"/>
        <n v="-3.2059081549461466E-3"/>
        <n v="-6.1300050655165306E-3"/>
        <n v="-1.1724359831046693E-2"/>
        <n v="2.1502625956989485E-2"/>
        <n v="3.5446204028254824E-2"/>
        <n v="2.2783100972958659E-2"/>
        <n v="-2.9700791824822659E-3"/>
        <n v="2.8013527950348394E-2"/>
        <n v="-2.0674416460769507E-2"/>
        <n v="-8.0229986880927529E-3"/>
        <n v="2.8509089879418692E-2"/>
        <n v="-3.9263964779708949E-2"/>
        <n v="-6.5016150884262824E-3"/>
        <n v="-8.1219909698860837E-3"/>
        <n v="1.9086862992086617E-2"/>
        <n v="1.5318684055516396E-2"/>
        <n v="3.6437514141338667E-3"/>
        <n v="2.2974937261849071E-2"/>
        <n v="-5.767306336942335E-3"/>
        <n v="5.0220927646060787E-4"/>
        <n v="-6.5783039716534875E-3"/>
        <n v="-3.5354773240650061E-3"/>
        <n v="2.5004176497233521E-2"/>
        <n v="-1.2691427508160436E-2"/>
        <n v="-2.6599997305176148E-2"/>
        <n v="-1.669321862719686E-2"/>
        <n v="9.8831873015670091E-4"/>
        <n v="1.1595517851481496E-4"/>
        <n v="1.6783790801193632E-2"/>
        <n v="2.5702676943573088E-3"/>
        <n v="-1.902810541526434E-2"/>
        <n v="5.1106898823509717E-3"/>
        <n v="-1.8893933015570186E-2"/>
        <n v="-2.1024980809186244E-2"/>
        <n v="-1.0346813677006073E-2"/>
        <n v="-1.2765184865006107E-2"/>
        <n v="-4.864518705529175E-3"/>
        <n v="-1.1384538983003956E-2"/>
        <n v="-5.6333616239800932E-4"/>
        <n v="-2.9430900528232273E-3"/>
        <n v="6.9777561017151601E-2"/>
        <n v="2.6125692436272274E-2"/>
        <n v="-9.7242026645383284E-4"/>
        <n v="7.0442053453223519E-3"/>
        <n v="-1.6719945815886983E-2"/>
        <n v="-1.6790400704574937E-3"/>
        <n v="-4.2347966835133422E-3"/>
        <n v="1.8466848413484005E-2"/>
        <n v="8.2935631141776156E-3"/>
        <n v="-2.359877149951084E-2"/>
        <n v="-2.0218474129141795E-2"/>
        <n v="1.4233141729433907E-3"/>
        <n v="2.3152404545766947E-2"/>
        <n v="-1.3888586664302371E-3"/>
        <n v="-2.1269181572092122E-2"/>
        <n v="-9.3559486003444992E-3"/>
        <n v="-1.7812279308341838E-2"/>
        <n v="-2.5863952319992944E-2"/>
        <n v="1.6680259946128428E-2"/>
        <n v="1.2965349520295488E-2"/>
        <n v="1.6378402616457066E-3"/>
        <n v="-1.1628019040672122E-2"/>
        <n v="2.0588029760836735E-2"/>
        <n v="-1.9810872206666996E-3"/>
        <n v="-1.8408312643139579E-2"/>
        <n v="-2.3717358298651625E-2"/>
        <n v="-1.1676179803825737E-2"/>
        <n v="3.4997437420947408E-2"/>
        <n v="-2.718628217210306E-2"/>
        <n v="-2.3908580381905797E-2"/>
        <n v="-2.6562525522565994E-2"/>
        <n v="2.9677587757936719E-2"/>
        <n v="2.9015156773569917E-2"/>
        <n v="6.4539730025887643E-3"/>
        <n v="2.0919121510930117E-2"/>
        <n v="8.53767567164887E-3"/>
        <n v="2.0800494324466401E-2"/>
        <n v="8.2338514735069701E-3"/>
        <n v="2.2677630639434954E-2"/>
        <n v="3.7341387832656725E-3"/>
        <n v="5.0367051022823794E-3"/>
        <n v="1.9134292411265186E-2"/>
        <n v="-6.6493426153703128E-3"/>
        <n v="-1.7775880173610314E-2"/>
        <n v="-1.7181117336425578E-3"/>
        <n v="2.3693627033515297E-2"/>
        <n v="-1.894227820915384E-2"/>
        <n v="-1.8450767237215282E-2"/>
        <n v="1.8040180327349997E-3"/>
        <n v="-1.1908878113133681E-2"/>
        <n v="-2.5515722991805601E-2"/>
        <n v="1.1523298902931467E-2"/>
        <n v="1.6342490297972301E-2"/>
        <n v="-2.9988127729045244E-2"/>
        <n v="-1.3310609713139687E-3"/>
        <n v="1.4115367828261505E-2"/>
        <n v="-1.0156758732058346E-3"/>
        <n v="-4.8434993767552115E-3"/>
        <n v="-2.7821354598196679E-2"/>
        <n v="6.7373717191618887E-3"/>
        <n v="-3.7328147934441946E-2"/>
        <n v="-1.4669104386652032E-3"/>
        <n v="4.5155402270629308E-2"/>
        <n v="-3.6604776811826389E-2"/>
        <n v="1.9665794313723506E-3"/>
        <n v="9.6227779771247413E-3"/>
        <n v="4.1008084890123531E-2"/>
        <n v="-5.5715884062034982E-2"/>
        <n v="4.7268962966839911E-3"/>
        <n v="-3.3189242579600209E-2"/>
        <n v="1.6111977665936639E-2"/>
        <n v="-5.1841060553478702E-2"/>
        <n v="-2.6894371794905836E-2"/>
        <n v="3.1916408381498007E-2"/>
        <n v="-1.0672308863692415E-2"/>
        <n v="2.5422725545499736E-2"/>
        <n v="-5.6419207883874667E-2"/>
        <n v="-2.4641650911512603E-2"/>
        <n v="1.7472672366125597E-3"/>
        <n v="4.0119428942157143E-2"/>
        <n v="-1.9215977242796556E-2"/>
        <n v="1.1400867118520619E-3"/>
        <n v="2.3199598497269269E-2"/>
        <n v="4.0756601529724268E-2"/>
        <n v="-5.3463971914523567E-3"/>
        <n v="-8.7312578087561654E-4"/>
        <n v="1.6811202621624499E-2"/>
        <n v="-3.8555521694435213E-2"/>
        <n v="5.227450851803539E-3"/>
        <n v="1.7586011524523659E-2"/>
        <n v="-5.0433503107165656E-3"/>
        <n v="-3.5955885712889879E-2"/>
        <n v="-3.862848720145351E-2"/>
        <n v="-3.8285233773200478E-2"/>
        <n v="6.6729667473863774E-3"/>
        <n v="2.0111617122291925E-2"/>
        <n v="-3.9651603904165666E-2"/>
        <n v="1.1533028386721655E-2"/>
        <n v="3.276131562494089E-2"/>
        <n v="-3.8276110836188426E-3"/>
        <n v="2.1573747057086923E-2"/>
        <n v="2.4517211802179029E-2"/>
        <n v="0"/>
        <n v="-2.9789658088546611E-2"/>
        <n v="1.3023774472354699E-2"/>
        <n v="-1.8027582140253684E-2"/>
        <n v="1.6164309169802271E-2"/>
        <n v="1.8930600059564595E-2"/>
        <n v="9.6071563459900755E-3"/>
        <n v="2.3999443655454034E-2"/>
        <n v="4.7145378720350184E-3"/>
        <n v="-1.4757640828611307E-2"/>
        <n v="6.8337078400368956E-3"/>
        <n v="-2.5365023396081154E-3"/>
        <n v="2.0482284029457176E-2"/>
        <n v="1.145005928902898E-2"/>
        <n v="-2.0643380322016958E-2"/>
        <n v="2.6722137940516699E-2"/>
        <n v="1.350967116531665E-2"/>
        <n v="1.5094391863988088E-2"/>
        <n v="-8.1108576809316713E-3"/>
        <n v="-7.398306148010847E-3"/>
        <n v="-8.8262330279929024E-3"/>
        <n v="3.423471915353149E-2"/>
        <n v="3.571663129978031E-3"/>
        <n v="3.2792908352759831E-2"/>
        <n v="-6.153186033797664E-3"/>
        <n v="-9.2875984050513338E-3"/>
        <n v="3.8247848935157647E-2"/>
        <n v="-1.9263800793001273E-3"/>
        <n v="-1.3890167707990564E-3"/>
        <n v="-2.9028906219716877E-3"/>
        <n v="3.0345743320681073E-4"/>
        <n v="2.6194411549467E-2"/>
        <n v="-4.431476471552287E-3"/>
        <n v="2.142548888062823E-2"/>
        <n v="6.3334070953251498E-3"/>
        <n v="-9.2358779635293153E-4"/>
        <n v="8.7845328207336593E-3"/>
        <n v="-2.2917809519438226E-3"/>
        <n v="-1.5101772934117519E-2"/>
        <n v="-2.3029523117955919E-2"/>
        <n v="-2.0290736094356054E-3"/>
        <n v="1.7941196115711655E-3"/>
        <n v="1.4922580391143025E-2"/>
        <n v="-3.7699183689863802E-2"/>
        <n v="-1.3690310027694719E-2"/>
        <n v="-1.5305406340217709E-2"/>
        <n v="-1.0635009970383025E-2"/>
        <n v="4.7068513640102783E-3"/>
        <n v="-1.3611016372673257E-2"/>
        <n v="-8.215378486413738E-3"/>
        <n v="9.2540131059424269E-3"/>
        <n v="-9.6177344803446418E-3"/>
        <n v="1.8839613254777232E-2"/>
        <n v="3.8508129888411791E-2"/>
        <n v="-5.8679529254712315E-2"/>
        <n v="9.5554054651232345E-3"/>
        <n v="-1.8929927794742119E-2"/>
        <n v="-1.0960082030874729E-2"/>
        <n v="2.5082755119379518E-2"/>
        <n v="1.5665573110791309E-2"/>
        <n v="-2.0267808894904094E-2"/>
        <n v="-6.3748730156384381E-3"/>
        <n v="-1.5123933263578193E-2"/>
        <n v="2.2602660817994114E-3"/>
        <n v="6.5661567428989542E-3"/>
        <n v="-1.2651676294060055E-2"/>
        <n v="-4.9119104343757103E-2"/>
        <n v="-3.0038993827569582E-2"/>
        <n v="3.0752361143615126E-2"/>
        <n v="2.5623090060154841E-2"/>
        <n v="2.0532778920971939E-3"/>
        <n v="-6.6258205633472622E-3"/>
        <n v="-3.6718510566945417E-2"/>
        <n v="2.3553578728086055E-3"/>
        <n v="-1.0254579690193388E-2"/>
        <n v="-4.6047243170793672E-3"/>
        <n v="3.3612317056796348E-2"/>
        <n v="-3.2239986630998585E-2"/>
        <n v="2.9122950088931177E-2"/>
        <n v="9.4093028153843239E-3"/>
        <n v="7.6534593268196005E-4"/>
        <n v="-3.2673186597050874E-3"/>
        <n v="2.7059416798558944E-2"/>
        <n v="1.4802355328782379E-2"/>
        <n v="1.9337728269999355E-2"/>
        <n v="-1.9627095700026298E-2"/>
        <n v="-3.0465295901610734E-2"/>
        <n v="7.5552541583308708E-2"/>
        <n v="-1.5410470057594772E-2"/>
        <n v="-1.7542969704298916E-2"/>
        <n v="-3.7304689194196161E-2"/>
        <n v="-4.2405158677163768E-2"/>
        <n v="-1.9470784917277051E-3"/>
        <n v="3.9019784757052811E-3"/>
        <n v="4.1751424462008746E-3"/>
        <n v="-3.3189897516686218E-2"/>
        <n v="8.8974578066846055E-2"/>
        <n v="1.9268901402117677E-2"/>
        <n v="-9.4857219808860416E-3"/>
        <n v="1.1869365337745297E-2"/>
        <n v="-8.3308602261953357E-3"/>
        <n v="1.2971046458149837E-2"/>
        <n v="3.7818013946293583E-3"/>
        <n v="-2.168026715750937E-2"/>
        <n v="1.4661148444560901E-2"/>
        <n v="5.9265119549929413E-3"/>
        <n v="-1.9593587149543068E-2"/>
        <n v="-2.6264318675480958E-2"/>
        <n v="-2.1148398042313166E-2"/>
        <n v="4.8593890340873358E-2"/>
        <n v="1.8913734506229574E-3"/>
        <n v="-3.3711738663653179E-3"/>
        <n v="-7.98307954898414E-3"/>
        <n v="-2.5370009985140385E-2"/>
        <n v="-1.3784802711728883E-2"/>
        <n v="1.2132563733178614E-2"/>
        <n v="-3.4347084215954338E-3"/>
        <n v="1.6389749575586476E-2"/>
        <n v="6.7825832720642687E-3"/>
        <n v="-1.5535844310584523E-2"/>
        <n v="-4.6854262297108762E-2"/>
        <n v="-1.4578683234133138E-2"/>
        <n v="-1.5909753780946501E-2"/>
        <n v="-5.285776286939603E-4"/>
        <n v="2.3809255481801239E-2"/>
        <n v="-2.37724602531032E-2"/>
        <n v="-2.7980258073306841E-3"/>
        <n v="-1.3878618682272137E-2"/>
        <n v="-3.0685035536623051E-2"/>
        <n v="2.8324068844473027E-2"/>
        <n v="2.4687948051356212E-3"/>
        <n v="-3.7404697178113122E-2"/>
        <n v="1.0314486855179439E-2"/>
        <n v="-1.0604591902109939E-2"/>
        <n v="3.6794044547256544E-2"/>
        <n v="4.0888781316612555E-3"/>
        <n v="4.4564784810383617E-3"/>
        <n v="2.111228330291981E-2"/>
        <n v="-5.9965179707055505E-4"/>
        <n v="1.0119287520573783E-2"/>
        <n v="8.7567278880806843E-3"/>
        <n v="-5.3703201638527487E-3"/>
        <n v="4.4373063632097143E-4"/>
        <n v="1.9220755959375779E-2"/>
        <n v="2.350039427734596E-2"/>
        <n v="1.0063162496575684E-2"/>
        <n v="-4.7009695824679065E-3"/>
        <n v="1.4803421363618785E-2"/>
        <n v="1.3684262197631636E-2"/>
        <n v="-2.0077999513833378E-2"/>
        <n v="9.0212075109066259E-3"/>
        <n v="7.9005507318603563E-3"/>
        <n v="3.7062553050247748E-2"/>
        <n v="2.439992383744749E-2"/>
        <n v="-1.7928774259752367E-2"/>
        <n v="1.9244680405687165E-2"/>
        <n v="-1.7652682775942785E-2"/>
        <n v="-6.9116257149239857E-3"/>
        <n v="2.4561386893264814E-3"/>
        <n v="1.8806646657534731E-2"/>
        <n v="-4.2249671001702849E-3"/>
        <n v="1.3903481974283594E-2"/>
        <n v="-1.0429231399270544E-2"/>
        <n v="-7.5466116922138227E-3"/>
        <n v="-2.6679757117780256E-2"/>
        <n v="2.8958482641099348E-3"/>
        <n v="3.2907161689352815E-3"/>
        <n v="-1.8005478059735514E-2"/>
        <n v="8.2474667045500105E-3"/>
        <n v="-3.4476656391254634E-3"/>
        <n v="-1.4245915784375396E-2"/>
        <n v="4.1288860449222309E-3"/>
        <n v="3.5090184273313341E-2"/>
        <n v="1.8539554214899168E-2"/>
        <n v="-1.4496452879748767E-2"/>
        <n v="8.3771006684167926E-3"/>
        <n v="-1.4914540015398936E-2"/>
        <n v="-1.3878869980398112E-2"/>
        <n v="1.3265831456250599E-2"/>
        <n v="1.4089466997228905E-2"/>
        <n v="2.6214014039955824E-3"/>
        <n v="1.8693904021146679E-2"/>
        <n v="-5.4537340565841141E-3"/>
        <n v="1.5483755428238766E-2"/>
        <n v="1.1944199122990495E-2"/>
        <n v="-9.103626934429454E-3"/>
        <n v="6.9695675122689593E-3"/>
        <n v="8.3055165529763997E-3"/>
        <n v="-1.229323777571123E-2"/>
        <n v="-3.9803285980427594E-3"/>
        <n v="1.9790737206288878E-2"/>
        <n v="9.8899777115715182E-3"/>
        <n v="1.5644241362892108E-2"/>
        <n v="7.7015404115281516E-3"/>
        <n v="-3.2495971716437477E-3"/>
        <n v="-1.1290406090035066E-2"/>
        <n v="5.4959852546458965E-3"/>
        <n v="-1.5972239880732042E-2"/>
        <n v="-7.5912222933115503E-3"/>
        <n v="-4.3532778523469595E-3"/>
        <n v="3.4103547267944512E-2"/>
        <n v="-2.1141526271889477E-3"/>
        <n v="1.2117999086513898E-4"/>
        <n v="7.5046469382764602E-3"/>
        <n v="6.9685340032525911E-3"/>
        <n v="-5.8464524971802989E-3"/>
        <n v="-9.7809189541386843E-3"/>
        <n v="1.878525642109885E-3"/>
        <n v="-9.4356099069964339E-3"/>
        <n v="-6.1170083321959723E-5"/>
        <n v="2.8395355637726771E-2"/>
        <n v="7.541025360294773E-3"/>
        <n v="-5.3044172525529287E-4"/>
        <n v="-6.1915578062220478E-3"/>
        <n v="-6.4671514216241288E-3"/>
        <n v="-9.9133896930382326E-3"/>
        <n v="4.6926674708962501E-2"/>
        <n v="-4.0312100715211852E-4"/>
        <n v="-9.9710792403073789E-3"/>
        <n v="1.0420888216680968E-2"/>
        <n v="1.0945291679513858E-3"/>
        <n v="-5.4173955178009603E-3"/>
        <n v="-2.8973635848948964E-3"/>
        <n v="3.6032713387426085E-3"/>
        <n v="1.366608410531156E-2"/>
        <n v="6.2828851801399743E-4"/>
        <n v="-5.4808552443472713E-3"/>
        <n v="-1.5154905402187002E-2"/>
        <n v="1.6320108088221374E-3"/>
        <n v="6.6925079922044439E-3"/>
        <n v="1.4104665409986339E-2"/>
        <n v="1.0659624690817493E-2"/>
        <n v="-2.8203299585161101E-4"/>
        <n v="1.6022403354387427E-2"/>
        <n v="4.775489232899055E-3"/>
        <n v="-7.5711763492632977E-3"/>
        <n v="-2.0603224682338439E-3"/>
        <n v="-7.7563323131142337E-3"/>
        <n v="1.5465236420487694E-2"/>
        <n v="2.1597449711938665E-3"/>
        <n v="1.5638804671419537E-2"/>
        <n v="-2.6116225333775445E-3"/>
        <n v="3.4913939268601535E-3"/>
        <n v="1.1198445855741701E-2"/>
        <n v="-5.8599067190366894E-3"/>
        <n v="4.8680737769846161E-4"/>
        <n v="-5.6751213977939141E-3"/>
        <n v="1.6525268242551627E-2"/>
        <n v="-1.7114152707000674E-3"/>
        <n v="-7.5530580552681803E-3"/>
        <n v="1.5059174985602386E-2"/>
        <n v="6.3279032246246203E-3"/>
        <n v="1.7964633386133855E-3"/>
        <n v="2.3102466855166481E-2"/>
        <n v="-7.7846199267460614E-3"/>
        <n v="-5.8714378006176071E-3"/>
        <n v="2.508540880361787E-3"/>
        <n v="-5.8910943208064781E-3"/>
        <n v="-1.0855828429376824E-2"/>
        <n v="-2.809920300337776E-3"/>
        <n v="8.9854152192407888E-3"/>
        <n v="4.0575294050924082E-3"/>
        <n v="7.8722513866869015E-4"/>
        <n v="1.7305654702422624E-2"/>
        <n v="-1.3403307272055187E-3"/>
        <n v="7.0718800342350896E-3"/>
        <n v="-1.0097521613393834E-2"/>
        <n v="-6.161624058582893E-3"/>
        <n v="4.2200571194273007E-3"/>
        <n v="4.5136509016414639E-3"/>
        <n v="4.5449575685321264E-3"/>
        <n v="-6.5810531022576502E-3"/>
        <n v="1.3508015846071197E-2"/>
        <n v="3.1660084127445032E-3"/>
        <n v="-4.2759466393895718E-3"/>
        <n v="-1.5490007456832267E-2"/>
        <n v="-7.3217377473210332E-3"/>
        <n v="-4.8020042353542736E-2"/>
        <n v="-1.725359893878986E-2"/>
        <n v="5.311667007962928E-3"/>
        <n v="-8.9544332906993374E-3"/>
        <n v="-1.2346950437079895E-3"/>
        <n v="3.3770502245067391E-4"/>
        <n v="9.3931373078608438E-3"/>
        <n v="-1.1200395307055855E-2"/>
        <n v="-4.9590502078015186E-3"/>
        <n v="-1.4555228254174879E-2"/>
        <n v="2.8160824581366928E-3"/>
        <n v="7.7369264210267463E-3"/>
        <n v="7.9048772703138592E-3"/>
        <n v="2.1948790692593034E-2"/>
        <n v="-2.6170390078794514E-2"/>
        <n v="1.2643154494008213E-2"/>
        <n v="8.8462549855266026E-3"/>
        <n v="2.1810180246955024E-2"/>
        <n v="1.9172202079280387E-2"/>
        <n v="1.1725175791101883E-3"/>
        <n v="8.4633230619133304E-3"/>
        <n v="1.2666970266903554E-3"/>
        <n v="-3.5793582682015046E-2"/>
        <n v="-2.9249131431782427E-2"/>
        <n v="3.4916817252281795E-3"/>
        <n v="6.6224728712960257E-3"/>
        <n v="-1.7060486945832953E-2"/>
        <n v="-1.1854842543922217E-2"/>
        <n v="8.7826799380115173E-3"/>
        <n v="-4.1541394654249775E-3"/>
        <n v="1.6913330821933803E-2"/>
        <n v="6.1808528600217905E-3"/>
        <n v="-1.999218407581016E-2"/>
        <n v="-8.889231991329849E-3"/>
        <n v="4.9442643252826102E-3"/>
        <n v="7.3804391421012916E-3"/>
        <n v="-2.339835237319321E-2"/>
        <n v="-8.8976852977700194E-3"/>
        <n v="1.5256461083592576E-3"/>
        <n v="3.046553512157546E-3"/>
        <n v="1.4835484012871047E-2"/>
        <n v="-7.769788603859018E-3"/>
        <n v="7.3088161406102969E-3"/>
        <n v="7.1978106188121949E-3"/>
        <n v="1.4750483955078719E-2"/>
        <n v="8.4509906584271377E-3"/>
        <n v="-3.3520679682844667E-3"/>
        <n v="7.9040620444552623E-3"/>
        <n v="5.0611863210177077E-3"/>
        <n v="-1.02926237722476E-2"/>
        <n v="-7.269535113791914E-4"/>
        <n v="-8.7848232313924024E-3"/>
        <n v="-7.3947334098428685E-3"/>
        <n v="-2.1611126546373649E-3"/>
        <n v="-1.4704159720812626E-2"/>
        <n v="6.9408966414696849E-4"/>
        <n v="2.5434387914642365E-3"/>
        <n v="-1.3491626572620152E-2"/>
        <n v="-2.4605608946475233E-2"/>
        <n v="7.9694392239562095E-3"/>
        <n v="1.2305019145288254E-2"/>
        <n v="2.8187673709558769E-3"/>
        <n v="1.8738690015082105E-2"/>
        <n v="2.0693383882925964E-2"/>
        <n v="-5.1811828913143065E-3"/>
        <n v="1.460510552732841E-2"/>
        <n v="1.4450953338734918E-2"/>
        <n v="5.8848766486916393E-3"/>
        <n v="-2.624570932373782E-3"/>
        <n v="2.3219876056548294E-2"/>
        <n v="-8.5835583424361817E-3"/>
        <n v="1.4285955461757593E-2"/>
        <n v="3.0407596765751332E-3"/>
        <n v="9.0419670065304825E-3"/>
        <n v="-1.0526673148747445E-4"/>
        <n v="9.2780449755287542E-3"/>
        <n v="-4.2306466390351627E-3"/>
        <n v="3.5143765050169584E-3"/>
        <n v="-7.0042992963891271E-3"/>
        <n v="-9.4740469001497463E-4"/>
        <n v="3.214042014881624E-3"/>
        <n v="-5.4096607980689271E-3"/>
        <n v="3.0627830146323642E-3"/>
        <n v="6.7912475411884277E-3"/>
        <n v="-9.4647559910248091E-3"/>
        <n v="2.1063350181610874E-2"/>
        <n v="-5.6871618601304075E-3"/>
        <n v="1.0139437035057375E-2"/>
        <n v="7.4124313332875058E-3"/>
        <n v="-1.2927290354427412E-2"/>
        <n v="7.9199658196080769E-3"/>
        <n v="1.6691683555016379E-2"/>
        <n v="7.5757303870105375E-4"/>
        <n v="-2.7258220890443718E-3"/>
        <n v="-8.5032104460353031E-3"/>
        <n v="5.3600745993584997E-3"/>
        <n v="-1.0713891913876061E-2"/>
        <n v="-7.6990233608120739E-4"/>
        <n v="-5.5476155059054344E-3"/>
        <n v="-2.8408574171985279E-3"/>
        <n v="5.1810743896973932E-4"/>
        <n v="2.2261645663368412E-3"/>
        <n v="-5.4241963277427141E-3"/>
        <n v="-3.5786607200945286E-2"/>
        <n v="-7.4874589887405918E-3"/>
        <n v="-1.2700207358706583E-2"/>
        <n v="-4.0131393444132746E-3"/>
        <n v="2.4174919447055521E-2"/>
        <n v="-2.2632868848468934E-3"/>
        <n v="5.671302697804137E-3"/>
        <n v="-3.2225991557485179E-3"/>
        <n v="1.7782472131460114E-3"/>
        <n v="-1.2317142110678136E-2"/>
        <n v="-5.1735050265258042E-3"/>
        <n v="3.2570660171298282E-2"/>
        <n v="1.5533001374419264E-2"/>
        <n v="1.2163238090553863E-2"/>
        <n v="6.6533245433784138E-3"/>
        <n v="-3.4839072557569795E-3"/>
        <n v="-1.696785913627652E-3"/>
        <n v="-9.0126729925970039E-3"/>
        <n v="-3.5860522097801439E-3"/>
        <n v="-1.9245650228333355E-2"/>
        <n v="-1.9357686437824762E-2"/>
        <n v="1.3340672693943567E-2"/>
        <n v="-5.4050251947422856E-3"/>
        <n v="9.8463720636046137E-3"/>
        <n v="8.631917025890834E-3"/>
        <n v="5.8124080388788357E-4"/>
        <n v="-5.7548063539257788E-3"/>
        <n v="4.0939591425861455E-3"/>
        <n v="-9.0020383067719312E-3"/>
        <n v="-1.127432076027346E-2"/>
        <n v="-4.8097683195170715E-3"/>
        <n v="-1.5746790206249139E-3"/>
        <n v="-8.4302983336475013E-3"/>
        <n v="-4.1138767657763475E-3"/>
        <n v="4.1859240127777309E-3"/>
        <n v="1.1243968740243915E-2"/>
        <n v="-1.0034243681484201E-2"/>
        <n v="-7.4512566304969496E-3"/>
        <n v="8.1143741985054696E-3"/>
        <n v="-6.6252153969933447E-3"/>
        <n v="-3.6932913596045003E-3"/>
        <n v="-6.0304387642584611E-3"/>
        <n v="-2.5381071522370569E-2"/>
        <n v="-2.8441002698825657E-2"/>
        <n v="-5.87836176945844E-3"/>
        <n v="-7.0932646182630954E-4"/>
        <n v="1.0236538490500102E-2"/>
        <n v="1.1831629397762944E-2"/>
        <n v="2.7783993469565615E-3"/>
        <n v="-1.2122485723978782E-2"/>
        <n v="1.0927572260535534E-2"/>
        <n v="-2.1967884874659616E-3"/>
        <n v="6.3725417920483807E-3"/>
        <n v="1.3584897149644393E-2"/>
        <n v="1.4709419968263138E-2"/>
        <n v="-4.0857567319954935E-2"/>
        <n v="5.3100018371186053E-3"/>
        <n v="-8.3001888657151524E-3"/>
        <n v="-6.6726681888058526E-3"/>
        <n v="2.1212629651672366E-2"/>
        <n v="-1.055915607922242E-2"/>
        <n v="-8.4556701366628184E-3"/>
        <n v="-6.9988727122890504E-3"/>
        <n v="4.7975610669692692E-3"/>
        <n v="-4.89230909952032E-3"/>
        <n v="4.501631690726926E-3"/>
        <n v="-6.6635169965755248E-3"/>
        <n v="7.2424425760500011E-3"/>
        <n v="-1.1139063698625495E-2"/>
        <n v="4.3270727834092471E-2"/>
        <n v="8.6267618200710494E-3"/>
        <n v="-2.1863501317754719E-2"/>
        <n v="-1.9167308896789748E-2"/>
        <n v="-8.147327252465475E-3"/>
        <n v="-5.7141860280416346E-3"/>
        <n v="-1.2212764149863164E-2"/>
        <n v="5.0909489328003765E-3"/>
        <n v="6.3915156552463159E-3"/>
        <n v="1.2702401783511785E-2"/>
        <n v="5.1472784567125895E-3"/>
        <n v="-3.4728117581493967E-3"/>
        <n v="2.4807953429031082E-2"/>
        <n v="-1.8270917840036427E-2"/>
        <n v="-6.0469830469302988E-3"/>
        <n v="2.2031975857705444E-2"/>
        <n v="5.981623025713545E-2"/>
        <n v="-9.1067840136470624E-3"/>
        <n v="3.7971583493383587E-3"/>
        <n v="1.8640396128291048E-3"/>
        <n v="1.0014351436131053E-2"/>
        <n v="-6.8902047605551298E-3"/>
        <n v="1.7645239134730151E-2"/>
        <n v="6.1735224975711933E-3"/>
        <n v="1.2217948790652189E-2"/>
        <n v="6.3250603600772948E-4"/>
        <n v="1.5814827118521002E-4"/>
        <n v="6.1618583483284972E-3"/>
        <n v="6.857323752878175E-3"/>
        <n v="-7.5382683501483694E-3"/>
        <n v="-2.1058218913067361E-2"/>
        <n v="1.6588245544346902E-2"/>
        <n v="5.2704268161951617E-5"/>
        <n v="1.5788555782134672E-3"/>
        <n v="5.2552033539785548E-3"/>
        <n v="5.0185987961999245E-3"/>
        <n v="9.2587302786648618E-3"/>
        <n v="1.6493487037547716E-3"/>
        <n v="7.8208520546172444E-3"/>
        <n v="-7.096552515471366E-3"/>
        <n v="1.2392145357492002E-2"/>
        <n v="-1.9147840175202768E-2"/>
        <n v="7.2649120306310877E-2"/>
        <n v="2.8578269943436041E-2"/>
        <n v="5.4912179841617448E-3"/>
        <n v="-8.1684037901451623E-3"/>
        <n v="1.9671525525883915E-2"/>
        <n v="-1.0984524165931653E-2"/>
        <n v="-2.1512959827844291E-2"/>
        <n v="-1.0444441211962974E-2"/>
        <n v="3.1327428608844965E-3"/>
        <n v="4.4681477306274253E-3"/>
        <n v="1.9993168406443829E-2"/>
        <n v="3.9862498074920705E-3"/>
        <n v="-1.6254241741644693E-2"/>
        <n v="2.91045222586237E-2"/>
        <n v="1.6239872644057129E-2"/>
        <n v="5.8110504368462657E-3"/>
        <n v="2.1620449769099714E-2"/>
        <n v="6.5388057023867407E-3"/>
        <n v="3.7749249751495295E-3"/>
        <n v="1.8803575174355158E-2"/>
        <n v="-2.3220812771093224E-2"/>
        <n v="1.3050722575094431E-2"/>
        <n v="1.6743344884400102E-2"/>
        <n v="1.7919918573066074E-3"/>
        <n v="-2.5295963521038356E-2"/>
        <n v="-2.0534993125366663E-2"/>
        <n v="5.8001256499218279E-4"/>
        <n v="-1.560270888298243E-3"/>
        <n v="4.6881961948306294E-3"/>
        <n v="-2.8754197897380207E-2"/>
        <n v="-4.8045386897103137E-3"/>
        <n v="2.1609424003672384E-3"/>
        <n v="1.2846526518883739E-3"/>
        <n v="2.5659382897240679E-3"/>
        <n v="1.4990974297163895E-2"/>
        <n v="-1.6750723634424203E-2"/>
        <n v="6.86933443045179E-3"/>
        <n v="-4.8167013751364229E-2"/>
        <n v="-9.7483147126068426E-3"/>
        <n v="1.2498302396373395E-2"/>
        <n v="1.6633306227976874E-2"/>
        <n v="1.3735851672704413E-2"/>
        <n v="7.1300182394655742E-3"/>
        <n v="1.719308001729547E-2"/>
        <n v="2.033606768666596E-3"/>
        <n v="1.353058112443084E-2"/>
        <n v="5.9184221922856661E-3"/>
        <n v="-7.0775551110646706E-4"/>
        <n v="2.7446823524859276E-3"/>
        <n v="-4.8555128309368811E-4"/>
        <n v="-8.2597409058136062E-3"/>
        <n v="1.0288070214703682E-2"/>
        <n v="1.4988952616921125E-3"/>
        <n v="3.7415621150513889E-3"/>
        <n v="-6.7534851081632041E-3"/>
        <n v="1.4570133705504196E-2"/>
        <n v="-3.4378589403146753E-3"/>
        <n v="-2.720522671033454E-2"/>
        <n v="-8.6188051517780417E-3"/>
        <n v="6.9277611016920204E-3"/>
        <n v="-7.0149483916583932E-3"/>
        <n v="4.0755020727289981E-4"/>
        <n v="-3.6213939030279585E-3"/>
        <n v="1.1585226089533274E-2"/>
        <n v="4.9394683631120984E-4"/>
        <n v="-1.2120173160723446E-3"/>
        <n v="-2.7775309417678584E-2"/>
        <n v="2.172679125465482E-3"/>
        <n v="1.798989700693121E-2"/>
        <n v="3.7065268332120649E-2"/>
        <n v="-2.9272344061841427E-3"/>
        <n v="-7.5810877425092071E-3"/>
        <n v="3.9740299692665459E-3"/>
        <n v="-4.3981632645465618E-3"/>
        <n v="5.0802348400442732E-3"/>
        <n v="1.1867137294554464E-3"/>
        <n v="2.2872009662941339E-2"/>
        <n v="-2.9141635926272724E-2"/>
        <n v="2.51980779374672E-3"/>
        <n v="-4.8947140846632431E-3"/>
        <n v="5.0072892429700033E-3"/>
        <n v="-2.2530743862777536E-2"/>
        <n v="1.8404028275663675E-2"/>
        <n v="1.6698336395353675E-2"/>
        <n v="-2.1781916993702799E-3"/>
        <n v="-6.5053756109075822E-3"/>
        <n v="1.6479810507873838E-2"/>
        <n v="1.1024747675487889E-2"/>
        <n v="-8.8519512211008289E-3"/>
        <n v="1.5963307295623341E-3"/>
        <n v="1.2276603449848267E-2"/>
        <n v="6.2978301137608383E-3"/>
        <n v="-2.6217704872381065E-3"/>
        <n v="-2.162307090636173E-2"/>
        <n v="-8.2326351873784898E-4"/>
        <n v="3.6431081939671817E-3"/>
        <n v="8.5994071492885293E-3"/>
        <n v="1.1568830752404224E-3"/>
        <n v="-1.5277916147601656E-2"/>
        <n v="-1.8209550353115445E-2"/>
        <n v="-1.3279626459296701E-2"/>
        <n v="-4.0374285613902217E-3"/>
        <n v="6.4860588925859108E-3"/>
        <n v="-3.266854117883411E-3"/>
        <n v="2.137209361930803E-2"/>
        <n v="-1.1881399204868304E-3"/>
        <n v="-1.2028600745126683E-2"/>
        <n v="3.9690832909105023E-3"/>
        <n v="1.3770579147410755E-2"/>
        <n v="-1.4109290074550418E-2"/>
        <n v="1.3422237936325132E-2"/>
        <n v="1.1402106585702843E-3"/>
        <n v="3.1540915833145888E-3"/>
        <n v="-2.0961611230569943E-3"/>
        <n v="5.9075679095228484E-3"/>
        <n v="1.305082259410173E-2"/>
        <n v="9.4045354053777785E-3"/>
        <n v="-5.5309615170229254E-4"/>
        <n v="1.0215796123973053E-2"/>
        <n v="9.5225889494992E-3"/>
        <n v="1.2771862181974347E-2"/>
        <n v="1.4836196620680031E-3"/>
        <n v="1.2345708683514367E-4"/>
        <n v="-8.2292456754551324E-4"/>
        <n v="1.6101036316160222E-2"/>
        <n v="4.1337945207755578E-3"/>
        <n v="-5.1660379266248446E-3"/>
        <n v="5.9637411719870581E-3"/>
        <n v="6.8560364980885247E-4"/>
        <n v="1.1727676579625257E-2"/>
        <n v="9.7195209097502566E-3"/>
        <n v="-2.1421773050449566E-2"/>
        <n v="7.0147108110170109E-3"/>
        <n v="1.8815866855472541E-2"/>
        <n v="3.0649057153013803E-3"/>
        <n v="1.1478101666798635E-2"/>
        <n v="3.1756931553008627E-3"/>
        <n v="-1.3242106727225589E-2"/>
        <n v="-1.3263526354860278E-2"/>
        <n v="-7.0577923940604581E-3"/>
        <n v="-2.6235961624681559E-2"/>
        <n v="-2.0093515523785799E-3"/>
        <n v="6.7389439201313017E-3"/>
        <n v="-1.1387811994236885E-2"/>
        <n v="2.0230203355389165E-3"/>
        <n v="-2.4103807037822889E-2"/>
        <n v="-1.0344074846233342E-2"/>
        <n v="-4.7781248159952661E-3"/>
        <n v="1.9675926307201719E-2"/>
        <n v="-4.0400254989198636E-2"/>
        <n v="7.5352136859179186E-3"/>
        <n v="-3.1915785866280633E-2"/>
        <n v="5.3450234853955614E-3"/>
        <n v="-7.5958382332297347E-4"/>
        <n v="-3.934463134585453E-3"/>
        <n v="3.1780166307908919E-2"/>
        <n v="3.6544038569704895E-2"/>
        <n v="4.6167266660297468E-3"/>
        <n v="-7.3947207589626363E-3"/>
        <n v="-6.6922987104519605E-3"/>
        <n v="-3.385580598762794E-2"/>
        <n v="2.1007800094963391E-2"/>
        <n v="-1.4174555926083077E-3"/>
        <n v="3.2261649601210696E-3"/>
        <n v="-2.3968732161316675E-2"/>
        <n v="1.1874024339522116E-3"/>
        <n v="2.1831707520050259E-2"/>
        <n v="1.8270186990472892E-2"/>
        <n v="1.9673380901226611E-2"/>
        <n v="1.2710534677816021E-2"/>
        <n v="-5.3150520982425675E-4"/>
        <n v="1.6361833783888891E-3"/>
        <n v="3.9205133489370603E-3"/>
        <n v="-1.1390045157987361E-3"/>
        <n v="6.312308560903146E-3"/>
        <n v="-2.4280909495277836E-4"/>
        <n v="-2.7040139913881323E-2"/>
        <n v="-1.2730953120212329E-2"/>
        <n v="1.9131994041130085E-2"/>
        <n v="-1.5754169317595879E-2"/>
        <n v="-8.8225924723622784E-3"/>
        <n v="-8.0514669183151533E-4"/>
        <n v="-1.7392365607244997E-3"/>
        <n v="1.5892557475525537E-2"/>
        <n v="-4.8479464276482975E-2"/>
        <n v="-2.9189454406916004E-2"/>
        <n v="-1.7478750557457734E-2"/>
        <n v="-3.3643711713914892E-2"/>
        <n v="1.8170638245434745E-2"/>
        <n v="2.3887960016542031E-3"/>
        <n v="-6.1215435748184222E-3"/>
        <n v="1.1989339985736702E-2"/>
        <n v="-5.2963194171417038E-3"/>
        <n v="1.9476844222606093E-2"/>
        <n v="1.1270514648665575E-2"/>
        <n v="1.3681816186884799E-2"/>
        <n v="-9.9217519590827363E-3"/>
        <n v="1.0472617819722529E-2"/>
        <n v="-2.6580336150487605E-2"/>
        <n v="1.9412601862735634E-2"/>
        <n v="4.7719462667916712E-3"/>
        <n v="3.136220286715119E-3"/>
        <n v="-9.2456118552115774E-2"/>
        <n v="-7.2887317079584069E-2"/>
        <n v="-3.6734361564248252E-2"/>
        <n v="-4.9818083951868153E-2"/>
        <n v="0.15328859263586048"/>
        <n v="-4.2393903291410129E-2"/>
        <n v="4.0594526712567136E-2"/>
        <n v="2.2054034018170299E-2"/>
        <n v="-1.8764761244508543E-3"/>
        <n v="-3.8933238101473311E-2"/>
        <n v="1.3949510540231636E-2"/>
        <n v="-1.9392746768525093E-2"/>
        <n v="3.406496561472383E-2"/>
        <n v="2.4331717311530499E-2"/>
        <n v="1.8426096128695724E-2"/>
        <n v="4.367291627862091E-3"/>
        <n v="4.1092232493342706E-3"/>
        <n v="5.0919284648927032E-3"/>
        <n v="6.107765357894035E-3"/>
        <n v="3.8588230398270973E-3"/>
        <n v="-3.736178700938575E-2"/>
        <n v="-3.1458524166635971E-2"/>
        <n v="-1.9105699497782291E-3"/>
        <n v="-1.1384822083056134E-2"/>
        <n v="6.3184043328170514E-3"/>
        <n v="5.2660289127841597E-3"/>
        <n v="6.3146284413435394E-2"/>
        <n v="1.0152250294736209E-2"/>
        <n v="-2.8177938946358783E-3"/>
        <n v="-4.1444714481055911E-3"/>
        <n v="-8.9848881881382514E-4"/>
        <n v="-1.1739122198914487E-2"/>
        <n v="-9.1962903164805043E-3"/>
        <n v="-2.305906406303615E-2"/>
        <n v="-3.6122389584345438E-3"/>
        <n v="-3.0244294900949709E-2"/>
        <n v="2.5298329580486056E-2"/>
        <n v="1.0488706643525525E-3"/>
        <n v="-2.3452459731247988E-3"/>
        <n v="4.5011484642081268E-3"/>
        <n v="4.2320398809336801E-3"/>
        <n v="7.7839421283005805E-3"/>
        <n v="-2.2137776487431982E-3"/>
        <n v="-1.0797787736391062E-2"/>
        <n v="1.6398392510159843E-2"/>
        <n v="-1.2112642401331031E-2"/>
        <n v="6.056142273144216E-3"/>
        <n v="-1.9193849253046791E-2"/>
        <n v="2.1129095743659398E-3"/>
        <n v="-1.3805363000866655E-2"/>
        <n v="1.0028158953581778E-2"/>
        <n v="-1.4010701402074721E-2"/>
        <n v="4.8047797636858736E-3"/>
        <n v="2.248441670614576E-2"/>
        <n v="2.4876086788869767E-3"/>
        <n v="-5.9553394813630645E-3"/>
        <n v="6.2904732441126932E-3"/>
        <n v="-2.7782806806686544E-3"/>
        <n v="3.9795941485265551E-4"/>
        <n v="2.0340164552558715E-2"/>
        <n v="1.2916188482370305E-2"/>
        <n v="2.2230849325259872E-2"/>
        <n v="5.2249993937427686E-3"/>
        <n v="-1.685796256851102E-2"/>
        <n v="2.8576430046589607E-4"/>
        <n v="5.3807340226512679E-3"/>
        <n v="6.0149377853702113E-3"/>
        <n v="-5.8847749161118346E-3"/>
        <n v="-1.2028808262781521E-2"/>
        <n v="2.3487545530178622E-3"/>
        <n v="5.0213670043477432E-3"/>
        <n v="-6.6616565017618701E-4"/>
        <n v="5.5231291161195184E-3"/>
        <n v="6.1559577049083991E-3"/>
        <n v="9.0361515334844711E-3"/>
        <n v="-1.166102280600434E-3"/>
        <n v="-1.8211459415494735E-3"/>
        <n v="5.6141356576588919E-4"/>
        <n v="7.9487170112657601E-4"/>
        <n v="-1.2987635336218717E-2"/>
        <n v="-1.0507943315991919E-2"/>
        <n v="-7.0795907177169104E-3"/>
        <n v="-2.5003623167530353E-2"/>
        <n v="4.7929516700100372E-3"/>
        <n v="-2.114510181452145E-3"/>
        <n v="5.0906706525817524E-2"/>
        <n v="3.1793604006576714E-2"/>
        <n v="4.2357953658569203E-2"/>
        <n v="-8.3373962714028416E-3"/>
        <n v="1.0872425190982637E-2"/>
        <n v="1.6024393810956772E-2"/>
        <n v="-2.3571672929779686E-3"/>
        <n v="-5.1122010426254416E-3"/>
        <n v="-3.0225593524291217E-3"/>
        <n v="-1.4292332220477988E-3"/>
        <n v="-1.9734470438448559E-2"/>
        <n v="-4.911339007685922E-3"/>
        <n v="1.2716821971234138E-2"/>
        <n v="-2.6343597790277062E-3"/>
        <n v="9.4646384178169729E-3"/>
        <n v="5.1459481293718579E-3"/>
        <n v="8.9807837977915472E-3"/>
        <n v="-1.8059976322623017E-3"/>
        <n v="-1.0424650182236261E-2"/>
        <n v="3.8089811255997974E-2"/>
        <n v="5.493341019489506E-3"/>
        <n v="-3.7537393682385289E-4"/>
        <n v="-7.5513828270525885E-3"/>
        <n v="-1.4839372436636689E-2"/>
        <n v="-3.2259523333079354E-2"/>
        <n v="1.4286401163462914E-2"/>
        <n v="1.7562925755691072E-2"/>
        <n v="1.1235933001189746E-2"/>
        <n v="6.1258029618356247E-3"/>
        <n v="3.5273411706118196E-3"/>
        <n v="-4.6445947485667105E-3"/>
        <n v="3.2032931573425349E-2"/>
        <n v="4.3095660015793014E-2"/>
        <n v="-6.4432141923312924E-3"/>
        <n v="-8.3324118638241629E-3"/>
        <n v="1.8072987935134455E-2"/>
        <n v="-5.4891182025097462E-3"/>
        <n v="-4.031903675073667E-3"/>
        <n v="7.8601298974056988E-4"/>
        <n v="3.2203748162140666E-3"/>
        <n v="6.5767334228361563E-3"/>
        <n v="3.4611424664847679E-3"/>
        <n v="-5.1546342798789446E-3"/>
        <n v="-8.1799361618939415E-4"/>
        <n v="6.1602172401529209E-3"/>
        <n v="-1.5577707647773553E-2"/>
        <n v="-3.4522156815508964E-2"/>
        <n v="9.7443898340392465E-3"/>
        <n v="4.4419266174910987E-4"/>
        <n v="6.3364077375245298E-3"/>
        <n v="-7.5799394432825018E-3"/>
        <n v="1.9559516473121485E-2"/>
        <n v="3.9438662469633901E-2"/>
        <n v="2.0209184094197585E-3"/>
        <n v="-1.6440145867302913E-2"/>
        <n v="4.372152666834106E-3"/>
        <n v="1.2481988848809689E-2"/>
        <n v="2.2791269069206699E-2"/>
        <n v="7.0670419803042783E-4"/>
        <n v="2.6023237359502627E-3"/>
        <n v="6.3032332179255857E-3"/>
        <n v="-3.7951561451632365E-3"/>
        <n v="-4.8823604449953484E-3"/>
        <n v="3.679849978061922E-3"/>
        <n v="3.7034495392229694E-4"/>
        <n v="-1.3698257358518706E-3"/>
        <n v="-4.8188494779721758E-3"/>
        <n v="4.5486242317036574E-3"/>
        <n v="2.1601264595019209E-2"/>
        <n v="-6.466991494855634E-3"/>
        <n v="-1.9013646924230798E-3"/>
        <n v="-1.9784193430598673E-3"/>
        <n v="-1.8171218027207114E-2"/>
        <n v="-7.4711069526167684E-5"/>
        <n v="4.187793953672303E-3"/>
        <n v="-8.601361510023886E-3"/>
        <n v="1.9680725800176768E-2"/>
        <n v="1.6317451407709793E-2"/>
        <n v="3.8053394528705375E-3"/>
        <n v="2.0941064063260129E-3"/>
        <n v="4.6837565751973731E-3"/>
        <n v="1.5241175029783172E-2"/>
        <n v="1.0914951816139329E-2"/>
        <n v="-7.1281038901495064E-3"/>
        <n v="-1.2141396841095942E-2"/>
        <n v="-6.8400666738617222E-3"/>
        <n v="-3.1925522262467032E-3"/>
        <n v="-2.5549540307587826E-3"/>
        <n v="5.772479710981937E-3"/>
        <n v="-2.690481265859801E-3"/>
        <n v="8.9931986940006148E-4"/>
        <n v="-1.4985057058964357E-2"/>
        <n v="1.8241385327160131E-3"/>
        <n v="-1.0087037063657212E-2"/>
        <n v="1.2875596388439714E-3"/>
        <n v="5.4374917790060984E-3"/>
        <n v="-9.8658478168403008E-3"/>
        <n v="5.129619359273585E-3"/>
        <n v="5.3238785474827299E-3"/>
        <n v="-1.4975662871453688E-3"/>
        <n v="1.3169247892232949E-3"/>
        <n v="-2.4840667289872664E-3"/>
        <n v="-4.4675063654233682E-3"/>
        <n v="-3.1265878039100636E-3"/>
        <n v="-1.3837078913669698E-2"/>
        <n v="-1.8334281183122636E-2"/>
        <n v="-7.7375221244099235E-3"/>
        <n v="-4.9550176459469686E-3"/>
        <n v="1.2738060445718347E-3"/>
        <n v="3.3927700267757377E-3"/>
        <n v="3.0739393950796057E-3"/>
        <n v="-4.1753093033355393E-3"/>
        <n v="-6.7318827494813327E-3"/>
        <n v="-1.0379107417738509E-2"/>
        <n v="-3.4555628705065122E-2"/>
        <n v="3.8508809593345017E-3"/>
        <n v="2.8265282683099802E-3"/>
        <n v="-1.2482377059581662E-3"/>
        <n v="2.971293759961724E-2"/>
        <n v="1.1197552619307993E-2"/>
        <n v="-7.0854715103063626E-3"/>
        <n v="7.1751734785341359E-3"/>
        <n v="4.6461370951069725E-3"/>
        <n v="4.0581232988504023E-2"/>
        <n v="-1.9629018353019001E-3"/>
        <n v="2.6012930894987019E-2"/>
        <n v="-2.0977418894285726E-3"/>
        <n v="8.0098921130604683E-3"/>
        <n v="-1.1660527356121553E-2"/>
        <n v="-3.423017398520134E-3"/>
        <n v="6.6501563343039916E-3"/>
        <n v="-4.9981789939124499E-2"/>
        <n v="-2.2733375921363264E-2"/>
        <n v="3.1667901456869263E-2"/>
        <n v="1.7811675649548331E-3"/>
        <n v="-1.426159138112626E-2"/>
        <n v="1.5350431056632585E-2"/>
        <n v="6.0472737697376822E-3"/>
        <n v="2.2391051068103351E-2"/>
        <n v="7.6798561696611589E-3"/>
        <n v="-4.6676897850849164E-3"/>
        <n v="-3.2130377674157273E-2"/>
        <n v="2.0439219879577752E-3"/>
        <n v="-3.664094667077511E-3"/>
        <n v="-4.6636409527347489E-3"/>
        <n v="-8.4945366394583166E-3"/>
        <n v="-1.0872576884936036E-2"/>
        <n v="9.3996024423435021E-3"/>
        <n v="3.6555161307854078E-3"/>
        <n v="-7.6655728574070991E-5"/>
        <n v="-1.9362740443732429E-2"/>
        <n v="-2.2051947243152514E-2"/>
        <n v="1.0794880344667579E-2"/>
        <n v="5.5770205952527796E-3"/>
        <n v="-1.6874447623211331E-2"/>
        <n v="-3.920887726655109E-3"/>
        <n v="-3.8962891312026571E-3"/>
        <n v="1.4113509804804858E-2"/>
        <n v="5.963911769359953E-4"/>
        <n v="3.8944603729500482E-3"/>
        <n v="1.0688474769657841E-3"/>
        <n v="-1.6173054004998577E-2"/>
        <n v="-8.721878071757283E-3"/>
        <n v="2.9031350563775371E-2"/>
        <n v="7.2501229163621783E-3"/>
        <n v="1.1344171618641319E-3"/>
        <n v="1.1487928393195235E-2"/>
        <n v="-2.0706161436335524E-2"/>
        <n v="2.1301837017746461E-2"/>
        <n v="6.1413306665165646E-3"/>
        <n v="-3.8377889828744571E-5"/>
        <n v="-4.9139668486810617E-3"/>
        <n v="-1.4275206833038734E-3"/>
        <n v="2.9362881933440832E-2"/>
        <n v="-1.1372573588962043E-2"/>
        <n v="2.5930172257302875E-2"/>
        <n v="1.0435424419368289E-2"/>
        <n v="-2.5196714096157535E-2"/>
        <n v="2.6299050276339386E-2"/>
        <n v="9.5161992503878245E-4"/>
        <n v="-8.6676871881985473E-3"/>
        <n v="-1.2727786010601316E-2"/>
        <n v="1.1584039752220443E-2"/>
        <n v="-1.9947321363735782E-3"/>
        <n v="4.3676927881808325E-3"/>
        <n v="3.2393627676644554E-2"/>
        <n v="-1.1815752357562936E-2"/>
        <n v="2.6550730783693632E-2"/>
        <n v="1.1718026357490752E-2"/>
        <n v="-2.435044393305219E-4"/>
        <n v="2.0456376775462637E-2"/>
        <n v="-1.2626131025762488E-3"/>
        <n v="7.2433745893720758E-3"/>
        <n v="1.3805987391627639E-2"/>
        <n v="-2.2082930971525361E-3"/>
        <n v="6.7738193699380389E-3"/>
        <n v="-7.9606611146492146E-3"/>
        <n v="3.7939903054091673E-3"/>
        <n v="1.0971059357449242E-2"/>
        <n v="9.0652466137959298E-3"/>
        <n v="1.2557860054279724E-2"/>
        <n v="-1.586735786880733E-3"/>
        <n v="8.1731404087175274E-3"/>
        <n v="5.3401952372549299E-3"/>
        <n v="-1.4399642515899869E-3"/>
        <n v="-1.8425978227367579E-2"/>
        <n v="2.9022935295418106E-2"/>
        <n v="-1.567264307615801E-2"/>
        <n v="3.1264523881506801E-3"/>
        <n v="-1.2498826008526143E-2"/>
        <n v="-1.8871545388655542E-2"/>
        <n v="-3.6446341189923515E-2"/>
        <n v="3.5450055495178656E-3"/>
        <n v="1.388983748609407E-2"/>
        <n v="-1.5221633631081977E-2"/>
        <n v="1.8170538868479413E-2"/>
        <n v="9.5135140927802286E-3"/>
        <n v="-1.0994537435617069E-2"/>
        <n v="6.9606442466163543E-3"/>
        <n v="-3.3555138136291962E-3"/>
        <n v="-9.1243987322962017E-3"/>
        <n v="-4.1454807068002086E-3"/>
        <n v="-6.1177741054043833E-2"/>
        <n v="3.136469225316163E-2"/>
        <n v="-7.1886546929303963E-3"/>
        <n v="2.7046212958856453E-2"/>
        <n v="1.7348672275670385E-2"/>
        <n v="4.8406753647981748E-2"/>
        <n v="1.305778143996239E-2"/>
        <n v="-6.3967707444452238E-3"/>
        <n v="8.7877859803449088E-3"/>
        <n v="9.0302295787214604E-3"/>
        <n v="-2.846043762522954E-3"/>
        <n v="6.3109392228588579E-3"/>
        <n v="-7.7211157480073789E-3"/>
        <n v="4.0144863792219931E-2"/>
        <n v="1.7587781993612772E-2"/>
        <n v="1.4402172368908062E-3"/>
        <n v="-2.1423835919933909E-2"/>
        <n v="3.5212601306020552E-3"/>
        <n v="-5.6446660012506866E-3"/>
        <n v="-1.2979820539962161E-2"/>
        <n v="3.5316724136277511E-2"/>
        <n v="1.1681009513348384E-2"/>
        <n v="9.4089455333890015E-3"/>
        <n v="-5.5574127067582468E-3"/>
        <n v="-1.4074993355015719E-2"/>
        <n v="-7.3538584402082718E-2"/>
        <n v="-1.7772135672998512E-2"/>
        <n v="1.9642637836096544E-2"/>
        <n v="5.2363365961669572E-3"/>
        <n v="4.5337552777839907E-3"/>
        <n v="2.9447910342259576E-3"/>
        <n v="-1.5332485243728322E-2"/>
        <n v="-1.0867469011185404E-2"/>
        <n v="-8.723897642456846E-3"/>
        <n v="9.958675816790663E-3"/>
        <n v="2.194794236790587E-3"/>
        <n v="-1.1113534012042736E-3"/>
        <n v="1.4529279409058127E-2"/>
      </sharedItems>
    </cacheField>
    <cacheField name="JNJ" numFmtId="0">
      <sharedItems containsSemiMixedTypes="0" containsString="0" containsNumber="1" minValue="-7.5916509740219573E-2" maxValue="6.1932151199562524E-2" count="1409">
        <n v="1.1756619589510242E-2"/>
        <n v="9.4103575589965516E-3"/>
        <n v="3.3788700294929974E-3"/>
        <n v="-2.0579300831587988E-3"/>
        <n v="-4.1865719023000958E-3"/>
        <n v="-7.7804760697555153E-3"/>
        <n v="-1.5179392462191243E-3"/>
        <n v="1.7480586667982134E-2"/>
        <n v="-2.1785409564814007E-3"/>
        <n v="1.5470893232754301E-2"/>
        <n v="-2.4572289977273787E-3"/>
        <n v="-4.0031478492580375E-3"/>
        <n v="1.125362296531196E-2"/>
        <n v="1.4858038542328922E-2"/>
        <n v="2.7111260628085665E-2"/>
        <n v="-1.5250954175580866E-2"/>
        <n v="7.6246197011589079E-3"/>
        <n v="-3.5646679771414336E-2"/>
        <n v="-2.5745923771004486E-3"/>
        <n v="-8.9731300095640121E-3"/>
        <n v="-4.6511986960410256E-3"/>
        <n v="9.2834887099950691E-3"/>
        <n v="1.5186319424707495E-2"/>
        <n v="2.8578933123091232E-3"/>
        <n v="8.1855480017036797E-3"/>
        <n v="3.2477852558014941E-3"/>
        <n v="-4.4963818826662116E-3"/>
        <n v="3.1316350071046717E-3"/>
        <n v="-9.0644277761711134E-3"/>
        <n v="3.5740040544736118E-3"/>
        <n v="4.8305227205247547E-4"/>
        <n v="-1.6652643455731142E-2"/>
        <n v="-6.174540141875573E-4"/>
        <n v="-8.8343161492308031E-3"/>
        <n v="1.3400702915102869E-2"/>
        <n v="1.0455279089864877E-3"/>
        <n v="-2.6419049538337402E-2"/>
        <n v="5.4269011691703284E-3"/>
        <n v="-1.8830622345634707E-3"/>
        <n v="-1.7607553216352656E-2"/>
        <n v="-2.0164050964671665E-2"/>
        <n v="1.9794958071675861E-2"/>
        <n v="8.3281811943776152E-3"/>
        <n v="1.9058070526987159E-3"/>
        <n v="9.1946634463828669E-3"/>
        <n v="-6.2850584949036836E-5"/>
        <n v="2.8906423256001013E-3"/>
        <n v="5.137776771854119E-3"/>
        <n v="5.9219939568253555E-3"/>
        <n v="-3.7181703329630666E-3"/>
        <n v="-1.8659683969259877E-3"/>
        <n v="-2.6794628915864926E-3"/>
        <n v="2.8740544231748988E-3"/>
        <n v="-9.3460876746265242E-4"/>
        <n v="9.7288917578408629E-3"/>
        <n v="3.7023854080597829E-4"/>
        <n v="1.8275289842841103E-2"/>
        <n v="6.730102725440279E-3"/>
        <n v="-6.20349032011136E-3"/>
        <n v="-3.9995407553888862E-3"/>
        <n v="-9.2486575951468142E-3"/>
        <n v="3.6845060810413166E-3"/>
        <n v="-2.444941242470966E-4"/>
        <n v="1.346506724151153E-3"/>
        <n v="-3.911597655352983E-3"/>
        <n v="-1.0554086848533761E-2"/>
        <n v="2.4184829217317461E-3"/>
        <n v="-1.3362988775233786E-2"/>
        <n v="2.7587058251079544E-3"/>
        <n v="2.9390917547844619E-3"/>
        <n v="1.1534380457598026E-2"/>
        <n v="2.7735380376221475E-3"/>
        <n v="2.3295980770371427E-2"/>
        <n v="6.607041934758584E-4"/>
        <n v="-8.4638204139065865E-3"/>
        <n v="2.0582683156777914E-3"/>
        <n v="-8.4582097026135727E-3"/>
        <n v="-5.727539060922604E-3"/>
        <n v="-7.3536411516257338E-3"/>
        <n v="1.3705236120934883E-2"/>
        <n v="-8.9525206436429361E-3"/>
        <n v="1.5240129894924737E-2"/>
        <n v="1.5495395463817729E-2"/>
        <n v="-4.1722289539080082E-3"/>
        <n v="4.0102017857885919E-3"/>
        <n v="4.5306614831086556E-3"/>
        <n v="1.0504530207131824E-2"/>
        <n v="-8.1636093004988641E-3"/>
        <n v="-4.0264523383342077E-3"/>
        <n v="1.0463901635479056E-2"/>
        <n v="1.5296601317913439E-3"/>
        <n v="9.985589521464E-4"/>
        <n v="3.5222742358076431E-4"/>
        <n v="-2.1708895919436699E-3"/>
        <n v="5.8212028400794757E-3"/>
        <n v="-6.4307990750811506E-4"/>
        <n v="3.825608962146454E-3"/>
        <n v="-2.7560144095798433E-3"/>
        <n v="-5.9381460076565196E-3"/>
        <n v="-1.5378392174763E-3"/>
        <n v="2.6063054468048463E-3"/>
        <n v="-2.1979214757354204E-2"/>
        <n v="4.0477741327180627E-3"/>
        <n v="-9.6247702783547329E-4"/>
        <n v="-4.2204469548523527E-4"/>
        <n v="-6.8081589547496213E-3"/>
        <n v="-8.796622247073449E-3"/>
        <n v="1.3464886812827537E-2"/>
        <n v="8.9979679373413113E-3"/>
        <n v="-1.2688702534702667E-2"/>
        <n v="2.4856062995948225E-3"/>
        <n v="-5.3213617120883017E-3"/>
        <n v="-3.6484122199709201E-4"/>
        <n v="4.8046949142097617E-3"/>
        <n v="-1.9610442291313812E-2"/>
        <n v="1.1482843122638586E-2"/>
        <n v="-1.3423082105590289E-3"/>
        <n v="-6.0507600482386792E-3"/>
        <n v="4.5498749165076013E-3"/>
        <n v="5.1420423210368771E-3"/>
        <n v="-1.157032943138625E-3"/>
        <n v="6.0927561626566984E-5"/>
        <n v="4.3284842660142875E-3"/>
        <n v="7.4055800273646888E-3"/>
        <n v="1.8196887892989899E-2"/>
        <n v="-5.9768008042099252E-3"/>
        <n v="8.5728957012454199E-3"/>
        <n v="-1.9479873889847177E-3"/>
        <n v="3.9628908629765203E-3"/>
        <n v="-1.590859757476637E-3"/>
        <n v="-1.238880901420325E-3"/>
        <n v="6.7937118556014031E-3"/>
        <n v="-1.2029029119810075E-2"/>
        <n v="-1.6035861581505939E-3"/>
        <n v="-7.2578703024104296E-3"/>
        <n v="9.408219370691695E-3"/>
        <n v="6.1741015950778078E-3"/>
        <n v="2.890758009245209E-3"/>
        <n v="1.0648246640657222E-2"/>
        <n v="4.6568147346315314E-4"/>
        <n v="4.5967067579446574E-3"/>
        <n v="-2.7801111230688624E-3"/>
        <n v="0"/>
        <n v="1.160801507940068E-4"/>
        <n v="4.0653934757273191E-4"/>
        <n v="1.2306122272127018E-2"/>
        <n v="-5.9060958555208209E-3"/>
        <n v="1.9032986119200679E-3"/>
        <n v="-3.3391829452213972E-3"/>
        <n v="3.4661313595201193E-3"/>
        <n v="3.4537543705259743E-4"/>
        <n v="1.7283023765068961E-4"/>
        <n v="8.0549226278752162E-3"/>
        <n v="5.9931700817259514E-3"/>
        <n v="9.0213483254673044E-3"/>
        <n v="9.1656602480050253E-3"/>
        <n v="-1.2704223425229699E-2"/>
        <n v="7.7884162770525123E-3"/>
        <n v="4.8720396207291294E-3"/>
        <n v="-4.3164583215269392E-3"/>
        <n v="-1.2499655946618615E-2"/>
        <n v="-6.6137862403183867E-3"/>
        <n v="-5.3376794211745793E-3"/>
        <n v="-2.1349031939122964E-3"/>
        <n v="4.2211916542165273E-3"/>
        <n v="-3.0516972841764245E-3"/>
        <n v="3.5231088551490597E-3"/>
        <n v="6.8491388657705432E-3"/>
        <n v="6.2888405268424208E-4"/>
        <n v="-1.553906405538763E-2"/>
        <n v="-2.4375251207034987E-3"/>
        <n v="-2.2280286526554671E-2"/>
        <n v="-6.5449031841737781E-3"/>
        <n v="-7.0072227314543767E-3"/>
        <n v="-6.0315456217379104E-3"/>
        <n v="3.7624242157139332E-3"/>
        <n v="-1.2091223298065223E-3"/>
        <n v="-2.8447082034219751E-3"/>
        <n v="-5.705541334415698E-3"/>
        <n v="4.3952385022807405E-3"/>
        <n v="-3.6465646483151426E-3"/>
        <n v="5.6727338566240348E-3"/>
        <n v="-3.0325452951703857E-3"/>
        <n v="-7.2401233576462332E-3"/>
        <n v="-2.206345758562378E-3"/>
        <n v="7.4319447944537487E-3"/>
        <n v="-1.5364277689794426E-2"/>
        <n v="-6.377542333257491E-3"/>
        <n v="-7.789582164179687E-3"/>
        <n v="2.2609725263162961E-3"/>
        <n v="2.0681288898447558E-3"/>
        <n v="8.9425223077199689E-3"/>
        <n v="-2.5414042749265509E-3"/>
        <n v="-4.2253464589899759E-3"/>
        <n v="-1.5975229998903995E-2"/>
        <n v="9.575844177959203E-3"/>
        <n v="5.7162559888646047E-3"/>
        <n v="7.4323068830239869E-3"/>
        <n v="-7.3157779773738163E-3"/>
        <n v="2.3420266808445778E-2"/>
        <n v="-5.4923026257680529E-4"/>
        <n v="-2.3205071514857956E-3"/>
        <n v="1.9585551355174591E-3"/>
        <n v="2.1988275905460153E-3"/>
        <n v="1.0178136813490779E-2"/>
        <n v="-1.212666463159906E-2"/>
        <n v="-5.4356721395518726E-3"/>
        <n v="1.8440217084236821E-4"/>
        <n v="8.5956301098533139E-4"/>
        <n v="1.5764720346982841E-2"/>
        <n v="-3.2008431551006078E-3"/>
        <n v="-2.7866458473000399E-3"/>
        <n v="-7.1083288527296062E-3"/>
        <n v="-3.4263616938040586E-3"/>
        <n v="-2.2104102605057241E-3"/>
        <n v="1.083018683460879E-2"/>
        <n v="-7.3658921695626267E-3"/>
        <n v="1.1958818211058597E-2"/>
        <n v="-9.0300055326559825E-3"/>
        <n v="-5.1978402729159212E-3"/>
        <n v="3.7497594484825481E-3"/>
        <n v="-5.3891823712145515E-3"/>
        <n v="3.0170932783237792E-3"/>
        <n v="-1.3162221594360868E-2"/>
        <n v="6.1992420493601763E-3"/>
        <n v="-2.8004077716685671E-3"/>
        <n v="-6.4902119653845736E-3"/>
        <n v="3.4547425242763552E-3"/>
        <n v="-2.3912421268785344E-2"/>
        <n v="1.3788286380675752E-2"/>
        <n v="-6.2624416554800666E-3"/>
        <n v="1.4577542120463027E-2"/>
        <n v="2.233665045579869E-2"/>
        <n v="2.5772520935782861E-3"/>
        <n v="5.9991913302448463E-3"/>
        <n v="9.4921745209952668E-3"/>
        <n v="-2.470941888586653E-3"/>
        <n v="1.7886146309886275E-2"/>
        <n v="1.0922852079873646E-2"/>
        <n v="4.992024922131133E-3"/>
        <n v="1.0926503790414266E-2"/>
        <n v="-2.7628477019981612E-2"/>
        <n v="-2.8532689948137513E-3"/>
        <n v="-3.2189962865371013E-3"/>
        <n v="4.3057518462854549E-3"/>
        <n v="1.9055089432802319E-3"/>
        <n v="8.4399234586181038E-3"/>
        <n v="4.0080897862819764E-3"/>
        <n v="7.0439407782751928E-3"/>
        <n v="4.4302884267815035E-3"/>
        <n v="-7.1961543467697897E-3"/>
        <n v="2.7472942522994703E-3"/>
        <n v="-2.6815238667656782E-3"/>
        <n v="6.6635864701303227E-3"/>
        <n v="-3.42601722476088E-3"/>
        <n v="1.3517520567042141E-2"/>
        <n v="-4.9441260507838702E-3"/>
        <n v="-1.0630146617597758E-2"/>
        <n v="-8.5256401750788413E-3"/>
        <n v="-6.0662186300746157E-3"/>
        <n v="-5.451599325950407E-3"/>
        <n v="-4.4088520149665467E-3"/>
        <n v="-3.1120394404806628E-3"/>
        <n v="-7.9840067874731302E-3"/>
        <n v="-2.299384091297707E-3"/>
        <n v="-1.1524364089484318E-2"/>
        <n v="2.8594041331052145E-2"/>
        <n v="4.4740807946268557E-3"/>
        <n v="1.3125420686560529E-2"/>
        <n v="7.0340310321788113E-3"/>
        <n v="2.9106606796873713E-3"/>
        <n v="-8.183724087273192E-3"/>
        <n v="1.106037196249865E-2"/>
        <n v="-5.8129973802389934E-5"/>
        <n v="-6.5407552456314688E-3"/>
        <n v="-3.3210661773549477E-3"/>
        <n v="2.630641523454047E-3"/>
        <n v="-1.1660839281069091E-4"/>
        <n v="-1.2070831322623876E-2"/>
        <n v="-1.0092857772508901E-2"/>
        <n v="-1.2581496025897088E-2"/>
        <n v="1.0325988815842679E-2"/>
        <n v="-5.97470841546488E-4"/>
        <n v="-6.0997546031617E-3"/>
        <n v="-1.0719338447223392E-2"/>
        <n v="-1.3589646851491222E-2"/>
        <n v="4.9649267817697407E-4"/>
        <n v="-1.9104520245715628E-2"/>
        <n v="4.9703133926607634E-2"/>
        <n v="-8.6143795871286288E-3"/>
        <n v="-3.4638585761262997E-3"/>
        <n v="1.2439145501693227E-2"/>
        <n v="1.4695102393737169E-2"/>
        <n v="5.9354745520441288E-3"/>
        <n v="1.6108127710191766E-2"/>
        <n v="-2.0265751737260307E-2"/>
        <n v="3.793290878521649E-3"/>
        <n v="1.7711249441942911E-3"/>
        <n v="-1.8271163530571011E-3"/>
        <n v="1.3817607901370543E-2"/>
        <n v="2.5918838047114701E-2"/>
        <n v="-9.1973430680589718E-3"/>
        <n v="1.3064699752476594E-2"/>
        <n v="-1.1086248625977846E-2"/>
        <n v="5.6621931988818375E-3"/>
        <n v="-4.7203864292590936E-3"/>
        <n v="-3.7713115592034052E-3"/>
        <n v="5.1621926773737226E-3"/>
        <n v="9.5867427862403876E-3"/>
        <n v="5.1437083993413069E-3"/>
        <n v="-5.0581689428430554E-4"/>
        <n v="1.0408287066953292E-2"/>
        <n v="-1.314106741194554E-2"/>
        <n v="5.4168221394395033E-3"/>
        <n v="-9.6527148611166291E-3"/>
        <n v="6.4599711594477416E-3"/>
        <n v="2.6012112915044128E-2"/>
        <n v="-2.5792425968189647E-3"/>
        <n v="1.9807532494822144E-3"/>
        <n v="-1.2519309158230962E-2"/>
        <n v="3.3369792211224159E-4"/>
        <n v="4.2247277729243748E-3"/>
        <n v="-4.2069545352597659E-3"/>
        <n v="-1.2451536773707805E-2"/>
        <n v="3.0507953018301448E-2"/>
        <n v="4.4240673026829658E-3"/>
        <n v="-2.8819335131781143E-3"/>
        <n v="-9.926191090293468E-3"/>
        <n v="2.4622857528575626E-2"/>
        <n v="-7.1500055732740542E-3"/>
        <n v="-1.397015812364466E-2"/>
        <n v="7.468495272823894E-3"/>
        <n v="-1.6352476827274143E-2"/>
        <n v="-1.0085324949190899E-2"/>
        <n v="-1.9591969521158825E-3"/>
        <n v="1.0712876428733198E-2"/>
        <n v="-1.9089807014984972E-2"/>
        <n v="-2.2065386477730931E-3"/>
        <n v="5.443137723960989E-3"/>
        <n v="-1.3532961031117452E-3"/>
        <n v="-5.4212012442982349E-3"/>
        <n v="9.8791251008139014E-3"/>
        <n v="-5.7344352151549316E-3"/>
        <n v="6.9551002460457312E-3"/>
        <n v="4.1553471725541691E-3"/>
        <n v="-1.8566311387362755E-2"/>
        <n v="-8.8886405391380707E-3"/>
        <n v="1.7477253115035341E-2"/>
        <n v="2.0415155026280996E-2"/>
        <n v="1.0922782952396126E-2"/>
        <n v="-9.8125752992570536E-3"/>
        <n v="-8.9076034685409144E-4"/>
        <n v="9.0828248698953118E-3"/>
        <n v="-8.6143896071276815E-3"/>
        <n v="-1.0137703511925111E-2"/>
        <n v="-3.1512174843086882E-3"/>
        <n v="-4.1208140550809125E-3"/>
        <n v="-1.1327974466923685E-4"/>
        <n v="1.0997534842807299E-2"/>
        <n v="-5.9436073165031189E-3"/>
        <n v="-2.0137557911888648E-2"/>
        <n v="-6.677851296994497E-3"/>
        <n v="-1.008411718048452E-2"/>
        <n v="-1.5338563355138279E-2"/>
        <n v="1.0702403794999649E-2"/>
        <n v="5.2919183551591864E-4"/>
        <n v="-3.6451930231551355E-3"/>
        <n v="2.0948901354927996E-2"/>
        <n v="1.5779475941686272E-2"/>
        <n v="2.2305398907683127E-2"/>
        <n v="1.4638751394392635E-2"/>
        <n v="-9.3238853799970656E-4"/>
        <n v="-2.8442716110978927E-2"/>
        <n v="2.8241542030782441E-4"/>
        <n v="2.9380133843368572E-3"/>
        <n v="1.1323534235421429E-2"/>
        <n v="-7.687336252039656E-3"/>
        <n v="8.9835305784680131E-4"/>
        <n v="1.1214291902370555E-3"/>
        <n v="-1.2325164845602421E-3"/>
        <n v="3.9267884489779803E-4"/>
        <n v="-1.401720329793732E-2"/>
        <n v="-2.3317580203117139E-3"/>
        <n v="1.3680240413020961E-3"/>
        <n v="1.4514971558824419E-2"/>
        <n v="-2.2442876726030514E-2"/>
        <n v="-1.4578369313447137E-2"/>
        <n v="-5.7079163850993764E-3"/>
        <n v="3.5145712508974913E-3"/>
        <n v="4.7284289732008045E-3"/>
        <n v="1.975457760474697E-3"/>
        <n v="7.0739939368602567E-3"/>
        <n v="-2.763576557913483E-3"/>
        <n v="5.7735382446852945E-3"/>
        <n v="1.8368519591693833E-3"/>
        <n v="-3.4954440102914486E-3"/>
        <n v="-5.6922660924410007E-3"/>
        <n v="9.6575892510966099E-3"/>
        <n v="-1.6037655066385548E-2"/>
        <n v="-3.9584056882855378E-3"/>
        <n v="-5.3179314551702328E-3"/>
        <n v="-1.1782202515231432E-4"/>
        <n v="2.8793823184551925E-3"/>
        <n v="-2.0682987091721006E-2"/>
        <n v="-1.1008775381064373E-2"/>
        <n v="4.7791337989633309E-3"/>
        <n v="8.9108693448833876E-3"/>
        <n v="5.958013277473917E-5"/>
        <n v="-4.8333674646863223E-3"/>
        <n v="1.5230387333641016E-2"/>
        <n v="-3.5081309866764609E-3"/>
        <n v="-8.7116788343394314E-3"/>
        <n v="-3.3106927399035868E-3"/>
        <n v="9.3612006121697178E-3"/>
        <n v="-1.7112429875475121E-2"/>
        <n v="-7.7311623656969308E-3"/>
        <n v="-3.4972015395576816E-3"/>
        <n v="-6.7103220724197277E-3"/>
        <n v="2.4792172022849224E-2"/>
        <n v="-1.5725027860678531E-2"/>
        <n v="2.7033699775518283E-3"/>
        <n v="5.4542928032252913E-3"/>
        <n v="8.0453011897296811E-3"/>
        <n v="1.9350530216253325E-3"/>
        <n v="-4.2262290016625847E-4"/>
        <n v="-2.6020218069905066E-2"/>
        <n v="2.0640953482148783E-2"/>
        <n v="2.5506677914812759E-3"/>
        <n v="1.5265379759592079E-2"/>
        <n v="-7.8759513556301286E-3"/>
        <n v="-7.8781166586121554E-3"/>
        <n v="-1.0244437975785448E-2"/>
        <n v="1.7760857416823095E-2"/>
        <n v="3.249609767377537E-3"/>
        <n v="-6.1183038039596127E-3"/>
        <n v="-4.5863064336408854E-3"/>
        <n v="8.6089725759748159E-3"/>
        <n v="-1.1000072189954913E-2"/>
        <n v="-7.1113263447646347E-3"/>
        <n v="-9.7934126205800887E-4"/>
        <n v="1.4828347207819448E-2"/>
        <n v="-3.0791109350908341E-3"/>
        <n v="-1.9381177512728054E-2"/>
        <n v="-1.0561396674186985E-2"/>
        <n v="1.3110518581693764E-3"/>
        <n v="1.4462603086158543E-2"/>
        <n v="-2.456525252347852E-4"/>
        <n v="1.5120543604731473E-2"/>
        <n v="-4.1777302873394762E-3"/>
        <n v="1.2951304299797073E-2"/>
        <n v="-3.4814707031100012E-3"/>
        <n v="-7.9511803245764234E-3"/>
        <n v="2.5502027922499337E-3"/>
        <n v="2.1803528501619596E-2"/>
        <n v="1.3455060666043961E-2"/>
        <n v="-1.5790913658364492E-3"/>
        <n v="8.7866268054197505E-3"/>
        <n v="5.8062028184280301E-4"/>
        <n v="1.4857149400949732E-2"/>
        <n v="-5.1465803115360309E-3"/>
        <n v="-5.0586073913455598E-3"/>
        <n v="-1.5367374688807889E-2"/>
        <n v="1.7012643653036008E-3"/>
        <n v="4.4518448666728272E-3"/>
        <n v="8.7472719024779266E-3"/>
        <n v="4.9716184272039499E-3"/>
        <n v="-7.9959074230601113E-3"/>
        <n v="1.1713628370121798E-2"/>
        <n v="-2.9919034868962302E-2"/>
        <n v="1.5716534321964515E-2"/>
        <n v="2.7919983954123317E-3"/>
        <n v="6.2067807952821408E-3"/>
        <n v="8.0712827322171332E-3"/>
        <n v="7.6631576571650761E-3"/>
        <n v="5.1406530679942719E-3"/>
        <n v="4.8305401785435631E-3"/>
        <n v="1.0743892183320281E-3"/>
        <n v="1.2995323784077417E-3"/>
        <n v="5.0769514794479775E-4"/>
        <n v="-6.9927063957334612E-3"/>
        <n v="1.0846791280757051E-2"/>
        <n v="4.1573086945321247E-3"/>
        <n v="7.8333060371682528E-4"/>
        <n v="-5.5916489978868888E-4"/>
        <n v="-1.4990467701835986E-2"/>
        <n v="6.0761153709461002E-3"/>
        <n v="1.6923500340815245E-4"/>
        <n v="-8.2392246113427436E-3"/>
        <n v="1.1949481513354065E-2"/>
        <n v="7.7036859351160558E-3"/>
        <n v="3.0688949950321565E-3"/>
        <n v="-1.2627935806794222E-2"/>
        <n v="-1.0254253766974641E-2"/>
        <n v="-1.0815190797053287E-3"/>
        <n v="1.0826900296296849E-3"/>
        <n v="1.1442011969927224E-2"/>
        <n v="-3.6581680394428551E-3"/>
        <n v="2.541773667862568E-3"/>
        <n v="-2.8178792006894327E-4"/>
        <n v="-4.3396521534037058E-3"/>
        <n v="5.0946735207952898E-3"/>
        <n v="-5.1250102326962921E-3"/>
        <n v="8.7179127527494682E-3"/>
        <n v="1.088712920722501E-2"/>
        <n v="-7.383653181857075E-3"/>
        <n v="8.1099130770150296E-3"/>
        <n v="-2.5908748104376933E-2"/>
        <n v="-2.3919972199734074E-3"/>
        <n v="-1.5985848852241302E-3"/>
        <n v="-5.0320992398357189E-3"/>
        <n v="-3.275697390952681E-3"/>
        <n v="-6.1696583941970307E-3"/>
        <n v="-1.508490591570244E-2"/>
        <n v="-1.3546339212838765E-3"/>
        <n v="-4.6600167729498043E-3"/>
        <n v="-2.5480548582518248E-3"/>
        <n v="7.1293615196639237E-3"/>
        <n v="-3.6575014425304087E-3"/>
        <n v="-3.9078038890699718E-3"/>
        <n v="-3.7032627653332706E-2"/>
        <n v="8.7653359471628889E-3"/>
        <n v="9.178885357531863E-3"/>
        <n v="3.7593977256888955E-3"/>
        <n v="-5.6179253311318122E-3"/>
        <n v="-7.5938418408066921E-3"/>
        <n v="2.4489466528998527E-4"/>
        <n v="1.2853046319891703E-3"/>
        <n v="-1.3507816440883835E-2"/>
        <n v="4.646776792086138E-3"/>
        <n v="3.7003106905937333E-3"/>
        <n v="-4.3625235466502321E-3"/>
        <n v="-1.6477560217542431E-2"/>
        <n v="-7.0901294326433106E-3"/>
        <n v="2.0877225418856726E-2"/>
        <n v="-1.4901474830331662E-2"/>
        <n v="-1.3922807595911912E-3"/>
        <n v="-3.1704748703442753E-4"/>
        <n v="-1.1158163779885433E-2"/>
        <n v="-2.1799951713461496E-3"/>
        <n v="-1.5228394650394494E-2"/>
        <n v="-4.5019052839246898E-3"/>
        <n v="-7.8685371362174905E-4"/>
        <n v="1.0298575018888867E-2"/>
        <n v="9.9986794957505065E-3"/>
        <n v="-9.4497535782581688E-3"/>
        <n v="-7.3334195119120205E-3"/>
        <n v="-1.124469344642276E-2"/>
        <n v="2.4464510814636853E-3"/>
        <n v="9.5640185347687368E-3"/>
        <n v="5.6187277329586838E-3"/>
        <n v="2.7937215238009738E-3"/>
        <n v="-2.0733904777767709E-3"/>
        <n v="-1.0712059725629608E-2"/>
        <n v="9.909166615091447E-3"/>
        <n v="-1.8454483110797004E-2"/>
        <n v="5.2958869944141895E-4"/>
        <n v="1.0057525506068643E-2"/>
        <n v="4.2580412109001209E-3"/>
        <n v="-9.6540875856078179E-3"/>
        <n v="9.8142952562949581E-3"/>
        <n v="7.8239904255728021E-4"/>
        <n v="1.0232905483022137E-2"/>
        <n v="1.1935632506459015E-2"/>
        <n v="1.0455701202466194E-2"/>
        <n v="4.492398742277004E-2"/>
        <n v="-2.7776933381159497E-3"/>
        <n v="-5.025622444068123E-3"/>
        <n v="-3.0432673989366776E-4"/>
        <n v="-2.1306292174981811E-3"/>
        <n v="1.3360093445410559E-2"/>
        <n v="-1.6253526320175737E-3"/>
        <n v="-1.0251261650932042E-3"/>
        <n v="-2.8128483457423137E-2"/>
        <n v="9.4406846169119429E-3"/>
        <n v="6.4605241869830632E-3"/>
        <n v="-5.4408027894924382E-3"/>
        <n v="6.085009210443415E-3"/>
        <n v="9.1641687940917649E-3"/>
        <n v="-1.549807108430723E-2"/>
        <n v="2.3366489519287548E-3"/>
        <n v="4.2945628456227958E-3"/>
        <n v="-6.1095871313232575E-4"/>
        <n v="8.7409223320888962E-3"/>
        <n v="-1.3088523702015076E-2"/>
        <n v="-4.5436191664299796E-3"/>
        <n v="3.3923987745301254E-3"/>
        <n v="-2.2743083206180348E-3"/>
        <n v="-7.7631775928194147E-3"/>
        <n v="3.7255502623672054E-3"/>
        <n v="-4.082842355882077E-3"/>
        <n v="-1.3045066718506693E-3"/>
        <n v="-7.6501255068546214E-3"/>
        <n v="-1.3159648135072644E-3"/>
        <n v="-2.1965509190243759E-3"/>
        <n v="-3.2079847303557729E-3"/>
        <n v="2.7132312377371459E-3"/>
        <n v="-5.3892863079074704E-3"/>
        <n v="-3.8232537705129577E-4"/>
        <n v="-9.5665697087166102E-4"/>
        <n v="-1.4362107196511653E-2"/>
        <n v="-3.8863205400074818E-4"/>
        <n v="1.293785717360052E-4"/>
        <n v="4.469834416851004E-3"/>
        <n v="-3.3535964803456109E-3"/>
        <n v="1.5724152617859533E-2"/>
        <n v="8.6003944535435473E-3"/>
        <n v="-8.8451819637402895E-4"/>
        <n v="2.1496563455927209E-3"/>
        <n v="1.0976546132551501E-2"/>
        <n v="-1.5599310761965635E-3"/>
        <n v="-6.8760857730809644E-4"/>
        <n v="5.253419472358134E-3"/>
        <n v="5.1014191216698368E-3"/>
        <n v="1.3431373175644357E-2"/>
        <n v="3.0538437171749866E-3"/>
        <n v="-6.0878753315096734E-4"/>
        <n v="-1.5231496420953228E-3"/>
        <n v="1.0617232257100762E-2"/>
        <n v="-8.4502886603721183E-4"/>
        <n v="-1.1179556094848886E-2"/>
        <n v="-2.0780574397224472E-3"/>
        <n v="-2.0208801502711315E-3"/>
        <n v="6.9955728194395217E-3"/>
        <n v="8.6531940534944063E-3"/>
        <n v="-1.3109934397500633E-2"/>
        <n v="-3.3060593210532119E-3"/>
        <n v="-7.4317741284074534E-3"/>
        <n v="-1.4542173726093677E-2"/>
        <n v="1.6324711255819579E-3"/>
        <n v="-5.5166511836930443E-3"/>
        <n v="-3.4673221372621965E-3"/>
        <n v="4.6178991372018974E-3"/>
        <n v="6.6746658340988141E-3"/>
        <n v="-5.0039572642547325E-3"/>
        <n v="-6.2717449722082819E-5"/>
        <n v="-2.0120056476469195E-3"/>
        <n v="6.0728319307284728E-2"/>
        <n v="1.0749418680332079E-2"/>
        <n v="5.2294726293569127E-3"/>
        <n v="7.6572253125941625E-3"/>
        <n v="1.9143963864234337E-3"/>
        <n v="5.6158257553082791E-3"/>
        <n v="4.548368741498221E-3"/>
        <n v="-3.9832638523437436E-2"/>
        <n v="8.1179315061956636E-3"/>
        <n v="6.039716870459344E-3"/>
        <n v="4.2960819657973381E-3"/>
        <n v="-9.3765543488191216E-3"/>
        <n v="2.4018213524549026E-2"/>
        <n v="4.6213126317518061E-4"/>
        <n v="-6.3512494861972524E-4"/>
        <n v="-5.2002867769828098E-3"/>
        <n v="9.7578558139679306E-3"/>
        <n v="-2.358360871653753E-3"/>
        <n v="-2.8829704332762329E-3"/>
        <n v="-3.1802247075011225E-3"/>
        <n v="9.3972081212143621E-3"/>
        <n v="-8.7348641391712389E-3"/>
        <n v="-2.9798889144980745E-2"/>
        <n v="-7.9475202514671661E-3"/>
        <n v="-8.9748675218382923E-3"/>
        <n v="3.4035200953657085E-3"/>
        <n v="1.4338062379176897E-2"/>
        <n v="-1.1789436203669235E-2"/>
        <n v="1.2168113202704056E-4"/>
        <n v="-3.5299336400250736E-3"/>
        <n v="-1.252068155957764E-2"/>
        <n v="-7.4219995626898516E-3"/>
        <n v="1.2464213169882665E-3"/>
        <n v="-1.6616854385029578E-2"/>
        <n v="1.2783788713468081E-2"/>
        <n v="3.3119894244479919E-3"/>
        <n v="1.3079099608917399E-2"/>
        <n v="5.6561677041881975E-3"/>
        <n v="2.5064523762423629E-3"/>
        <n v="-1.5246535398510952E-3"/>
        <n v="-1.3985600868948622E-2"/>
        <n v="6.317768376623345E-3"/>
        <n v="-1.6617584677626196E-3"/>
        <n v="4.3772264340518063E-3"/>
        <n v="-7.6727918406438445E-3"/>
        <n v="-7.1754921445784658E-3"/>
        <n v="-1.4954776122385605E-3"/>
        <n v="-7.7373468363144404E-3"/>
        <n v="-1.2011220440775738E-2"/>
        <n v="-1.4639673536332998E-3"/>
        <n v="-7.2028237075749679E-3"/>
        <n v="-3.8523971450198369E-3"/>
        <n v="1.2245494345490826E-3"/>
        <n v="1.1588654805938514E-3"/>
        <n v="1.0416653376457363E-2"/>
        <n v="3.1819161850930033E-3"/>
        <n v="5.708947020401034E-3"/>
        <n v="-1.1351619759536469E-3"/>
        <n v="-1.3766063583467991E-2"/>
        <n v="9.6026239408120162E-4"/>
        <n v="3.3265974960878797E-3"/>
        <n v="4.3351912573836859E-3"/>
        <n v="-9.1411978550598461E-3"/>
        <n v="-2.1525990077639667E-2"/>
        <n v="-2.6844037603088733E-3"/>
        <n v="4.4642290135155083E-3"/>
        <n v="-1.052305426435507E-2"/>
        <n v="-1.0566156602586085E-3"/>
        <n v="2.2483119073279934E-3"/>
        <n v="-1.6956023518589824E-2"/>
        <n v="-2.281872551078068E-2"/>
        <n v="9.8214908296940795E-3"/>
        <n v="8.9095002467958206E-3"/>
        <n v="2.3595526659110355E-3"/>
        <n v="1.0424515922405231E-2"/>
        <n v="7.32162233283562E-3"/>
        <n v="2.3785523411532505E-3"/>
        <n v="-5.2733716748220028E-3"/>
        <n v="-3.6449640237317116E-3"/>
        <n v="-1.9487829427218495E-2"/>
        <n v="-1.1531532420755441E-3"/>
        <n v="2.5808304809971094E-3"/>
        <n v="2.0306317381590944E-4"/>
        <n v="7.7203210859848603E-3"/>
        <n v="8.7366257540271164E-3"/>
        <n v="-2.065296096460334E-3"/>
        <n v="8.8156544652018276E-3"/>
        <n v="8.0714583895271641E-3"/>
        <n v="-1.9850186290204519E-3"/>
        <n v="1.1138953479582492E-2"/>
        <n v="-7.9999913947358392E-3"/>
        <n v="2.3136406230923612E-3"/>
        <n v="3.1656500893213479E-3"/>
        <n v="1.676408176505606E-2"/>
        <n v="2.4052980003207436E-2"/>
        <n v="3.1567801898499948E-3"/>
        <n v="-2.0770073418497903E-3"/>
        <n v="-1.2172735204444063E-2"/>
        <n v="-7.7897542449054669E-3"/>
        <n v="-6.306062761052722E-3"/>
        <n v="4.1443927950410853E-3"/>
        <n v="6.4637637279707505E-5"/>
        <n v="4.6427134289923622E-3"/>
        <n v="6.9324664951142534E-3"/>
        <n v="-1.0900513184306737E-2"/>
        <n v="1.8045640913630923E-3"/>
        <n v="6.561935308688982E-3"/>
        <n v="-2.0388459141985393E-2"/>
        <n v="1.0243400359412735E-2"/>
        <n v="4.0039041084352078E-3"/>
        <n v="4.3742371728172635E-3"/>
        <n v="1.3449547283321817E-3"/>
        <n v="1.4709372388221897E-3"/>
        <n v="1.0218579544110096E-3"/>
        <n v="2.060739842714554E-2"/>
        <n v="6.2511164355931736E-3"/>
        <n v="-2.1121007188540375E-3"/>
        <n v="3.1127667963644079E-3"/>
        <n v="2.4827100072137842E-3"/>
        <n v="6.1875953387802163E-4"/>
        <n v="1.4847947075948831E-3"/>
        <n v="-4.4479827609759104E-3"/>
        <n v="7.6947647952676501E-3"/>
        <n v="-1.1515478741699781E-2"/>
        <n v="-5.6072491399816737E-4"/>
        <n v="4.8621378600948173E-3"/>
        <n v="2.9151537525087257E-3"/>
        <n v="4.8863357007287167E-3"/>
        <n v="-1.6372182041516359E-2"/>
        <n v="-5.3188863164777E-3"/>
        <n v="3.7744388881131297E-3"/>
        <n v="-3.7606572946313754E-4"/>
        <n v="-8.7747400205584469E-4"/>
        <n v="-3.7025855205128355E-3"/>
        <n v="8.1889783955002571E-4"/>
        <n v="-3.398236505409602E-3"/>
        <n v="-1.1050903829147862E-2"/>
        <n v="-5.1718898980400718E-3"/>
        <n v="1.4505659725768449E-2"/>
        <n v="-5.0614482861544019E-4"/>
        <n v="-1.000134465753022E-2"/>
        <n v="2.3018789360824687E-3"/>
        <n v="6.9532954694333515E-3"/>
        <n v="-8.7424839807207499E-3"/>
        <n v="-4.6653337740664158E-3"/>
        <n v="1.3997669302113547E-2"/>
        <n v="-1.1486387104333584E-3"/>
        <n v="8.3678331612242474E-3"/>
        <n v="5.1945788435052709E-3"/>
        <n v="1.1154505303471174E-2"/>
        <n v="8.6631434385413542E-3"/>
        <n v="-6.4879274313004442E-3"/>
        <n v="1.1817024149112232E-3"/>
        <n v="3.5408217958960986E-3"/>
        <n v="-1.0522908539175591E-3"/>
        <n v="4.5854446884643352E-3"/>
        <n v="-1.4063693121314835E-2"/>
        <n v="8.1339765550803023E-4"/>
        <n v="-3.9382002678183259E-3"/>
        <n v="-2.9499257461021999E-3"/>
        <n v="4.0917178502868357E-3"/>
        <n v="1.0719583214521711E-2"/>
        <n v="9.3655175157523196E-3"/>
        <n v="-1.0077521396113398E-2"/>
        <n v="-1.1731629550528755E-2"/>
        <n v="-6.4697346386238808E-3"/>
        <n v="-8.9769456112636092E-3"/>
        <n v="-3.5085040954876412E-3"/>
        <n v="-2.8808433298346259E-3"/>
        <n v="-6.4175829229573544E-5"/>
        <n v="-3.3386116288420808E-3"/>
        <n v="-6.4499815467633503E-5"/>
        <n v="3.5434184128539936E-3"/>
        <n v="1.4059142482086173E-2"/>
        <n v="1.4561046993697424E-3"/>
        <n v="-2.5920250718168836E-3"/>
        <n v="-3.167710893448028E-4"/>
        <n v="-2.1999756205081322E-2"/>
        <n v="-1.1409210468409148E-2"/>
        <n v="-7.2113169957233048E-4"/>
        <n v="-5.2499522993834091E-3"/>
        <n v="4.6179254421820914E-3"/>
        <n v="-1.372402898638414E-2"/>
        <n v="-9.3873320713847574E-3"/>
        <n v="-8.5355206838307884E-3"/>
        <n v="4.7454412863112694E-4"/>
        <n v="-2.1275084307452286E-2"/>
        <n v="2.2152079917445722E-3"/>
        <n v="6.7003200819215625E-3"/>
        <n v="1.4889533537392197E-2"/>
        <n v="8.1804817548907227E-3"/>
        <n v="2.9507819441141336E-3"/>
        <n v="-6.8868532261109339E-3"/>
        <n v="-1.1512964457091379E-2"/>
        <n v="-4.6314561565168333E-3"/>
        <n v="4.6530063514294007E-3"/>
        <n v="-1.5188510511369602E-2"/>
        <n v="4.557694180673999E-2"/>
        <n v="-8.3341409886131812E-3"/>
        <n v="-4.3357685539879842E-3"/>
        <n v="-4.6226226905291545E-3"/>
        <n v="9.4253650137510192E-4"/>
        <n v="1.5463535514188553E-3"/>
        <n v="6.042300035030479E-3"/>
        <n v="4.0045860441151326E-4"/>
        <n v="8.7385792537966189E-3"/>
        <n v="1.0578559802183474E-3"/>
        <n v="8.5217657829148585E-3"/>
        <n v="1.054559003180322E-2"/>
        <n v="2.3334424095164952E-3"/>
        <n v="-1.3885207086886897E-2"/>
        <n v="-1.9836061040834352E-4"/>
        <n v="1.4943105232815057E-2"/>
        <n v="-2.4755751319692987E-2"/>
        <n v="-1.8236352483536944E-2"/>
        <n v="-1.7622731187089458E-2"/>
        <n v="4.1565330666415434E-4"/>
        <n v="5.8153868481156668E-3"/>
        <n v="9.567833954043925E-3"/>
        <n v="7.2952458846355928E-3"/>
        <n v="4.063095711646092E-4"/>
        <n v="-1.2381781559573257E-2"/>
        <n v="3.0826686929399383E-3"/>
        <n v="4.5078233400908108E-3"/>
        <n v="3.4005575728568438E-4"/>
        <n v="-2.5149205410459619E-3"/>
        <n v="-9.1987743624082352E-3"/>
        <n v="2.7510236928995901E-4"/>
        <n v="6.1889336891396418E-4"/>
        <n v="2.8170305012042984E-3"/>
        <n v="-2.0554677533558552E-3"/>
        <n v="1.4623924314400183E-2"/>
        <n v="6.5638887981245286E-3"/>
        <n v="2.4874231019733628E-3"/>
        <n v="-1.2942663614640693E-2"/>
        <n v="-2.5135668313192028E-3"/>
        <n v="-6.9471340019849892E-3"/>
        <n v="2.468854649270158E-3"/>
        <n v="1.9157244759933079E-3"/>
        <n v="-2.7998279607839294E-3"/>
        <n v="-2.3282762196217277E-3"/>
        <n v="5.42263557669731E-3"/>
        <n v="-6.826878149469584E-3"/>
        <n v="1.0791654811802109E-2"/>
        <n v="1.6185214361783107E-2"/>
        <n v="1.8066875647435587E-3"/>
        <n v="1.2024300608810545E-3"/>
        <n v="-4.2700406046607409E-3"/>
        <n v="1.1860195113579275E-2"/>
        <n v="3.6884804099808877E-2"/>
        <n v="-7.4084288734513892E-3"/>
        <n v="-4.6969221661953275E-3"/>
        <n v="-2.9088963075506458E-3"/>
        <n v="-1.2253677328241674E-2"/>
        <n v="2.5795839639215057E-2"/>
        <n v="2.1499943887580031E-2"/>
        <n v="6.2642026242236692E-3"/>
        <n v="-1.2948353464906304E-2"/>
        <n v="1.7469527454267997E-2"/>
        <n v="-2.1570615576982699E-2"/>
        <n v="1.8435031675683167E-2"/>
        <n v="2.1025365152412379E-2"/>
        <n v="-1.7606875448901493E-2"/>
        <n v="-1.4139464096693866E-2"/>
        <n v="-4.4038900520848578E-4"/>
        <n v="8.3070482613740726E-3"/>
        <n v="2.4963284840091582E-3"/>
        <n v="-4.6068988760610274E-3"/>
        <n v="-9.3193710613937997E-3"/>
        <n v="5.6812759338220609E-4"/>
        <n v="3.848988324738789E-3"/>
        <n v="1.8857985875340155E-3"/>
        <n v="1.5057384430698928E-3"/>
        <n v="3.3202700366241622E-3"/>
        <n v="7.9295119537097225E-3"/>
        <n v="5.6989394146296224E-3"/>
        <n v="1.0963943498273787E-2"/>
        <n v="2.9248023237049559E-3"/>
        <n v="-2.5711273785773425E-3"/>
        <n v="5.9529254525456654E-3"/>
        <n v="1.8909528675670195E-3"/>
        <n v="9.9251858544679994E-3"/>
        <n v="7.8380148115277937E-3"/>
        <n v="1.1964409764255723E-3"/>
        <n v="-1.416104571813348E-2"/>
        <n v="-3.6971492859299016E-3"/>
        <n v="1.3565957043508714E-2"/>
        <n v="4.6216676964938586E-3"/>
        <n v="-1.5294564555307977E-2"/>
        <n v="-1.0919678273545452E-3"/>
        <n v="5.3448968905012162E-3"/>
        <n v="8.8810397345042702E-3"/>
        <n v="4.792363853387549E-4"/>
        <n v="-5.5068037101395628E-3"/>
        <n v="-8.0048233449897532E-3"/>
        <n v="-4.0043682602907138E-3"/>
        <n v="-5.7260762742611382E-3"/>
        <n v="-2.6958460520972727E-3"/>
        <n v="-1.3392192510588874E-2"/>
        <n v="4.9189714032391585E-3"/>
        <n v="6.1970734916316772E-5"/>
        <n v="4.0891199141837031E-3"/>
        <n v="-4.3180395348862977E-4"/>
        <n v="-5.0621844668647942E-3"/>
        <n v="-4.1569116811406293E-3"/>
        <n v="-1.3085018567484674E-3"/>
        <n v="-4.7413970247300874E-3"/>
        <n v="1.0029917950187262E-3"/>
        <n v="6.0115193855792004E-3"/>
        <n v="-8.7128741320419145E-4"/>
        <n v="5.9185973430568861E-3"/>
        <n v="8.672140955645613E-4"/>
        <n v="1.5470167588523154E-2"/>
        <n v="1.0967588621955127E-3"/>
        <n v="1.156632985279904E-3"/>
        <n v="3.9520795974596901E-3"/>
        <n v="-1.3868586710505504E-2"/>
        <n v="3.8076158814259742E-3"/>
        <n v="1.4744461915541462E-2"/>
        <n v="-1.320389835638347E-2"/>
        <n v="-1.7046433831594099E-2"/>
        <n v="4.47553910604781E-3"/>
        <n v="-9.3442287842355753E-3"/>
        <n v="3.2482455979634395E-3"/>
        <n v="-4.6696781282168365E-3"/>
        <n v="1.688922951425198E-3"/>
        <n v="-1.1802827381622638E-2"/>
        <n v="6.9504521490948434E-4"/>
        <n v="-2.9681360613652563E-3"/>
        <n v="-7.2839575983497662E-3"/>
        <n v="-8.0392468068813949E-3"/>
        <n v="-2.7659002407856015E-3"/>
        <n v="-1.5479960016900551E-2"/>
        <n v="3.9309704948302659E-3"/>
        <n v="-8.9402710070638491E-3"/>
        <n v="1.4025190526788078E-2"/>
        <n v="4.9998954018550812E-3"/>
        <n v="-1.1436334283703165E-2"/>
        <n v="7.1895425521284473E-4"/>
        <n v="1.5609768659491374E-2"/>
        <n v="-2.1221863559774956E-3"/>
        <n v="3.9311250529119324E-3"/>
        <n v="-1.2943377558938263E-4"/>
        <n v="5.6950001430335906E-3"/>
        <n v="-2.5093770380695268E-3"/>
        <n v="-1.3548310528344043E-3"/>
        <n v="-1.5762342140075658E-2"/>
        <n v="-1.2404832191679649E-2"/>
        <n v="-6.3135561339779933E-3"/>
        <n v="-1.4044709328113747E-3"/>
        <n v="1.9422099363026746E-3"/>
        <n v="-2.4731702111648879E-3"/>
        <n v="-1.735585947518159E-2"/>
        <n v="-2.7275941773590162E-3"/>
        <n v="2.5982743987393864E-3"/>
        <n v="-1.8892210357596251E-2"/>
        <n v="1.7796279783666158E-2"/>
        <n v="-1.1338138384563212E-2"/>
        <n v="-8.0828925161925413E-3"/>
        <n v="6.1986951222956499E-3"/>
        <n v="5.5374573833260055E-3"/>
        <n v="3.9925562473539511E-3"/>
        <n v="-1.8512484125497997E-3"/>
        <n v="-3.6404453246201562E-3"/>
        <n v="-1.1789090544753633E-2"/>
        <n v="8.9297995578860867E-3"/>
        <n v="-4.1489227544598828E-3"/>
        <n v="1.1803299249020238E-3"/>
        <n v="-3.6755397466875506E-3"/>
        <n v="1.78894359345112E-2"/>
        <n v="-2.7080577794382887E-2"/>
        <n v="-1.47615365856546E-3"/>
        <n v="1.6964710438452935E-2"/>
        <n v="1.9380495510701312E-3"/>
        <n v="1.519956834412195E-3"/>
        <n v="1.9314419649932413E-2"/>
        <n v="-5.0080260552503031E-3"/>
        <n v="7.6176551378077662E-3"/>
        <n v="-1.9439799600316832E-2"/>
        <n v="9.430672446425481E-3"/>
        <n v="1.2275529191763113E-3"/>
        <n v="4.1343079625209E-2"/>
        <n v="-1.6416956606973065E-2"/>
        <n v="5.1203113507953812E-3"/>
        <n v="1.1379379919365107E-2"/>
        <n v="-4.7097910211606475E-3"/>
        <n v="-1.8403280779304421E-3"/>
        <n v="1.0666989413836925E-2"/>
        <n v="7.8181166491595455E-3"/>
        <n v="-7.6281595980548511E-3"/>
        <n v="-2.5406863012169545E-3"/>
        <n v="7.3145766400217749E-3"/>
        <n v="1.2253633565997513E-2"/>
        <n v="-5.5721142942339874E-3"/>
        <n v="1.2817092542720232E-2"/>
        <n v="-6.995263350971892E-3"/>
        <n v="5.163682419377924E-4"/>
        <n v="1.8710952694710681E-2"/>
        <n v="1.1337011465590185E-2"/>
        <n v="1.6407839449249062E-2"/>
        <n v="8.8725823695208206E-3"/>
        <n v="1.4351911170111809E-2"/>
        <n v="-1.8122629049106664E-2"/>
        <n v="3.9856075123068102E-3"/>
        <n v="7.8789716882663452E-3"/>
        <n v="1.3695253089083925E-2"/>
        <n v="-1.111911908551555E-2"/>
        <n v="-1.8135193298388641E-3"/>
        <n v="4.2999590934997833E-3"/>
        <n v="5.1859711770001482E-3"/>
        <n v="6.0590667212754301E-3"/>
        <n v="-1.0972002379382007E-2"/>
        <n v="-1.8147666810750862E-2"/>
        <n v="8.5965841484991756E-4"/>
        <n v="-1.1044501929449169E-3"/>
        <n v="1.8437544537608375E-4"/>
        <n v="8.6587207070962791E-3"/>
        <n v="-7.6711720969362407E-3"/>
        <n v="1.8407503215756016E-4"/>
        <n v="3.7419766232900109E-3"/>
        <n v="-2.0780238375054383E-3"/>
        <n v="-1.3901692668522814E-2"/>
        <n v="4.3474367873992392E-3"/>
        <n v="8.7187843583718116E-3"/>
        <n v="3.5554394336128059E-3"/>
        <n v="1.3010691063005231E-2"/>
        <n v="-7.5916509740219573E-2"/>
        <n v="1.376821409911555E-2"/>
        <n v="2.8707778363734615E-2"/>
        <n v="-4.1171335901226458E-2"/>
        <n v="-1.7097591748868157E-2"/>
        <n v="-4.116124067475857E-3"/>
        <n v="6.4666556528212293E-3"/>
        <n v="-1.5102286804275056E-2"/>
        <n v="2.0444938764269338E-2"/>
        <n v="1.7333661575516635E-2"/>
        <n v="-4.7940631404470579E-3"/>
        <n v="1.8878227678922332E-3"/>
        <n v="2.3130398046881995E-2"/>
        <n v="-3.4927064072084457E-3"/>
        <n v="5.2892378881408408E-3"/>
        <n v="-1.5023769185564029E-2"/>
        <n v="-2.8961533889247937E-3"/>
        <n v="-2.2589594003286084E-3"/>
        <n v="4.9811257448268975E-3"/>
        <n v="3.6048476885344183E-3"/>
        <n v="2.5654834672159677E-3"/>
        <n v="-1.1835288675324462E-2"/>
        <n v="1.0746850613026826E-2"/>
        <n v="-7.173834101663723E-3"/>
        <n v="-3.4192202350100676E-3"/>
        <n v="1.8320635164096544E-2"/>
        <n v="-1.0425965596158715E-2"/>
        <n v="-9.2510603403425096E-3"/>
        <n v="-5.186785653500392E-4"/>
        <n v="-3.6979247309858243E-2"/>
        <n v="-1.4012554478596839E-2"/>
        <n v="2.2205674978800438E-2"/>
        <n v="1.1496523967108985E-2"/>
        <n v="7.6654563405984533E-3"/>
        <n v="7.6725205095180549E-3"/>
        <n v="-3.1238233051384956E-3"/>
        <n v="-3.7212030516831085E-3"/>
        <n v="2.1624438664880063E-3"/>
        <n v="1.0617265130874021E-2"/>
        <n v="-5.3506819978927922E-3"/>
        <n v="7.5444265855131309E-3"/>
        <n v="1.0613295933547207E-2"/>
        <n v="1.224117616058118E-3"/>
        <n v="-6.3062403891452901E-3"/>
        <n v="-7.771002652386616E-3"/>
        <n v="2.8715950336473117E-3"/>
        <n v="8.9158248664753526E-3"/>
        <n v="1.2901046711917274E-3"/>
        <n v="7.8594183147842056E-3"/>
        <n v="-7.6062903272243743E-3"/>
        <n v="9.017152171922449E-3"/>
        <n v="2.808639063474061E-3"/>
        <n v="-1.1966874563452579E-2"/>
        <n v="-1.8296696143815017E-2"/>
        <n v="-1.0828253243528763E-2"/>
        <n v="-6.2363040637662959E-3"/>
        <n v="1.0214321580205521E-2"/>
        <n v="5.749463859161752E-3"/>
        <n v="5.9131889599917109E-4"/>
        <n v="-1.7731137454932711E-3"/>
        <n v="2.6315735321957856E-3"/>
        <n v="2.2307151351732557E-3"/>
        <n v="2.0752882657671279E-2"/>
        <n v="-2.3088929190473451E-3"/>
        <n v="2.8926444929764372E-3"/>
        <n v="-4.7431422031385395E-3"/>
        <n v="3.348905891785936E-3"/>
        <n v="3.1452769595561314E-3"/>
        <n v="9.0223499161403709E-3"/>
        <n v="-5.0098929317881069E-3"/>
        <n v="-5.0977183972111817E-4"/>
        <n v="-1.0521775337656747E-2"/>
        <n v="6.1932151199562524E-2"/>
        <n v="-1.0923544867230461E-2"/>
        <n v="4.4176554211499131E-3"/>
        <n v="4.0317306633090855E-3"/>
        <n v="2.1720595456050651E-2"/>
        <n v="6.9672856373834691E-3"/>
        <n v="2.7202210435102181E-3"/>
        <n v="-7.4309591012230447E-3"/>
        <n v="-1.235888877799296E-2"/>
        <n v="1.1370507250481499E-2"/>
        <n v="-5.0564301324161898E-3"/>
        <n v="-1.5066193893218283E-2"/>
        <n v="1.5721692622491235E-2"/>
        <n v="2.2171703656581832E-2"/>
        <n v="-1.7538360362646666E-3"/>
        <n v="-8.7864189370412404E-4"/>
        <n v="5.5102768285626436E-3"/>
        <n v="1.0493867347085795E-2"/>
        <n v="2.826992736622902E-3"/>
        <n v="-5.9832938898005672E-3"/>
        <n v="9.4919283758601036E-3"/>
        <n v="1.7200284680762845E-3"/>
        <n v="1.0988940164025296E-2"/>
        <n v="-2.207881577647175E-3"/>
        <n v="8.7943649333561691E-3"/>
        <n v="5.8491836872385239E-3"/>
        <n v="5.0320304391493487E-4"/>
        <n v="2.01197464936409E-3"/>
        <n v="-4.9081782907868243E-3"/>
        <n v="-3.5005792366349375E-3"/>
        <n v="1.6997845490973607E-3"/>
        <n v="-7.5796689894169766E-3"/>
        <n v="9.8033350860833313E-3"/>
        <n v="5.0234337228451942E-3"/>
        <n v="-3.3692457964207279E-4"/>
        <n v="4.2696730747524558E-3"/>
        <n v="-1.846089226516856E-3"/>
        <n v="-1.6813036028643369E-3"/>
        <n v="-6.5681444991789739E-3"/>
        <n v="-6.6117457235496113E-3"/>
        <n v="1.5416211478350039E-2"/>
        <n v="-2.4651243743576412E-3"/>
        <n v="-3.706606355074249E-3"/>
        <n v="-5.2986482591836914E-3"/>
        <n v="4.1935204868885911E-3"/>
        <n v="-1.7155796714148019E-2"/>
        <n v="1.165606335669378E-2"/>
        <n v="-1.1237838276538792E-2"/>
        <n v="1.3604148986932296E-2"/>
        <n v="6.2296015719165432E-4"/>
        <n v="5.8860104792497481E-3"/>
        <n v="1.114055259684732E-2"/>
        <n v="1.062825213162899E-2"/>
        <n v="2.0922768382084289E-2"/>
        <n v="3.3976181169679265E-3"/>
        <n v="-3.7619773246566623E-4"/>
        <n v="1.430264693094796E-2"/>
        <n v="-2.5445525086383869E-3"/>
        <n v="3.8797055292114635E-3"/>
        <n v="4.2352530774545372E-3"/>
        <n v="7.327682697899629E-3"/>
        <n v="-1.8840449820919369E-3"/>
        <n v="9.4384135780289924E-4"/>
        <n v="-2.6188574982055624E-4"/>
        <n v="1.676670556933102E-3"/>
        <n v="4.9693701560682424E-3"/>
        <n v="5.7256274539829732E-3"/>
        <n v="2.5876538305280583E-3"/>
        <n v="-9.4981456779866802E-3"/>
        <n v="5.5242690935302097E-3"/>
        <n v="-2.4359390126043046E-3"/>
        <n v="-1.07550006417102E-2"/>
        <n v="-5.2514695552596802E-4"/>
        <n v="-1.7708953907522473E-2"/>
        <n v="-1.765320660190417E-3"/>
        <n v="1.3129691471096328E-2"/>
        <n v="-9.5217884208353976E-4"/>
        <n v="-1.3819012239522643E-2"/>
        <n v="3.2213331359438602E-3"/>
        <n v="-4.6024043909088652E-3"/>
        <n v="5.2150946924165442E-3"/>
        <n v="-2.1394555665206205E-3"/>
        <n v="9.8623132492581256E-3"/>
        <n v="2.8766970554664706E-2"/>
        <n v="2.8891029202464669E-3"/>
        <n v="4.4242034085661963E-3"/>
        <n v="3.4826933273706118E-3"/>
        <n v="1.8629160842635217E-2"/>
        <n v="2.1043217712586326E-3"/>
        <n v="1.2549966820757819E-2"/>
        <n v="2.7654233301908082E-3"/>
        <n v="4.0871512738351878E-3"/>
        <n v="1.0544411987812197E-2"/>
        <n v="9.3773629618691956E-3"/>
        <n v="4.3063188207768111E-3"/>
        <n v="-3.0833955854863149E-3"/>
        <n v="-7.6358490853025707E-3"/>
        <n v="3.8964775197047885E-4"/>
        <n v="-4.3816420763220787E-4"/>
        <n v="-1.3880054932037922E-2"/>
        <n v="-2.7163804676014758E-3"/>
        <n v="-1.5351724331837957E-3"/>
        <n v="-8.2332574935498615E-3"/>
        <n v="3.2906521415745793E-2"/>
        <n v="1.6800628837750464E-2"/>
        <n v="7.4758941478094698E-3"/>
        <n v="1.2241144286015082E-2"/>
        <n v="-2.2738929596101021E-2"/>
        <n v="4.92115253789005E-3"/>
        <n v="-9.6039783781752819E-3"/>
        <n v="-9.3129428152739502E-3"/>
        <n v="4.6033187704237477E-3"/>
        <n v="-7.4280793409989831E-3"/>
        <n v="9.7190900839008165E-3"/>
        <n v="-7.2188012572371729E-4"/>
        <n v="-3.3720001236436925E-4"/>
        <n v="-3.1316363582306606E-3"/>
        <n v="1.9334558625883069E-4"/>
        <n v="1.9328584596236542E-3"/>
        <n v="-1.4661222215699321E-2"/>
        <n v="2.3493705511323792E-3"/>
        <n v="1.3184234697382946E-2"/>
        <n v="-8.3859445439534719E-3"/>
        <n v="-6.6099121537799288E-3"/>
        <n v="2.6077602442412973E-2"/>
        <n v="1.8739229572096061E-2"/>
        <n v="2.2934652909384345E-2"/>
        <n v="4.6671939973252918E-3"/>
        <n v="-4.1445217150692937E-3"/>
        <n v="-2.0579539068278363E-3"/>
        <n v="-9.1652450626600324E-4"/>
        <n v="2.2017333200761158E-3"/>
        <n v="7.5517958631945437E-3"/>
        <n v="6.1324949133574336E-3"/>
        <n v="1.3318870872032207E-2"/>
        <n v="1.4614170340161214E-2"/>
        <n v="-1.8883398469721202E-3"/>
        <n v="-1.7600921737137565E-4"/>
        <n v="1.540165069088828E-2"/>
        <n v="1.0184168034526708E-2"/>
        <n v="5.8772491656999826E-3"/>
        <n v="1.4159569094184477E-2"/>
        <n v="9.2518808119872453E-3"/>
        <n v="-5.6252653828858801E-3"/>
        <n v="-1.2151008427028209E-3"/>
        <n v="1.0530675108519683E-2"/>
        <n v="1.5320067339040788E-2"/>
        <n v="-4.4980357290325124E-3"/>
        <n v="-4.9291424679975826E-4"/>
        <n v="6.8220308812354524E-3"/>
        <n v="7.8370526817730379E-3"/>
        <n v="-1.7901276108735265E-2"/>
        <n v="1.3815010208115153E-2"/>
        <n v="7.1154266020849732E-3"/>
        <n v="-4.5070655288907968E-3"/>
        <n v="-6.933955783152701E-3"/>
        <n v="2.0372067464276888E-2"/>
        <n v="5.2328853268535092E-4"/>
        <n v="-7.2819521722031766E-3"/>
        <n v="-5.8763423716545748E-3"/>
        <n v="-2.3114533632765055E-2"/>
        <n v="3.2132123593111572E-3"/>
        <n v="9.1098079032785328E-3"/>
        <n v="4.616931693298465E-3"/>
        <n v="-2.9543873127021447E-3"/>
        <n v="-3.9096770127046154E-3"/>
        <n v="-2.1483513212237071E-3"/>
        <n v="6.9145225752149653E-3"/>
        <n v="-2.0889006544951627E-2"/>
        <n v="-3.4857941834596229E-3"/>
        <n v="1.348643485331813E-3"/>
        <n v="-9.3855479226168104E-3"/>
        <n v="2.1242740759541689E-4"/>
        <n v="-6.3714687532723246E-4"/>
        <n v="1.9807001577510031E-2"/>
        <n v="-2.8757579806601985E-3"/>
        <n v="5.0576107952831073E-3"/>
        <n v="8.4841591054596321E-3"/>
        <n v="8.0415402792477497E-3"/>
        <n v="-1.3091397378595104E-3"/>
        <n v="-4.4240441335712255E-3"/>
        <n v="-8.5171295119067514E-3"/>
        <n v="-1.0623677748186844E-2"/>
        <n v="1.2121972862090713E-2"/>
        <n v="4.1403229871672664E-5"/>
        <n v="-1.1810497821745924E-2"/>
        <n v="-2.0968116762440925E-3"/>
        <n v="8.993102697498534E-3"/>
        <n v="-5.9558777612351843E-3"/>
        <n v="-1.7304229491238332E-2"/>
        <n v="-1.5349161024200697E-3"/>
        <n v="-1.4903015584691093E-2"/>
        <n v="-1.9636776088424401E-2"/>
        <n v="-2.6525308734171027E-4"/>
        <n v="2.0123790467088787E-2"/>
        <n v="-1.3657059679457184E-2"/>
        <n v="-9.494484857008989E-3"/>
        <n v="1.0872454453272784E-2"/>
        <n v="-1.931606926378393E-3"/>
        <n v="1.0996319732185178E-2"/>
        <n v="-1.1572835317945729E-2"/>
        <n v="-1.3160780695198215E-2"/>
        <n v="6.0214305374171051E-3"/>
        <n v="-4.1232565207838245E-3"/>
        <n v="-9.393694034258715E-3"/>
        <n v="-5.3480129360374828E-3"/>
        <n v="4.9696671404730886E-4"/>
        <n v="1.2780538949712428E-2"/>
        <n v="2.7468165125146049E-2"/>
        <n v="1.6492106007703899E-3"/>
        <n v="-1.7721001185035057E-2"/>
        <n v="9.7481111790744812E-3"/>
        <n v="4.7177950854322415E-3"/>
        <n v="-2.9564782698280334E-3"/>
        <n v="1.0509290139404381E-2"/>
        <n v="1.1263116632473036E-2"/>
        <n v="-1.2103035726260702E-2"/>
        <n v="4.8223157775273418E-3"/>
        <n v="-2.1185103056698962E-3"/>
        <n v="-2.3700178285857576E-2"/>
        <n v="-8.0770749985763501E-3"/>
        <n v="-2.7739033261374724E-3"/>
        <n v="1.570308692512512E-3"/>
        <n v="2.2083822587668722E-2"/>
        <n v="2.0160433625939111E-2"/>
        <n v="-2.6206151959236035E-3"/>
        <n v="2.0847675144487265E-2"/>
        <n v="6.2869430091312406E-3"/>
        <n v="-6.7090300819327986E-4"/>
        <n v="1.0657463460824967E-2"/>
        <n v="-2.1629889818959858E-2"/>
        <n v="-2.0368793128610063E-3"/>
        <n v="-4.167002968190725E-3"/>
        <n v="-2.4807846431687874E-2"/>
        <n v="1.2697552012935542E-2"/>
        <n v="3.3680698564787059E-2"/>
        <n v="8.0307769543270791E-3"/>
        <n v="1.6099605322873467E-2"/>
        <n v="3.993792300019372E-2"/>
        <n v="1.5118220561340934E-2"/>
        <n v="-1.7562215672182413E-2"/>
        <n v="3.9353099924754886E-5"/>
        <n v="3.5672151231556537E-2"/>
        <n v="-1.4104401810124845E-2"/>
        <n v="3.0501693100212224E-2"/>
        <n v="-1.4369093242829645E-2"/>
        <n v="-1.6324935051663769E-2"/>
        <n v="-8.1821500086747267E-3"/>
        <n v="3.0740835612532713E-3"/>
        <n v="-1.5207289743680574E-2"/>
        <n v="-2.6905659510874647E-2"/>
        <n v="1.1942340285074016E-2"/>
        <n v="1.2281441974787644E-2"/>
        <n v="-1.6677150149708497E-2"/>
        <n v="7.1939282752306877E-3"/>
        <n v="2.003114105676107E-2"/>
        <n v="1.4239267931509314E-2"/>
        <n v="1.5929359578114255E-2"/>
        <n v="9.681163134533044E-3"/>
        <n v="2.9328773961088128E-3"/>
        <n v="-4.4989770839576337E-3"/>
        <n v="-3.6568340676071287E-2"/>
        <n v="2.071764381685659E-3"/>
        <n v="-7.5677877714693809E-3"/>
        <n v="2.0439016005144861E-3"/>
        <n v="1.0434251514267023E-2"/>
        <n v="-2.3680475182831229E-3"/>
        <n v="8.7943775835821469E-3"/>
        <n v="9.9136222073425984E-3"/>
        <n v="-7.6773606217048762E-3"/>
        <n v="4.0800523802890787E-3"/>
        <n v="4.6768430928911808E-3"/>
        <n v="-6.6009636652395454E-3"/>
        <n v="7.7587438690849275E-3"/>
        <n v="3.3311698734724837E-2"/>
      </sharedItems>
    </cacheField>
    <cacheField name="JPM" numFmtId="0">
      <sharedItems containsSemiMixedTypes="0" containsString="0" containsNumber="1" minValue="-7.4838314490218272E-2" maxValue="0.11544540462589015" count="1411">
        <n v="5.4412015243594514E-3"/>
        <n v="4.6955805972659581E-2"/>
        <n v="3.2839267618669954E-2"/>
        <n v="1.1039697007055871E-3"/>
        <n v="1.4924325970954833E-2"/>
        <n v="1.5718725690663238E-2"/>
        <n v="9.2717956753984865E-4"/>
        <n v="5.8426822877049034E-3"/>
        <n v="-1.7921616442610366E-2"/>
        <n v="-4.3279025294470364E-3"/>
        <n v="-1.4995646061488288E-2"/>
        <n v="-8.3842056716519897E-3"/>
        <n v="-7.7134381436053667E-3"/>
        <n v="-1.24822477473715E-2"/>
        <n v="-4.087240454272556E-3"/>
        <n v="-2.8271597945779048E-2"/>
        <n v="1.7597492288252914E-2"/>
        <n v="-1.1067637865458391E-2"/>
        <n v="7.3829809450931538E-3"/>
        <n v="3.0782369218507855E-2"/>
        <n v="1.1451250253361023E-2"/>
        <n v="2.3013314667882812E-2"/>
        <n v="-1.9531640498360314E-3"/>
        <n v="1.5654686427643449E-2"/>
        <n v="-3.9958317716000114E-3"/>
        <n v="5.7290835340095825E-4"/>
        <n v="-2.7928791852396273E-3"/>
        <n v="1.4217239122363834E-2"/>
        <n v="2.407083438350921E-2"/>
        <n v="3.1111845903810664E-3"/>
        <n v="3.37673014920159E-3"/>
        <n v="1.6690868216298727E-2"/>
        <n v="9.3904653913843283E-3"/>
        <n v="8.03163100162263E-3"/>
        <n v="1.7595151907126905E-2"/>
        <n v="-1.3571744435340483E-2"/>
        <n v="-2.6524886775199819E-2"/>
        <n v="2.2626969419926812E-2"/>
        <n v="-3.2553403914336032E-3"/>
        <n v="1.9331920041815609E-2"/>
        <n v="-1.5368714253532589E-2"/>
        <n v="2.3244821360555168E-3"/>
        <n v="1.3253309124978463E-2"/>
        <n v="-7.0634007085824679E-3"/>
        <n v="2.1734889721644945E-2"/>
        <n v="-5.2212339880578496E-3"/>
        <n v="1.1858097786625166E-2"/>
        <n v="-4.9949880945538983E-3"/>
        <n v="-1.1971292498516251E-2"/>
        <n v="1.0292490669919552E-2"/>
        <n v="1.6506415733773094E-2"/>
        <n v="-1.5921449624706985E-2"/>
        <n v="-2.68788449275289E-2"/>
        <n v="-1.000179265608947E-2"/>
        <n v="7.7611323251640663E-3"/>
        <n v="1.2813998065193566E-2"/>
        <n v="1.6650055372890549E-2"/>
        <n v="-1.5539484401802639E-2"/>
        <n v="1.1789537753458923E-2"/>
        <n v="-1.4564865416100137E-2"/>
        <n v="9.7220318055859511E-3"/>
        <n v="5.3005385557500784E-3"/>
        <n v="-7.0304609531987028E-3"/>
        <n v="1.5668329390303048E-2"/>
        <n v="1.2262896106753907E-3"/>
        <n v="7.477999174131611E-3"/>
        <n v="-2.1115551947885614E-3"/>
        <n v="-1.1926747721042741E-2"/>
        <n v="-1.8690557146686659E-2"/>
        <n v="6.3491176209091726E-3"/>
        <n v="7.4254698564943933E-3"/>
        <n v="-4.2399700764051973E-3"/>
        <n v="-2.2141656287355871E-2"/>
        <n v="8.5075425240224156E-3"/>
        <n v="-2.105755072781057E-2"/>
        <n v="1.913545381440418E-2"/>
        <n v="2.4637461308554265E-3"/>
        <n v="4.5829306683011772E-3"/>
        <n v="6.4792136679017176E-3"/>
        <n v="1.9444466976589636E-2"/>
        <n v="-8.8926264941097122E-3"/>
        <n v="-2.9253351482450007E-3"/>
        <n v="1.3823356167941059E-2"/>
        <n v="1.3120994385217966E-2"/>
        <n v="2.0124335686479533E-2"/>
        <n v="3.4226389224709663E-3"/>
        <n v="-1.2415077793781482E-4"/>
        <n v="-1.6623167146250895E-2"/>
        <n v="-6.8749218384903665E-3"/>
        <n v="2.572221356954052E-2"/>
        <n v="1.5541569050397275E-2"/>
        <n v="4.0243883170472117E-3"/>
        <n v="-1.4088838812513993E-2"/>
        <n v="-7.6376503940949192E-3"/>
        <n v="-1.738001742751516E-3"/>
        <n v="1.1378426742530756E-2"/>
        <n v="5.4100273153026013E-3"/>
        <n v="-1.0333894807008304E-2"/>
        <n v="-1.2346794706541431E-4"/>
        <n v="1.5571671300421031E-2"/>
        <n v="-6.6900865552432798E-4"/>
        <n v="1.1020300670907313E-2"/>
        <n v="6.0120129235174957E-5"/>
        <n v="6.6253845650332543E-4"/>
        <n v="1.6243738127914575E-3"/>
        <n v="-4.6859076166479996E-3"/>
        <n v="-3.983988874899036E-3"/>
        <n v="-1.2484849289762567E-2"/>
        <n v="-1.5588447231872249E-2"/>
        <n v="-6.8624237464798288E-4"/>
        <n v="-1.6969063708448862E-2"/>
        <n v="-1.5167825666473234E-2"/>
        <n v="7.0241154235444192E-3"/>
        <n v="-2.8860395182310539E-2"/>
        <n v="-2.5303054595037344E-2"/>
        <n v="1.6968620397781908E-2"/>
        <n v="-1.4622927219143378E-3"/>
        <n v="6.0580426763066075E-3"/>
        <n v="9.1980704571990035E-3"/>
        <n v="1.0097698399412103E-2"/>
        <n v="1.8176532515954413E-3"/>
        <n v="-1.2312824168114744E-3"/>
        <n v="9.0827349392383905E-3"/>
        <n v="9.9009900990099098E-3"/>
        <n v="-9.6049577747236992E-4"/>
        <n v="-1.679164377639264E-2"/>
        <n v="1.1732937643984531E-3"/>
        <n v="-1.7253404773578951E-2"/>
        <n v="3.1999239297174853E-2"/>
        <n v="1.4315585867094471E-2"/>
        <n v="-1.4873088002241408E-2"/>
        <n v="-3.4052338236117974E-3"/>
        <n v="2.1921872075481019E-3"/>
        <n v="-2.2835638706238504E-2"/>
        <n v="-3.2519349763263206E-2"/>
        <n v="1.8643083853697062E-2"/>
        <n v="2.1040965575471748E-2"/>
        <n v="-1.2625964388334632E-2"/>
        <n v="-1.921589919741673E-3"/>
        <n v="6.7048793554480568E-3"/>
        <n v="-1.3188403053834286E-3"/>
        <n v="1.6507845165592006E-3"/>
        <n v="8.5695220113082282E-3"/>
        <n v="-7.9736470681843752E-3"/>
        <n v="-4.019438221986471E-3"/>
        <n v="1.1378202818418393E-2"/>
        <n v="-1.0792243654523803E-2"/>
        <n v="1.2629150199831685E-2"/>
        <n v="2.8403430627948367E-2"/>
        <n v="-1.0792558031683663E-3"/>
        <n v="1.226701961179999E-2"/>
        <n v="1.193019647212501E-2"/>
        <n v="3.9092111908614058E-3"/>
        <n v="-1.1187215002304352E-2"/>
        <n v="-6.5635516485569312E-3"/>
        <n v="-1.2080963804873668E-2"/>
        <n v="-9.1073702263345657E-3"/>
        <n v="-8.3561406925078963E-3"/>
        <n v="2.8521903649609825E-3"/>
        <n v="1.2797068007307733E-2"/>
        <n v="6.1905599533518263E-3"/>
        <n v="2.0612505428845962E-2"/>
        <n v="5.1576934384880424E-3"/>
        <n v="8.0373953070489446E-3"/>
        <n v="-1.6007390751294759E-2"/>
        <n v="-3.0539503200369689E-3"/>
        <n v="-1.4380832821251355E-3"/>
        <n v="4.6331352426403072E-3"/>
        <n v="-6.0453887489837488E-3"/>
        <n v="-1.7554631485555694E-3"/>
        <n v="-4.4595339032754699E-3"/>
        <n v="4.353609775825884E-3"/>
        <n v="-1.1496153211942528E-2"/>
        <n v="1.588742015136213E-2"/>
        <n v="-1.7452880090292666E-2"/>
        <n v="6.9395781977419357E-3"/>
        <n v="-4.4247424776922006E-4"/>
        <n v="-2.5934540388753424E-3"/>
        <n v="-2.9933965291365827E-2"/>
        <n v="1.3046057784316112E-4"/>
        <n v="1.9152822204071107E-2"/>
        <n v="3.3801462216029865E-2"/>
        <n v="1.1540362139518479E-2"/>
        <n v="2.416607935192272E-2"/>
        <n v="-5.390232649897353E-3"/>
        <n v="-7.8287809477106673E-4"/>
        <n v="-1.3618517699571453E-2"/>
        <n v="2.101532501480019E-2"/>
        <n v="-1.0772864012250638E-3"/>
        <n v="1.6330742620134009E-2"/>
        <n v="2.1342644115331932E-3"/>
        <n v="6.3304784535527236E-3"/>
        <n v="7.6439009320528051E-4"/>
        <n v="-2.1031734210774755E-2"/>
        <n v="-7.6810589476352664E-3"/>
        <n v="-2.6366666039519981E-2"/>
        <n v="1.5341473715857035E-2"/>
        <n v="1.9208368496837158E-2"/>
        <n v="-3.6005320121346163E-4"/>
        <n v="1.2128668473016413E-2"/>
        <n v="1.3465934634935284E-2"/>
        <n v="-7.8434635556685617E-3"/>
        <n v="1.3451579212844011E-2"/>
        <n v="-4.8901343283507259E-3"/>
        <n v="2.690920513821915E-3"/>
        <n v="-2.0828475829310689E-2"/>
        <n v="1.5074882297093639E-2"/>
        <n v="-2.7589043122105972E-3"/>
        <n v="-5.2985495410340366E-4"/>
        <n v="3.9458020367257873E-3"/>
        <n v="3.5200122933232159E-4"/>
        <n v="-1.3135579126041796E-2"/>
        <n v="-1.4259376017222714E-3"/>
        <n v="6.0100503334938882E-3"/>
        <n v="-7.5713109659664157E-3"/>
        <n v="-9.5368535513640218E-4"/>
        <n v="-5.9578915503788465E-5"/>
        <n v="-4.4748379967124441E-3"/>
        <n v="-1.7977748467276067E-3"/>
        <n v="-7.2045666382940521E-3"/>
        <n v="-5.382269621573843E-3"/>
        <n v="-8.6337353185114152E-3"/>
        <n v="-1.3063494238817586E-2"/>
        <n v="2.131471960902287E-2"/>
        <n v="2.39128072508068E-2"/>
        <n v="-7.8442952789797848E-3"/>
        <n v="-3.0126912633353542E-2"/>
        <n v="-4.3231206547340584E-3"/>
        <n v="-1.4885265629667521E-2"/>
        <n v="-5.9182566969575578E-3"/>
        <n v="2.1027133143756149E-2"/>
        <n v="-1.8113091026492389E-2"/>
        <n v="1.1814022238312738E-2"/>
        <n v="1.5047167416828433E-2"/>
        <n v="-1.1440929256194776E-2"/>
        <n v="-1.5557610271488276E-3"/>
        <n v="-3.9882299493991802E-3"/>
        <n v="-1.188848598212866E-2"/>
        <n v="7.6617568162826721E-3"/>
        <n v="-7.4778774014373495E-3"/>
        <n v="1.5638814654487465E-2"/>
        <n v="-2.2754599584175916E-2"/>
        <n v="-1.798911793234137E-2"/>
        <n v="1.396677362783727E-2"/>
        <n v="3.907616609347242E-3"/>
        <n v="3.5739718496241579E-3"/>
        <n v="5.7228892617267046E-3"/>
        <n v="3.034969970360013E-3"/>
        <n v="-5.0415333282405328E-4"/>
        <n v="-5.0462444125443096E-4"/>
        <n v="-8.2038805309359031E-4"/>
        <n v="2.1155688766402614E-2"/>
        <n v="3.7909789559428919E-2"/>
        <n v="-1.8281870423873858E-2"/>
        <n v="1.0623874470214734E-2"/>
        <n v="9.9081056568683934E-3"/>
        <n v="9.5724307452771384E-4"/>
        <n v="1.0159640849700668E-3"/>
        <n v="5.6718521521494925E-3"/>
        <n v="-1.246675742682446E-3"/>
        <n v="-6.1463283243924138E-2"/>
        <n v="-4.1928134946417894E-2"/>
        <n v="-1.5469006189319345E-2"/>
        <n v="-8.5271794523495981E-3"/>
        <n v="-1.7472846104125028E-2"/>
        <n v="-8.9600363300734731E-4"/>
        <n v="1.0900427173964777E-2"/>
        <n v="9.4859992569877871E-3"/>
        <n v="-1.7644742506658817E-2"/>
        <n v="8.9460894693607074E-3"/>
        <n v="1.3573674506851541E-2"/>
        <n v="1.7160416463053663E-2"/>
        <n v="-8.0053853053736468E-3"/>
        <n v="-8.2699778029160509E-3"/>
        <n v="2.5958002064598196E-2"/>
        <n v="3.3429971774527889E-3"/>
        <n v="1.881486110148356E-2"/>
        <n v="4.1683014289457532E-3"/>
        <n v="-4.1509988146549714E-3"/>
        <n v="-1.3016779809928991E-2"/>
        <n v="-9.2905386654162925E-3"/>
        <n v="1.4623877793799478E-2"/>
        <n v="1.8095613884259176E-3"/>
        <n v="-2.3031941707428394E-2"/>
        <n v="4.6884227596115657E-3"/>
        <n v="-1.7745490516084539E-3"/>
        <n v="-2.0938898903777536E-2"/>
        <n v="-2.7843153072186877E-2"/>
        <n v="2.3659521332044298E-2"/>
        <n v="-4.1697694701229637E-2"/>
        <n v="-3.7729350260291228E-2"/>
        <n v="2.0740422774945699E-2"/>
        <n v="-7.1080058928431056E-3"/>
        <n v="-2.8129365502536752E-2"/>
        <n v="-3.8615949903206492E-2"/>
        <n v="-7.0429049245523956E-3"/>
        <n v="4.0062602539992165E-2"/>
        <n v="-1.1840716823463326E-2"/>
        <n v="-2.2523894481183304E-2"/>
        <n v="9.9309451067850496E-3"/>
        <n v="1.7745839336065661E-2"/>
        <n v="4.4686078422534248E-2"/>
        <n v="1.2644507087184342E-2"/>
        <n v="-3.5672051203894384E-4"/>
        <n v="-3.2121180929644E-3"/>
        <n v="2.1267830758832984E-2"/>
        <n v="-1.9912992150652231E-2"/>
        <n v="6.509960825576977E-3"/>
        <n v="8.7426623779995882E-3"/>
        <n v="-7.398665052269382E-3"/>
        <n v="2.2005814930161627E-3"/>
        <n v="-4.5328558831637666E-3"/>
        <n v="-3.0027191620808247E-2"/>
        <n v="-7.4090558511232807E-3"/>
        <n v="4.434078681235798E-3"/>
        <n v="-1.1637410336762799E-2"/>
        <n v="-1.3874086259611285E-2"/>
        <n v="-3.042164385484103E-3"/>
        <n v="1.8308166816942473E-2"/>
        <n v="-3.6706106567140351E-3"/>
        <n v="-1.0977417625053554E-2"/>
        <n v="-3.22337139116462E-2"/>
        <n v="-9.2694053067555737E-3"/>
        <n v="1.8553912733532574E-2"/>
        <n v="2.0706873662786895E-2"/>
        <n v="3.5080048998239466E-3"/>
        <n v="-7.7520523948796383E-3"/>
        <n v="-2.8722427679502727E-2"/>
        <n v="-3.153769115211702E-4"/>
        <n v="-2.958113081835223E-2"/>
        <n v="-1.3005926881505148E-2"/>
        <n v="1.5812674235024637E-2"/>
        <n v="-3.2268475387349782E-2"/>
        <n v="9.1321323314073055E-3"/>
        <n v="2.141976930996381E-2"/>
        <n v="3.3081174689639559E-2"/>
        <n v="-2.5019527636367722E-2"/>
        <n v="-1.6140018026725711E-3"/>
        <n v="-1.5033831278314813E-2"/>
        <n v="-2.4372381275743593E-2"/>
        <n v="-6.3083807502694045E-3"/>
        <n v="-8.4637585533953175E-4"/>
        <n v="8.8953007362688741E-3"/>
        <n v="-6.9694283826843284E-3"/>
        <n v="3.3147187198913297E-2"/>
        <n v="-1.7105806366711218E-2"/>
        <n v="-1.4822283364631539E-2"/>
        <n v="-8.198858149303323E-3"/>
        <n v="6.1871482529918254E-2"/>
        <n v="1.4125295073849076E-2"/>
        <n v="6.964140872297131E-3"/>
        <n v="1.7290175852257228E-2"/>
        <n v="1.4137950711588632E-2"/>
        <n v="7.3129137658880516E-3"/>
        <n v="-1.7544915026077024E-2"/>
        <n v="1.6088027137897365E-2"/>
        <n v="-1.3939502804527049E-2"/>
        <n v="-3.3034995047096505E-3"/>
        <n v="2.6207573499783532E-3"/>
        <n v="-1.5914502319734791E-2"/>
        <n v="-2.10156922044612E-2"/>
        <n v="-4.5965947911354221E-2"/>
        <n v="-2.9778329146873728E-2"/>
        <n v="-1.6639280109463472E-2"/>
        <n v="1.1835718962808439E-2"/>
        <n v="-1.7156064556140049E-2"/>
        <n v="-3.5264540875772354E-3"/>
        <n v="2.4772162696879318E-2"/>
        <n v="-5.6117067073692128E-3"/>
        <n v="-1.0939309249167972E-2"/>
        <n v="2.984537210593774E-2"/>
        <n v="-8.0121615076083064E-3"/>
        <n v="-4.8117024474219061E-3"/>
        <n v="-4.4896643924977608E-3"/>
        <n v="-2.3330584785992481E-2"/>
        <n v="1.2787497673028669E-2"/>
        <n v="-3.8036652893516099E-3"/>
        <n v="-6.4820754882457532E-3"/>
        <n v="2.5292787022937135E-2"/>
        <n v="-3.1381482038629338E-3"/>
        <n v="-1.3116338891726587E-2"/>
        <n v="9.7458213813284011E-4"/>
        <n v="-9.3831160907165145E-3"/>
        <n v="-3.4938578854793345E-2"/>
        <n v="4.5833147508235195E-2"/>
        <n v="-1.0269873301812393E-2"/>
        <n v="2.4778373913901364E-2"/>
        <n v="-1.7441387362937544E-4"/>
        <n v="6.809859236587279E-3"/>
        <n v="-4.8561409872120986E-3"/>
        <n v="4.0083364726097859E-3"/>
        <n v="-1.5621995152848678E-2"/>
        <n v="1.6046304093956687E-2"/>
        <n v="-3.7313084453003409E-3"/>
        <n v="4.7905126324419012E-3"/>
        <n v="-9.9689033754513101E-3"/>
        <n v="-1.5585345435805253E-2"/>
        <n v="1.0495465084025435E-2"/>
        <n v="-1.1002414415225092E-2"/>
        <n v="3.0259856801766682E-2"/>
        <n v="-1.2180365169147223E-2"/>
        <n v="9.00744608584092E-3"/>
        <n v="2.6087683162592468E-2"/>
        <n v="1.4781523354963078E-2"/>
        <n v="1.6563998488139386E-2"/>
        <n v="2.7021018565551724E-3"/>
        <n v="9.5540878806950058E-3"/>
        <n v="-8.4123712069197332E-3"/>
        <n v="-7.7491564087528442E-3"/>
        <n v="-2.4745194951284466E-2"/>
        <n v="-1.6521871419666323E-2"/>
        <n v="-9.8568257300560846E-3"/>
        <n v="2.4236848173551095E-3"/>
        <n v="2.3747934726280562E-2"/>
        <n v="-3.2728880618408618E-2"/>
        <n v="-2.4419440842305962E-3"/>
        <n v="1.7496703109687317E-4"/>
        <n v="-5.9433566001468874E-3"/>
        <n v="6.8582856495815747E-3"/>
        <n v="-6.9863535898583295E-3"/>
        <n v="2.6376125171267972E-4"/>
        <n v="1.8990827918772712E-2"/>
        <n v="2.3295759613290334E-2"/>
        <n v="4.8061831225865159E-3"/>
        <n v="1.1831829857639198E-2"/>
        <n v="-3.4748593327401767E-2"/>
        <n v="-2.3199128136870417E-3"/>
        <n v="1.5070629345925735E-2"/>
        <n v="-6.7022647894152687E-3"/>
        <n v="9.2244606554110486E-3"/>
        <n v="-1.9719032281586668E-2"/>
        <n v="-2.8835475426734591E-2"/>
        <n v="-1.1378730987499086E-2"/>
        <n v="-1.8613489443479625E-2"/>
        <n v="-2.153188928380223E-2"/>
        <n v="-8.8023957516263351E-3"/>
        <n v="2.0217389508913941E-2"/>
        <n v="-1.694601784459937E-2"/>
        <n v="-1.5636768354753694E-2"/>
        <n v="3.0909138295175165E-2"/>
        <n v="4.6783461462414744E-2"/>
        <n v="-1.2346784233648767E-2"/>
        <n v="-2.0382313280556952E-2"/>
        <n v="-1.9973951943222601E-2"/>
        <n v="-9.3417006561642424E-3"/>
        <n v="-2.8859689802158028E-2"/>
        <n v="1.618301104560449E-2"/>
        <n v="5.5592857263473405E-2"/>
        <n v="1.664088108236994E-2"/>
        <n v="4.2000104451217934E-2"/>
        <n v="2.5720682323930433E-2"/>
        <n v="-1.9605994268992344E-2"/>
        <n v="-3.2616837433170343E-3"/>
        <n v="5.2527311731313864E-2"/>
        <n v="1.2271783608730491E-3"/>
        <n v="2.6148034816120269E-3"/>
        <n v="1.1491589151074066E-2"/>
        <n v="3.9479189665314607E-3"/>
        <n v="1.1878089160390237E-2"/>
        <n v="-1.5861852541996235E-3"/>
        <n v="1.8032903088782026E-2"/>
        <n v="-9.2078071615470103E-3"/>
        <n v="1.8113528945886692E-3"/>
        <n v="2.7358467394504427E-2"/>
        <n v="5.2801053827939981E-3"/>
        <n v="6.088236430066285E-4"/>
        <n v="-1.3008475943249942E-2"/>
        <n v="4.1159240708714906E-2"/>
        <n v="1.6284658017862164E-3"/>
        <n v="-1.0273203100797268E-2"/>
        <n v="-7.2438304564154121E-3"/>
        <n v="1.3539260785440099E-3"/>
        <n v="-4.3568841021889293E-3"/>
        <n v="9.8081867564649983E-3"/>
        <n v="-5.902488213044621E-3"/>
        <n v="1.495683091042066E-2"/>
        <n v="1.0663648848017182E-2"/>
        <n v="1.9050804995404125E-3"/>
        <n v="-1.7478450182505489E-2"/>
        <n v="1.6449416463059308E-2"/>
        <n v="1.1862930158269114E-2"/>
        <n v="-1.4039849010334837E-2"/>
        <n v="-7.9268507461299764E-3"/>
        <n v="-2.804101307136142E-2"/>
        <n v="1.6745821139154682E-3"/>
        <n v="-6.8390817624175426E-4"/>
        <n v="1.0494486849611295E-2"/>
        <n v="-5.4185253099214847E-3"/>
        <n v="1.5511441261566894E-2"/>
        <n v="-9.6871356266636788E-4"/>
        <n v="-4.9968968622393639E-3"/>
        <n v="-2.481076122600856E-2"/>
        <n v="-6.2259868720390132E-3"/>
        <n v="5.9554257144429634E-3"/>
        <n v="4.8440596499632615E-3"/>
        <n v="1.1248084578242112E-2"/>
        <n v="-1.1349916560213225E-2"/>
        <n v="4.7450428948281331E-3"/>
        <n v="3.5040247037105843E-3"/>
        <n v="5.4654149752064729E-3"/>
        <n v="5.7375505104269031E-3"/>
        <n v="6.605622480717166E-3"/>
        <n v="7.6063363397300687E-3"/>
        <n v="9.3248205213136703E-3"/>
        <n v="-2.2157124004085205E-4"/>
        <n v="1.9135728315820888E-2"/>
        <n v="-4.1322626215314351E-3"/>
        <n v="8.9539024384959198E-3"/>
        <n v="7.4313788916042789E-3"/>
        <n v="-1.002408172505187E-3"/>
        <n v="2.5234522232284284E-2"/>
        <n v="-1.5453242805328782E-2"/>
        <n v="-3.0042909127475981E-2"/>
        <n v="-1.3326315976881831E-2"/>
        <n v="2.448739753367013E-3"/>
        <n v="1.6212644974091583E-2"/>
        <n v="8.5965877416054326E-3"/>
        <n v="4.8392934403389543E-3"/>
        <n v="6.1814277765359638E-3"/>
        <n v="2.4287380901260036E-3"/>
        <n v="-8.4803412788645449E-3"/>
        <n v="5.9656827015293068E-3"/>
        <n v="-2.6438190403897943E-3"/>
        <n v="-4.6566923229689472E-3"/>
        <n v="1.5474610393653387E-2"/>
        <n v="5.8828087750686375E-3"/>
        <n v="1.2189924172380406E-2"/>
        <n v="-7.0306319957719188E-3"/>
        <n v="-1.5564057497224781E-2"/>
        <n v="4.4153719589248297E-3"/>
        <n v="1.0848001786343486E-2"/>
        <n v="4.418628825897164E-3"/>
        <n v="4.1902387085790416E-3"/>
        <n v="-1.3769041057979492E-2"/>
        <n v="2.9613693560377463E-3"/>
        <n v="-1.8349281030854869E-2"/>
        <n v="-7.6631747434837694E-3"/>
        <n v="8.0110006218230279E-3"/>
        <n v="9.0213402535193055E-3"/>
        <n v="8.7277791561906071E-3"/>
        <n v="8.3709256094708362E-3"/>
        <n v="-5.5807519788095838E-3"/>
        <n v="-1.0382320779447451E-2"/>
        <n v="1.8359472235670138E-2"/>
        <n v="-5.8468812987072516E-3"/>
        <n v="-2.9407731652392965E-2"/>
        <n v="-5.9154405228259987E-3"/>
        <n v="-5.4136610877279723E-2"/>
        <n v="2.5394983084435774E-2"/>
        <n v="-1.7957066058557958E-2"/>
        <n v="2.5675930872925301E-2"/>
        <n v="-4.7243885998610624E-2"/>
        <n v="1.9413754008194672E-2"/>
        <n v="-3.7782122530459317E-2"/>
        <n v="1.0571577642537688E-2"/>
        <n v="2.6820780717404347E-2"/>
        <n v="-2.5813857786379901E-2"/>
        <n v="-2.6735678019043085E-3"/>
        <n v="-1.5215782078693008E-2"/>
        <n v="2.8660619008457511E-2"/>
        <n v="3.0352685109091837E-3"/>
        <n v="2.0172606824302441E-3"/>
        <n v="-3.0199273836698515E-3"/>
        <n v="1.2116492586069949E-2"/>
        <n v="-1.1511501092632548E-3"/>
        <n v="-1.3368107997584255E-2"/>
        <n v="1.4911880798722521E-3"/>
        <n v="-1.097161206303765E-3"/>
        <n v="3.2948413735567339E-3"/>
        <n v="4.92615989490508E-3"/>
        <n v="-1.5560016618643147E-4"/>
        <n v="3.8132124269611989E-3"/>
        <n v="7.5509696318766029E-2"/>
        <n v="7.9291780288919256E-3"/>
        <n v="1.1227790630378154E-2"/>
        <n v="-1.2731304023748669E-3"/>
        <n v="-2.903146405925483E-3"/>
        <n v="-1.9175225217402669E-3"/>
        <n v="1.3522715183709177E-3"/>
        <n v="-2.1743977719284269E-2"/>
        <n v="-1.7723559606129702E-2"/>
        <n v="1.3458422612674381E-2"/>
        <n v="8.6830273785489798E-3"/>
        <n v="2.1411986333977007E-2"/>
        <n v="-1.6147340457186243E-2"/>
        <n v="-2.1163108874202807E-2"/>
        <n v="-1.3678500946319505E-2"/>
        <n v="1.953485645886488E-2"/>
        <n v="2.4133955213558878E-3"/>
        <n v="-4.8150503999820904E-3"/>
        <n v="5.128299218362109E-4"/>
        <n v="-3.1505588333793355E-3"/>
        <n v="-1.4332820453123896E-2"/>
        <n v="8.4264791605499489E-3"/>
        <n v="-6.7292719872633633E-3"/>
        <n v="3.0747680320307946E-2"/>
        <n v="7.5837859162088961E-3"/>
        <n v="-2.2939997301176795E-3"/>
        <n v="-8.2626004922822238E-3"/>
        <n v="-1.0432521234643E-2"/>
        <n v="-9.1516095338899373E-3"/>
        <n v="2.4384216232709033E-3"/>
        <n v="9.3610075639638524E-3"/>
        <n v="3.7974521979253772E-3"/>
        <n v="-1.2731172427766335E-2"/>
        <n v="1.3779423052341144E-2"/>
        <n v="2.1005934382534619E-2"/>
        <n v="-9.8241580165215892E-3"/>
        <n v="1.7974001002238893E-3"/>
        <n v="9.6885227906073901E-3"/>
        <n v="2.8451410380392339E-4"/>
        <n v="1.9892829683301194E-3"/>
        <n v="-7.0530668794810403E-5"/>
        <n v="7.2338609267568188E-3"/>
        <n v="-3.7317632647873022E-3"/>
        <n v="1.1308095791599859E-2"/>
        <n v="1.1879000503167703E-3"/>
        <n v="-5.0954828811754505E-3"/>
        <n v="-1.4735236121306006E-3"/>
        <n v="-1.925234218206362E-2"/>
        <n v="-5.2297064918649383E-3"/>
        <n v="2.4483484640260844E-3"/>
        <n v="7.1924539131629217E-5"/>
        <n v="-4.3824832248078316E-3"/>
        <n v="3.4923589770917252E-2"/>
        <n v="1.4013788488630441E-2"/>
        <n v="8.0445166784643973E-3"/>
        <n v="-6.6618703409193625E-3"/>
        <n v="-9.8865018766097768E-3"/>
        <n v="7.8906349145826393E-3"/>
        <n v="5.6116599844251436E-3"/>
        <n v="1.5639070387944765E-2"/>
        <n v="4.9516428687286229E-3"/>
        <n v="4.8599111788849569E-3"/>
        <n v="6.0457273206939721E-3"/>
        <n v="2.4103645840362065E-2"/>
        <n v="1.8254142251383776E-3"/>
        <n v="3.839888763199184E-3"/>
        <n v="1.2317591282951623E-2"/>
        <n v="-7.6848722215147047E-3"/>
        <n v="1.968359730029956E-2"/>
        <n v="-7.4682073506628921E-3"/>
        <n v="5.9938893863558107E-3"/>
        <n v="-1.1029244628786405E-2"/>
        <n v="5.704415139172081E-3"/>
        <n v="6.6916422046425783E-3"/>
        <n v="-4.9380331224035956E-3"/>
        <n v="-1.1324633940986928E-2"/>
        <n v="6.1134830700519949E-3"/>
        <n v="-2.1106886583063256E-3"/>
        <n v="4.7428489522021167E-3"/>
        <n v="-5.6135402913214394E-3"/>
        <n v="-1.3407826486582342E-2"/>
        <n v="-1.4953780956838969E-3"/>
        <n v="5.7955858652667391E-3"/>
        <n v="2.0719613177602181E-3"/>
        <n v="-2.5457083771625144E-2"/>
        <n v="-4.2432703126911164E-3"/>
        <n v="-1.038678189592146E-2"/>
        <n v="2.2874363725193803E-3"/>
        <n v="3.4236521735704351E-3"/>
        <n v="-2.0738545008736065E-2"/>
        <n v="6.7631226750235474E-3"/>
        <n v="-9.4987359536113924E-4"/>
        <n v="-1.2224588339035947E-3"/>
        <n v="3.4679096428085199E-3"/>
        <n v="8.1323480239778867E-3"/>
        <n v="-4.0333184316406756E-3"/>
        <n v="-1.2351493508565237E-2"/>
        <n v="3.348519988918941E-3"/>
        <n v="-1.1033965179973015E-2"/>
        <n v="-1.6526583979115106E-3"/>
        <n v="-8.5540319452175329E-3"/>
        <n v="7.6497548676024429E-4"/>
        <n v="4.3802026309773812E-3"/>
        <n v="1.3014133886484869E-2"/>
        <n v="4.7850236778468336E-4"/>
        <n v="1.9397464437870493E-2"/>
        <n v="-2.94816536635778E-3"/>
        <n v="2.0834549622232856E-3"/>
        <n v="-1.2744070984661571E-3"/>
        <n v="-4.2302052039699944E-3"/>
        <n v="-7.8219369026466534E-3"/>
        <n v="-9.5827094705581706E-3"/>
        <n v="4.9405027946707314E-3"/>
        <n v="-1.0378909439863637E-2"/>
        <n v="5.8650350272455576E-3"/>
        <n v="1.2415951597422703E-2"/>
        <n v="-1.7412945762973919E-2"/>
        <n v="-8.6196170385378634E-3"/>
        <n v="-7.3728433659374648E-3"/>
        <n v="4.484592266339904E-3"/>
        <n v="4.216576696429275E-3"/>
        <n v="1.5395184007351626E-2"/>
        <n v="-2.2742927529402213E-3"/>
        <n v="6.0786424577534692E-3"/>
        <n v="3.4329395336281099E-3"/>
        <n v="-2.3264833047089706E-3"/>
        <n v="1.5019581084309674E-2"/>
        <n v="-1.0133541025918458E-3"/>
        <n v="-2.1644673432787975E-3"/>
        <n v="-1.0981042038078259E-2"/>
        <n v="-4.2489854931677673E-3"/>
        <n v="-1.6105702785697784E-2"/>
        <n v="-1.3641024468499241E-2"/>
        <n v="1.2056139887026696E-3"/>
        <n v="-5.4543758219444127E-3"/>
        <n v="2.5639754988677765E-3"/>
        <n v="-3.6018584274452148E-2"/>
        <n v="1.2749613704078788E-2"/>
        <n v="1.1933977920816297E-2"/>
        <n v="-8.6277793317734996E-4"/>
        <n v="1.7849363164917031E-2"/>
        <n v="1.1172528554305616E-2"/>
        <n v="7.5525258553053032E-3"/>
        <n v="-4.8626629020143142E-4"/>
        <n v="4.9303076226121512E-3"/>
        <n v="-2.9712201411942196E-3"/>
        <n v="1.4831520094842121E-2"/>
        <n v="-4.4392028440777276E-3"/>
        <n v="1.8246659775536189E-2"/>
        <n v="8.7578598099311566E-3"/>
        <n v="1.1419769428346882E-2"/>
        <n v="9.0458696208886025E-3"/>
        <n v="3.0754674849278185E-3"/>
        <n v="-2.0875489112593959E-3"/>
        <n v="2.3534979272823442E-3"/>
        <n v="1.369527207085719E-3"/>
        <n v="-2.2795289949955055E-3"/>
        <n v="2.2847371195053867E-3"/>
        <n v="5.0800691014170063E-3"/>
        <n v="1.1404834018998944E-2"/>
        <n v="4.8692648519317316E-3"/>
        <n v="7.3323642681097922E-3"/>
        <n v="-1.2648162728901013E-4"/>
        <n v="-1.0508316630013059E-2"/>
        <n v="3.0707723750771354E-3"/>
        <n v="1.1033940719503255E-2"/>
        <n v="3.658969394880307E-3"/>
        <n v="8.9250664200923868E-3"/>
        <n v="3.3641018858989735E-3"/>
        <n v="1.8191780370526489E-2"/>
        <n v="7.5616556432400728E-3"/>
        <n v="6.0520656657252481E-3"/>
        <n v="1.3354913728709672E-2"/>
        <n v="-1.1279234758312717E-2"/>
        <n v="5.7040993368597803E-3"/>
        <n v="-5.9717853909191376E-4"/>
        <n v="5.9140730212972059E-3"/>
        <n v="5.9978762406172059E-3"/>
        <n v="5.3130841706197085E-3"/>
        <n v="-1.1746249095729855E-3"/>
        <n v="1.1640112591447815E-2"/>
        <n v="-4.3582231914267577E-3"/>
        <n v="6.6361196888991003E-3"/>
        <n v="5.0173628148117988E-3"/>
        <n v="-1.4513931712828443E-3"/>
        <n v="-7.906109030657249E-3"/>
        <n v="2.1095239347148631E-3"/>
        <n v="-4.2098843280894416E-3"/>
        <n v="-7.340157845688422E-3"/>
        <n v="-6.2703150263726526E-3"/>
        <n v="-5.357486792473054E-3"/>
        <n v="1.9750056542848782E-3"/>
        <n v="1.7261956276280799E-2"/>
        <n v="-1.1743451706105468E-3"/>
        <n v="-6.5839514788319509E-3"/>
        <n v="8.9355283817862396E-3"/>
        <n v="1.4310912086971994E-2"/>
        <n v="-3.8163946145708394E-3"/>
        <n v="2.6118522140257117E-3"/>
        <n v="2.049470313380386E-2"/>
        <n v="-1.0835854422183377E-2"/>
        <n v="-3.6132125006306248E-3"/>
        <n v="5.7559514712837156E-3"/>
        <n v="-1.3160079356226984E-3"/>
        <n v="3.4383493637579754E-3"/>
        <n v="1.8843825937711056E-3"/>
        <n v="-3.5911747814756367E-3"/>
        <n v="1.2014032655096596E-3"/>
        <n v="4.4570134582417875E-3"/>
        <n v="-8.7037716191216141E-3"/>
        <n v="1.0157426827038796E-2"/>
        <n v="2.1814357520826499E-2"/>
        <n v="-4.6700675713672313E-3"/>
        <n v="3.9099678895604395E-3"/>
        <n v="6.5099030032773619E-3"/>
        <n v="1.1995611387705774E-2"/>
        <n v="5.0252748274033365E-3"/>
        <n v="-3.4240977962046726E-3"/>
        <n v="4.9069968425086152E-4"/>
        <n v="5.0697420448555519E-3"/>
        <n v="9.1114965180369989E-3"/>
        <n v="-4.1383811886326338E-3"/>
        <n v="7.5017561899730634E-3"/>
        <n v="1.0017368250851311E-2"/>
        <n v="5.1972630721566215E-3"/>
        <n v="-8.7585342381765185E-3"/>
        <n v="1.8630372720442878E-3"/>
        <n v="3.7182912503697096E-4"/>
        <n v="8.2320314727919452E-3"/>
        <n v="8.1122137758291579E-3"/>
        <n v="-1.7818123884739245E-2"/>
        <n v="1.2395846469178906E-2"/>
        <n v="1.2401334297138744E-2"/>
        <n v="5.8653305286411328E-3"/>
        <n v="1.3106908264338468E-2"/>
        <n v="1.3905098981334074E-2"/>
        <n v="-1.2257665120395056E-2"/>
        <n v="-9.1545948778924968E-3"/>
        <n v="4.670930406381002E-3"/>
        <n v="1.9363414141985169E-2"/>
        <n v="3.9094116522453426E-3"/>
        <n v="-6.7897792185708239E-3"/>
        <n v="-4.0215292060830077E-4"/>
        <n v="-2.8161221212360532E-3"/>
        <n v="-7.6083942760415413E-3"/>
        <n v="9.2000708980093382E-3"/>
        <n v="5.2166494559744425E-3"/>
        <n v="-6.7010592456799856E-3"/>
        <n v="-8.5213691509049561E-3"/>
        <n v="-2.0472697657847316E-4"/>
        <n v="-6.467784771935059E-2"/>
        <n v="5.4710317832395994E-4"/>
        <n v="-1.1427548379917107E-2"/>
        <n v="-3.9824107171991807E-3"/>
        <n v="6.4971258341810501E-3"/>
        <n v="2.5103509669811785E-2"/>
        <n v="1.9429558589031837E-2"/>
        <n v="1.4413093063344373E-2"/>
        <n v="4.8922602701768625E-3"/>
        <n v="1.5019187595930461E-3"/>
        <n v="6.2060292574672715E-4"/>
        <n v="-1.085422843920214E-3"/>
        <n v="-7.9675342830625162E-3"/>
        <n v="6.2571188902627028E-4"/>
        <n v="-1.0423121396531121E-3"/>
        <n v="-6.0003823908033604E-3"/>
        <n v="7.8211249680570916E-3"/>
        <n v="-1.3020234823881705E-3"/>
        <n v="2.033899746559853E-2"/>
        <n v="9.4556829012157895E-3"/>
        <n v="6.4304170749003298E-3"/>
        <n v="-2.0116720413143607E-4"/>
        <n v="1.3988720624060758E-2"/>
        <n v="2.9775095205248903E-3"/>
        <n v="1.7812970924782068E-3"/>
        <n v="1.1458347481196007E-2"/>
        <n v="-4.4972919378794995E-2"/>
        <n v="2.0145316105282474E-2"/>
        <n v="-6.0644164754041219E-3"/>
        <n v="-7.0092941817075927E-3"/>
        <n v="1.9246337482512699E-2"/>
        <n v="-6.028620053633249E-3"/>
        <n v="-6.9674853621581878E-3"/>
        <n v="6.1581795153675678E-3"/>
        <n v="1.655556552817572E-2"/>
        <n v="-3.9972778648992291E-3"/>
        <n v="-1.3180320004081314E-2"/>
        <n v="-9.539982705078609E-3"/>
        <n v="-1.7742748864119084E-3"/>
        <n v="1.5438563500625779E-2"/>
        <n v="-1.7005897051477481E-3"/>
        <n v="-2.6301279409133183E-2"/>
        <n v="-1.4560472486945586E-2"/>
        <n v="1.1120984373024001E-2"/>
        <n v="6.19590962640304E-4"/>
        <n v="6.1925681097101393E-3"/>
        <n v="1.0359979438133493E-2"/>
        <n v="8.4772152622987207E-3"/>
        <n v="-1.192932121022805E-2"/>
        <n v="1.3143151794114294E-2"/>
        <n v="-4.0728097443237798E-3"/>
        <n v="-3.2312612315408273E-3"/>
        <n v="8.8132853604003802E-3"/>
        <n v="1.551447638371295E-2"/>
        <n v="1.5771734333496878E-2"/>
        <n v="1.6451655402689225E-2"/>
        <n v="-6.7043520102516574E-4"/>
        <n v="-1.3250380681454232E-2"/>
        <n v="1.8555193373390733E-3"/>
        <n v="1.1990064051421445E-2"/>
        <n v="8.1877271544827934E-4"/>
        <n v="-1.6842574342954553E-3"/>
        <n v="-1.209925555954372E-2"/>
        <n v="2.4934157070464202E-2"/>
        <n v="1.6995901753818821E-2"/>
        <n v="1.5213874611824663E-2"/>
        <n v="-3.1770261893494078E-2"/>
        <n v="-9.5241931771095079E-4"/>
        <n v="2.3834697990494647E-3"/>
        <n v="2.3772730878102166E-4"/>
        <n v="-8.2727432782591093E-3"/>
        <n v="3.8356739939326978E-4"/>
        <n v="1.7108455987963289E-2"/>
        <n v="-6.5493456984596632E-3"/>
        <n v="2.058353445438299E-2"/>
        <n v="-1.1106583434590367E-2"/>
        <n v="-2.2744335509508273E-2"/>
        <n v="-4.2411977866745998E-2"/>
        <n v="-2.1291531452810819E-2"/>
        <n v="2.7911713684914075E-2"/>
        <n v="2.9936327368185189E-4"/>
        <n v="1.8263628694982659E-2"/>
        <n v="8.526855144599832E-3"/>
        <n v="1.8950862805457991E-3"/>
        <n v="8.4873515220500462E-3"/>
        <n v="1.106080891006278E-2"/>
        <n v="6.2310170501216344E-3"/>
        <n v="1.1439287395701658E-2"/>
        <n v="6.9167596830066458E-3"/>
        <n v="-4.316479653654226E-3"/>
        <n v="3.7303852740122601E-4"/>
        <n v="9.4594795841456136E-3"/>
        <n v="7.7551571931118168E-3"/>
        <n v="3.9393247271430898E-3"/>
        <n v="4.6082661799315972E-3"/>
        <n v="5.0413485614622111E-3"/>
        <n v="4.1573697481780414E-3"/>
        <n v="1.1655780396556681E-2"/>
        <n v="-2.0017822320139489E-2"/>
        <n v="-4.4030390973071043E-3"/>
        <n v="-7.7510304163480592E-3"/>
        <n v="-2.3755903469025563E-2"/>
        <n v="2.0474476633740357E-2"/>
        <n v="-5.1888792925103511E-2"/>
        <n v="8.1242203682301284E-3"/>
        <n v="-3.0401095277277079E-3"/>
        <n v="-1.1035811032486409E-2"/>
        <n v="1.7325774964685792E-2"/>
        <n v="6.6872000266195997E-3"/>
        <n v="-8.2199273171136289E-3"/>
        <n v="1.4214835585417696E-2"/>
        <n v="2.8982124315832802E-3"/>
        <n v="1.6580822451879307E-3"/>
        <n v="7.0926924362835209E-4"/>
        <n v="-6.6163566664710904E-3"/>
        <n v="-1.9507430570021578E-3"/>
        <n v="3.4322207644656988E-3"/>
        <n v="1.7101649254320783E-3"/>
        <n v="-1.8116359761916168E-2"/>
        <n v="1.2075449905351032E-3"/>
        <n v="-9.9377281215230484E-3"/>
        <n v="3.5493593902828691E-2"/>
        <n v="-1.3730604081487741E-3"/>
        <n v="-8.5319917098525266E-4"/>
        <n v="1.2668994347115436E-2"/>
        <n v="-2.717590707485229E-3"/>
        <n v="4.4399372273036253E-2"/>
        <n v="-3.6437548889153293E-3"/>
        <n v="4.1087391691976283E-3"/>
        <n v="5.6207852016427751E-3"/>
        <n v="3.4877818109046999E-3"/>
        <n v="4.2329276308241681E-3"/>
        <n v="-1.0515836091291031E-2"/>
        <n v="5.0223262531368107E-3"/>
        <n v="-3.1679457590825244E-3"/>
        <n v="7.0274503323974891E-3"/>
        <n v="-1.1867679941412357E-2"/>
        <n v="1.4349359343685641E-2"/>
        <n v="-1.1529997749728182E-2"/>
        <n v="6.7744021015165856E-3"/>
        <n v="-1.1095874465059441E-2"/>
        <n v="4.59629019671004E-3"/>
        <n v="-1.4174200305768769E-2"/>
        <n v="7.7805167611471049E-3"/>
        <n v="0.11544540462589015"/>
        <n v="-4.3228404523336983E-2"/>
        <n v="2.5381973089733112E-3"/>
        <n v="9.7477791486777488E-3"/>
        <n v="1.1283184350390218E-3"/>
        <n v="6.678832306985294E-3"/>
        <n v="2.9441037062627462E-3"/>
        <n v="1.422256139392597E-2"/>
        <n v="-1.141343070320433E-3"/>
        <n v="-7.9175255976647874E-3"/>
        <n v="-9.5026413200489657E-3"/>
        <n v="1.6529618832306081E-2"/>
        <n v="1.5484626426317538E-2"/>
        <n v="7.0005246705804325E-3"/>
        <n v="-1.2784387590708546E-3"/>
        <n v="-7.2007394192119545E-4"/>
        <n v="-2.8026568934291785E-4"/>
        <n v="-1.3895582837615605E-2"/>
        <n v="-5.8070561816383481E-3"/>
        <n v="-5.8001796289605112E-3"/>
        <n v="8.5456001456427622E-3"/>
        <n v="7.6585111928917371E-3"/>
        <n v="-1.4351679327664568E-2"/>
        <n v="-3.8964816031816785E-3"/>
        <n v="2.7588664324209589E-3"/>
        <n v="-8.2126218924689631E-3"/>
        <n v="-6.5828761210029452E-3"/>
        <n v="-1.5004807307897883E-3"/>
        <n v="-5.0922300484843586E-3"/>
        <n v="-3.3520712381603035E-2"/>
        <n v="1.1242764046698328E-2"/>
        <n v="1.9917584747113581E-2"/>
        <n v="3.3248952781030905E-3"/>
        <n v="1.6443631277324178E-2"/>
        <n v="3.4254644999123229E-3"/>
        <n v="-8.1023677554619145E-3"/>
        <n v="-7.670877452973901E-3"/>
        <n v="1.6296329459628556E-3"/>
        <n v="1.209737496852048E-3"/>
        <n v="1.3666619915940981E-2"/>
        <n v="-4.8754475953854959E-3"/>
        <n v="9.6325391762317469E-3"/>
        <n v="-1.6447927761531478E-4"/>
        <n v="-1.3408430303049945E-2"/>
        <n v="1.8093154817928614E-2"/>
        <n v="1.3349067429680117E-2"/>
        <n v="1.9719642923622827E-2"/>
        <n v="7.6084853835254318E-3"/>
        <n v="1.9231599198121341E-2"/>
        <n v="1.4932919098588071E-2"/>
        <n v="-7.2252547278839341E-4"/>
        <n v="1.1832432334787812E-2"/>
        <n v="-4.1738162374007626E-3"/>
        <n v="3.8137572846599355E-3"/>
        <n v="4.8522807257000977E-3"/>
        <n v="-2.0965624003921324E-3"/>
        <n v="6.1896673743806474E-3"/>
        <n v="-3.4670984362420443E-3"/>
        <n v="-1.8332176593066629E-3"/>
        <n v="4.2351987834041704E-3"/>
        <n v="9.2931168690801869E-3"/>
        <n v="2.3925049433505929E-2"/>
        <n v="-3.9727655762843428E-3"/>
        <n v="-1.72587106723886E-2"/>
        <n v="1.4573351277975766E-2"/>
        <n v="1.6729817506517808E-3"/>
        <n v="3.1584135969318083E-3"/>
        <n v="9.7704057073921824E-4"/>
        <n v="1.2148109647321714E-2"/>
        <n v="-2.5005596298053323E-3"/>
        <n v="-4.4583773977180829E-2"/>
        <n v="-9.5950523500417662E-3"/>
        <n v="-1.0975079204301408E-2"/>
        <n v="-1.5076123577457912E-2"/>
        <n v="5.4002839708668926E-3"/>
        <n v="1.0045250100301217E-3"/>
        <n v="2.1617521242120352E-2"/>
        <n v="-1.5227605564322566E-2"/>
        <n v="-3.9789794409260892E-2"/>
        <n v="5.1148679407251318E-3"/>
        <n v="-1.983850350187033E-2"/>
        <n v="-1.7279128972729763E-2"/>
        <n v="-4.1522191592085922E-2"/>
        <n v="-1.326324955673519E-2"/>
        <n v="-5.4116035230586945E-3"/>
        <n v="-1.1891151991178628E-2"/>
        <n v="3.2195018419205024E-2"/>
        <n v="6.4102243253851832E-3"/>
        <n v="4.4457802320785333E-3"/>
        <n v="1.7619301367615581E-2"/>
        <n v="-4.18311662045312E-4"/>
        <n v="1.0961957702188441E-2"/>
        <n v="2.6610897413124501E-2"/>
        <n v="1.2376072900374124E-2"/>
        <n v="-3.98227141098495E-4"/>
        <n v="-1.1592268647677262E-2"/>
        <n v="-2.1239599281249966E-2"/>
        <n v="1.0088471008779853E-2"/>
        <n v="-6.6857341543568038E-3"/>
        <n v="8.8648582241466212E-3"/>
        <n v="-6.9685108614663482E-2"/>
        <n v="-7.4838314490218272E-2"/>
        <n v="1.9783110957341643E-2"/>
        <n v="1.1331852236914131E-2"/>
        <n v="8.0555115446348857E-2"/>
        <n v="-3.0852629090056038E-2"/>
        <n v="4.0024730186128732E-2"/>
        <n v="-6.265991946919014E-3"/>
        <n v="-6.7739645430503481E-3"/>
        <n v="-1.5098866742150885E-2"/>
        <n v="1.0234810974314446E-2"/>
        <n v="-1.2803966465683381E-2"/>
        <n v="2.8822199992084574E-2"/>
        <n v="2.2454356963574673E-2"/>
        <n v="1.5609335177598993E-2"/>
        <n v="-4.455447441739202E-3"/>
        <n v="-1.3550114637049804E-3"/>
        <n v="5.7560764009347842E-3"/>
        <n v="0"/>
        <n v="9.2797472510484091E-3"/>
        <n v="2.2763124959059633E-2"/>
        <n v="1.980198019801982E-4"/>
        <n v="-1.3105820629578324E-2"/>
        <n v="5.6170730936688784E-4"/>
        <n v="1.6360002125269668E-2"/>
        <n v="-1.5387044269007388E-3"/>
        <n v="2.7540677205212249E-2"/>
        <n v="1.1382576735127214E-2"/>
        <n v="9.9995389727267625E-3"/>
        <n v="6.9641173137773293E-3"/>
        <n v="2.618192524190821E-4"/>
        <n v="-1.00164911130316E-2"/>
        <n v="3.0203553070473621E-3"/>
        <n v="-1.7464662390677121E-2"/>
        <n v="-1.4172837989742115E-3"/>
        <n v="1.531570554569317E-4"/>
        <n v="1.7567570726297443E-2"/>
        <n v="-6.7850606624334509E-3"/>
        <n v="3.33979888857594E-3"/>
        <n v="-1.3994908685555085E-3"/>
        <n v="2.4999804679777249E-3"/>
        <n v="6.0832811318269897E-3"/>
        <n v="-7.6991393381198314E-3"/>
        <n v="-8.5911345920567372E-3"/>
        <n v="1.4430149312189444E-2"/>
        <n v="3.8007659158396656E-3"/>
        <n v="6.9732421938384359E-3"/>
        <n v="-1.6754199603018494E-3"/>
        <n v="3.3564634063898424E-4"/>
        <n v="-1.2265155522209303E-2"/>
        <n v="2.0418930548294911E-2"/>
        <n v="-3.1068604884629814E-3"/>
        <n v="1.6473570779491853E-2"/>
        <n v="3.7962112490776967E-3"/>
        <n v="1.1890926128774959E-2"/>
        <n v="1.0744936680500139E-2"/>
        <n v="9.955152037847359E-3"/>
        <n v="1.6510702004354672E-2"/>
        <n v="-5.6797704324651477E-3"/>
        <n v="9.7525294827398579E-3"/>
        <n v="1.7246336083325264E-3"/>
        <n v="5.4751272819935082E-3"/>
        <n v="1.8582176457953015E-2"/>
        <n v="-1.3614953721955203E-2"/>
        <n v="-3.1475831246466801E-2"/>
        <n v="1.3439000531665357E-3"/>
        <n v="1.7763693277095483E-2"/>
        <n v="-4.6150819418785405E-3"/>
        <n v="6.4144618614201399E-3"/>
        <n v="-7.4472073376468106E-3"/>
        <n v="-2.5474821431498151E-3"/>
        <n v="1.4274630737523886E-2"/>
        <n v="4.7258254182462878E-3"/>
        <n v="-1.0300930906455008E-3"/>
        <n v="1.5810976314960534E-3"/>
        <n v="1.8289027117329493E-2"/>
        <n v="-7.0763130899631488E-4"/>
        <n v="6.9803270917279114E-3"/>
        <n v="-1.1386766042836838E-3"/>
        <n v="-4.1571069230130764E-3"/>
        <n v="8.7193654493207262E-3"/>
        <n v="-1.1314026168440794E-2"/>
        <n v="-2.3190619353001818E-2"/>
        <n v="1.6898819249443475E-2"/>
        <n v="-9.821367231387601E-3"/>
        <n v="-6.8635080937573534E-5"/>
        <n v="-1.5136301760594661E-2"/>
        <n v="6.3428691524591851E-3"/>
        <n v="2.7703250697130866E-3"/>
        <n v="1.1362172913530921E-2"/>
        <n v="-7.9221748146103277E-3"/>
        <n v="1.2494406608017261E-2"/>
        <n v="-1.2476296759548311E-2"/>
        <n v="3.5801570712412634E-3"/>
        <n v="-2.9841472776750422E-3"/>
        <n v="5.4357363282671045E-3"/>
        <n v="-2.6347436666964708E-3"/>
        <n v="1.6365289908247371E-2"/>
        <n v="-4.5232678899213008E-3"/>
        <n v="1.2444778930103428E-2"/>
        <n v="2.3780485772333382E-3"/>
        <n v="5.9810550388210704E-3"/>
        <n v="1.1625707586078171E-3"/>
        <n v="-5.7063258878247147E-3"/>
        <n v="-6.3396214823607799E-4"/>
        <n v="1.439017382246699E-2"/>
        <n v="-3.1071099385670098E-2"/>
        <n v="-4.9935722218559242E-3"/>
        <n v="1.686543172084054E-2"/>
        <n v="9.0312569830652834E-3"/>
        <n v="1.6703317627749792E-2"/>
        <n v="4.4180762690697595E-3"/>
        <n v="6.483858401928444E-3"/>
        <n v="9.3888186167845333E-4"/>
        <n v="8.2797591313534813E-3"/>
        <n v="4.7474655974102387E-3"/>
        <n v="4.948342564394359E-3"/>
        <n v="-7.4337865092949373E-3"/>
        <n v="9.6019759006926719E-4"/>
        <n v="2.1744329841544285E-3"/>
        <n v="9.575920677629135E-5"/>
        <n v="8.3264828232865185E-3"/>
        <n v="-1.1705094210510136E-3"/>
        <n v="-8.2371568183825516E-4"/>
        <n v="-1.4963637299440169E-2"/>
        <n v="-1.0170241410979219E-2"/>
        <n v="8.0637120116433536E-3"/>
        <n v="2.1067655956681364E-3"/>
        <n v="-4.8192266933564376E-3"/>
        <n v="-1.189511831594936E-2"/>
        <n v="4.9337425375159949E-3"/>
        <n v="-1.5186650205699648E-2"/>
        <n v="2.353017054227835E-2"/>
        <n v="-1.9125314011642747E-2"/>
        <n v="1.1950553926109997E-2"/>
        <n v="-2.3389823403856536E-2"/>
        <n v="-3.2825360312291885E-3"/>
        <n v="1.6131073986504374E-2"/>
        <n v="-1.7429500547240573E-2"/>
        <n v="-1.0030688393261489E-2"/>
        <n v="1.4622527785170814E-3"/>
        <n v="2.0031196815251562E-2"/>
        <n v="1.2348433807425119E-2"/>
        <n v="3.9782856065924133E-3"/>
        <n v="4.9128618256344403E-4"/>
        <n v="1.2863817241725473E-2"/>
        <n v="5.4290144705371191E-3"/>
        <n v="-5.6889939068095474E-3"/>
        <n v="-3.2326632052193105E-4"/>
        <n v="7.8576815941031608E-3"/>
        <n v="5.5827454150316758E-3"/>
        <n v="2.5204530673132997E-3"/>
        <n v="8.5293586594872295E-3"/>
        <n v="-4.0078269537643374E-3"/>
        <n v="1.5176566021720017E-2"/>
        <n v="-3.4112478958566617E-2"/>
        <n v="-1.8967492428034416E-2"/>
        <n v="-1.067150094225966E-2"/>
        <n v="-3.1959716084456469E-3"/>
        <n v="1.2891963479127577E-2"/>
        <n v="-1.6124140090426842E-2"/>
        <n v="-1.2065860595535938E-3"/>
        <n v="-6.7090458189422719E-5"/>
        <n v="1.6778413702743356E-2"/>
        <n v="1.5313661617477159E-2"/>
        <n v="1.7682894070448985E-2"/>
        <n v="-1.3287209450729809E-2"/>
        <n v="-3.3666093508821771E-3"/>
        <n v="1.3804064596033561E-2"/>
        <n v="1.2719201433779581E-2"/>
        <n v="-3.3533918675546781E-3"/>
        <n v="5.3946011743155609E-4"/>
        <n v="-4.663544047604784E-2"/>
        <n v="3.1945439201124026E-2"/>
        <n v="2.3443401047247514E-2"/>
        <n v="3.5919575959229011E-3"/>
        <n v="4.7092010304019549E-3"/>
        <n v="-1.3967764495178892E-2"/>
        <n v="-1.8063451994728696E-3"/>
        <n v="-6.2861878578989172E-3"/>
        <n v="1.3450402327430444E-2"/>
        <n v="1.8536699501717546E-2"/>
        <n v="8.7901051300711686E-3"/>
        <n v="9.9407998126592734E-3"/>
        <n v="-3.8277523658882817E-3"/>
        <n v="-1.2686471507801111E-2"/>
        <n v="-1.0192056352769097E-3"/>
        <n v="-3.7104359408144383E-3"/>
        <n v="1.0117308447080475E-2"/>
        <n v="2.6299633644040865E-2"/>
        <n v="6.2247459339848099E-3"/>
        <n v="-2.2772715762333418E-2"/>
        <n v="8.562966268655936E-3"/>
        <n v="-1.8193423758875449E-3"/>
        <n v="-1.4277537721672284E-2"/>
        <n v="-4.1881130412505296E-2"/>
        <n v="-9.7458505211420743E-3"/>
        <n v="4.5149548559559882E-3"/>
        <n v="1.0379576882297181E-2"/>
        <n v="-3.113902321993911E-2"/>
        <n v="-2.3120661313811297E-3"/>
        <n v="5.2640631238718427E-3"/>
        <n v="-1.9464505632873164E-2"/>
        <n v="1.1151476840279395E-2"/>
        <n v="-2.4249153398310241E-3"/>
        <n v="1.5316195091061857E-3"/>
        <n v="1.8785277715230198E-2"/>
        <n v="-1.729639654550752E-3"/>
        <n v="7.3556216000874031E-3"/>
        <n v="2.177574320277964E-2"/>
        <n v="7.6861039761348948E-3"/>
        <n v="-2.2409869455911391E-2"/>
        <n v="3.9463544781972448E-2"/>
        <n v="-9.304747294303084E-4"/>
        <n v="-1.1859774587850813E-2"/>
        <n v="-2.3438393201933749E-2"/>
        <n v="-2.631753209469645E-2"/>
        <n v="-2.9749039061244265E-4"/>
        <n v="1.5138028956200644E-2"/>
        <n v="5.3723516957653317E-3"/>
        <n v="-2.3641315383948758E-3"/>
        <n v="8.8947039768059177E-3"/>
        <n v="-4.2214906519235207E-2"/>
        <n v="-1.2431597747034617E-3"/>
        <n v="2.0181563493122834E-2"/>
        <n v="9.3308484662855129E-3"/>
        <n v="-1.9044261176713539E-2"/>
        <n v="-9.1241518122767706E-3"/>
        <n v="9.0737623734182815E-3"/>
        <n v="-2.8974061672935036E-3"/>
        <n v="-1.9506440877797071E-2"/>
        <n v="-1.3864691959295294E-2"/>
        <n v="1.5200543179132442E-3"/>
        <n v="-4.1046449591576328E-3"/>
        <n v="-4.1908208101022471E-3"/>
        <n v="-1.610307597524796E-2"/>
        <n v="1.9440851951306737E-3"/>
        <n v="9.596336831564134E-3"/>
        <n v="2.5511159961530971E-3"/>
        <n v="2.9626245341398683E-3"/>
        <n v="7.9947863627327642E-4"/>
        <n v="-4.8963990356569731E-3"/>
        <n v="1.169038814918677E-2"/>
        <n v="8.5888914608904798E-3"/>
        <n v="1.0328428537211387E-2"/>
        <n v="-1.2727785877155617E-2"/>
        <n v="-3.0240623887443308E-2"/>
        <n v="3.2880668110599753E-3"/>
        <n v="3.6614167542822429E-2"/>
        <n v="4.1473987288922487E-3"/>
        <n v="-2.6406807959866718E-3"/>
        <n v="8.0177985505627269E-3"/>
        <n v="6.6000974487356867E-3"/>
        <n v="3.5541311708633838E-2"/>
        <n v="7.6630179280876565E-3"/>
        <n v="-1.4822259329182463E-3"/>
        <n v="1.229546105901469E-2"/>
        <n v="-8.1611958834579834E-3"/>
        <n v="-1.6681645066798811E-2"/>
        <n v="1.3140301225801565E-2"/>
        <n v="1.0969357503831656E-3"/>
        <n v="2.159270356483467E-2"/>
        <n v="-1.2587150870674635E-2"/>
        <n v="6.3856541382856236E-5"/>
        <n v="-4.2488330521507356E-3"/>
        <n v="-1.0940380150622708E-2"/>
        <n v="1.086669445655386E-2"/>
        <n v="-5.7753054980203E-4"/>
        <n v="-7.0638027721934282E-3"/>
        <n v="1.2869870494400359E-2"/>
        <n v="-2.4263326381473993E-3"/>
        <n v="-1.542553598523233E-2"/>
        <n v="5.6882994827351929E-3"/>
        <n v="1.7776366892101159E-2"/>
        <n v="-2.7405562904829983E-2"/>
        <n v="-1.3615362140967591E-2"/>
        <n v="-6.9514221368675022E-3"/>
        <n v="1.6266698193691642E-2"/>
        <n v="-1.518625903724935E-2"/>
        <n v="-1.1323737917798837E-3"/>
        <n v="-7.0021826816872856E-3"/>
        <n v="9.8049660556551732E-3"/>
        <n v="-1.6725981223280839E-2"/>
        <n v="2.1237827780780094E-2"/>
        <n v="3.3776595528693942E-3"/>
        <n v="1.1155101734823258E-2"/>
        <n v="1.1749537442633518E-3"/>
        <n v="-2.4320272503620011E-2"/>
        <n v="-8.5203812912367782E-3"/>
        <n v="8.6947421511309742E-3"/>
        <n v="-9.1210342689146406E-3"/>
        <n v="1.4768341793673478E-2"/>
        <n v="-3.6536316456858842E-4"/>
        <n v="3.3372080535216675E-2"/>
        <n v="4.7605116255817759E-3"/>
        <n v="-4.0337253710461818E-3"/>
        <n v="5.1107857503001064E-3"/>
        <n v="-1.1384721351222371E-2"/>
        <n v="1.4071240233745508E-2"/>
        <n v="2.3063020107523924E-2"/>
        <n v="-4.1157604952370974E-3"/>
        <n v="3.6756410928249217E-2"/>
        <n v="7.0060237177231866E-3"/>
        <n v="-2.4710573715507E-2"/>
        <n v="1.9248533511496246E-2"/>
        <n v="8.0246187446038064E-3"/>
        <n v="-2.0649548862219369E-3"/>
        <n v="5.0081415856308986E-3"/>
        <n v="-1.8112939266905714E-2"/>
        <n v="1.0333563941116175E-3"/>
        <n v="-6.254044887290422E-3"/>
        <n v="2.0590950646787842E-2"/>
        <n v="1.197315436734403E-3"/>
        <n v="1.4265549396600186E-2"/>
        <n v="4.4415491963110121E-3"/>
        <n v="-2.5352296658711193E-2"/>
        <n v="1.466942766663748E-2"/>
        <n v="2.980892468361418E-3"/>
        <n v="-5.7657515807292281E-3"/>
        <n v="2.4990332405603111E-2"/>
        <n v="1.1723843920603993E-2"/>
        <n v="-1.0838574056478478E-2"/>
        <n v="-5.9740283532896399E-3"/>
        <n v="-6.5377043284231551E-3"/>
        <n v="1.8768306314465022E-2"/>
        <n v="8.6318696924294613E-3"/>
        <n v="4.8534001978064456E-3"/>
        <n v="9.4598388577651349E-3"/>
        <n v="8.4652779487790486E-3"/>
        <n v="3.116185607869415E-3"/>
        <n v="-3.5263514006347974E-2"/>
        <n v="1.7812116853705096E-2"/>
        <n v="2.6792145505305509E-3"/>
        <n v="2.4162315099038878E-3"/>
        <n v="1.3838402230386349E-2"/>
        <n v="4.8109232310289407E-3"/>
        <n v="-8.1839509000324329E-3"/>
        <n v="3.4240843741257798E-3"/>
        <n v="6.3493499692492961E-3"/>
        <n v="6.2536478127881434E-3"/>
        <n v="8.6730307611011526E-3"/>
        <n v="-5.6684576530363628E-3"/>
        <n v="-7.435461005306232E-4"/>
        <n v="-5.181360659759715E-3"/>
        <n v="6.3442170853631463E-3"/>
      </sharedItems>
    </cacheField>
    <cacheField name="NVDA" numFmtId="0">
      <sharedItems containsSemiMixedTypes="0" containsString="0" containsNumber="1" minValue="-0.16968171201672888" maxValue="0.24369664590927398" count="1410">
        <n v="2.2209982769193282E-2"/>
        <n v="-5.8952988658306782E-2"/>
        <n v="5.7830127624638017E-2"/>
        <n v="-5.0397668994791589E-3"/>
        <n v="2.5966613509222247E-2"/>
        <n v="-1.0039313150905005E-2"/>
        <n v="3.4854185807711158E-3"/>
        <n v="-2.4498016634821762E-2"/>
        <n v="-2.5813742874479462E-2"/>
        <n v="1.2889156648216105E-2"/>
        <n v="2.6141521562188297E-2"/>
        <n v="3.7539947374668925E-2"/>
        <n v="-1.1177278246402467E-2"/>
        <n v="-4.3207757551109172E-3"/>
        <n v="-1.5966905232937978E-2"/>
        <n v="-3.8517852281263365E-2"/>
        <n v="1.0314802540337453E-2"/>
        <n v="-4.692970141293884E-3"/>
        <n v="1.9034282480991482E-2"/>
        <n v="2.4156018985526551E-2"/>
        <n v="-1.9364107733543801E-3"/>
        <n v="9.8850470431939286E-3"/>
        <n v="-5.3608793574401181E-3"/>
        <n v="6.2376152940999186E-2"/>
        <n v="-1.2155023316763103E-2"/>
        <n v="3.5125289750779221E-2"/>
        <n v="3.2951219248033237E-2"/>
        <n v="-1.8982628504682464E-2"/>
        <n v="2.4663619874282006E-2"/>
        <n v="-2.7673766772379649E-2"/>
        <n v="-5.1659062138043055E-3"/>
        <n v="6.5748726015120162E-3"/>
        <n v="-3.8237337080329725E-2"/>
        <n v="-1.4889483775156975E-2"/>
        <n v="2.5243810447342918E-2"/>
        <n v="-8.2177897819061707E-2"/>
        <n v="3.058438416778908E-2"/>
        <n v="9.2784276034583169E-3"/>
        <n v="-3.1462745563284655E-2"/>
        <n v="-4.4867300679609756E-2"/>
        <n v="-3.3932709629030278E-2"/>
        <n v="7.3764911643805497E-3"/>
        <n v="-6.9674524477359889E-2"/>
        <n v="8.033312448286356E-2"/>
        <n v="-4.1532293546656662E-3"/>
        <n v="4.212682189534056E-2"/>
        <n v="-1.0582046051315075E-2"/>
        <n v="2.6077234006323557E-2"/>
        <n v="7.5807671484997563E-3"/>
        <n v="3.7617937292586667E-3"/>
        <n v="-4.6378442430845879E-2"/>
        <n v="9.6873335399820792E-3"/>
        <n v="2.6506681438385638E-2"/>
        <n v="-8.7589508248605563E-3"/>
        <n v="-3.272582327362672E-2"/>
        <n v="-8.522441857357399E-3"/>
        <n v="2.425149396530335E-2"/>
        <n v="8.489465832310028E-3"/>
        <n v="-5.9079699452662116E-3"/>
        <n v="3.701927234861202E-2"/>
        <n v="3.4723382516754553E-2"/>
        <n v="1.2724749728662443E-2"/>
        <n v="-9.0080441796885902E-3"/>
        <n v="2.034428265469912E-2"/>
        <n v="1.2267098284660882E-2"/>
        <n v="5.7973076402619839E-3"/>
        <n v="5.6180404147833318E-2"/>
        <n v="3.0935709827153879E-2"/>
        <n v="-2.5670420734227761E-2"/>
        <n v="5.6309809243869413E-2"/>
        <n v="-1.3926915206639801E-2"/>
        <n v="-3.4611404075217234E-2"/>
        <n v="-1.2400833460030514E-2"/>
        <n v="1.2474146266860275E-2"/>
        <n v="-3.3218291200585393E-2"/>
        <n v="2.7945677511548084E-2"/>
        <n v="1.3936905350501183E-2"/>
        <n v="-6.2184102742017799E-3"/>
        <n v="-6.8264680447132076E-3"/>
        <n v="3.142050875071245E-3"/>
        <n v="-2.0571257964891454E-2"/>
        <n v="-1.1509329555964731E-2"/>
        <n v="-3.2722759495601328E-2"/>
        <n v="7.4731192477588415E-3"/>
        <n v="4.460939224891769E-3"/>
        <n v="1.9916825825253115E-2"/>
        <n v="-3.6895094349571833E-2"/>
        <n v="2.8388835934265444E-3"/>
        <n v="-3.8287358216776424E-2"/>
        <n v="-6.7776040745213262E-3"/>
        <n v="4.2278682336453377E-2"/>
        <n v="-5.4414058945518873E-3"/>
        <n v="-1.0571315243384505E-2"/>
        <n v="3.5672028773647835E-3"/>
        <n v="3.8871238651936535E-2"/>
        <n v="2.5953748338710447E-2"/>
        <n v="4.1372761307741035E-2"/>
        <n v="2.2899777697418244E-3"/>
        <n v="3.3389708746607294E-3"/>
        <n v="-1.3503058382152155E-2"/>
        <n v="4.8844308361520872E-2"/>
        <n v="1.2313954577782837E-3"/>
        <n v="3.1586954904599285E-2"/>
        <n v="1.1413226719060976E-2"/>
        <n v="3.585819306898852E-2"/>
        <n v="2.3180736889325537E-3"/>
        <n v="-9.1944588773940072E-3"/>
        <n v="-5.428640892164438E-3"/>
        <n v="3.8452573358587205E-3"/>
        <n v="2.2969767453099754E-2"/>
        <n v="1.0855707130087433E-2"/>
        <n v="-1.2778756237882383E-2"/>
        <n v="1.2227048676221042E-3"/>
        <n v="4.7556974833840693E-2"/>
        <n v="-9.9158252508668721E-4"/>
        <n v="-1.1347257882926787E-2"/>
        <n v="2.4935801054520423E-2"/>
        <n v="9.0274963536041142E-3"/>
        <n v="7.7795161336002838E-3"/>
        <n v="-9.0860467783816512E-3"/>
        <n v="5.0128462961061215E-2"/>
        <n v="2.0892037820765541E-3"/>
        <n v="-1.2109608249251114E-3"/>
        <n v="1.0473909428652339E-2"/>
        <n v="1.3605661840105698E-2"/>
        <n v="1.0323742458939078E-2"/>
        <n v="-1.5786388178170907E-2"/>
        <n v="-2.3022221195024728E-2"/>
        <n v="7.4113344979547247E-3"/>
        <n v="2.3054503057549969E-2"/>
        <n v="-1.2797055849527506E-2"/>
        <n v="-2.0172801438455679E-2"/>
        <n v="-4.4112152994515319E-2"/>
        <n v="-4.2456830066418094E-2"/>
        <n v="3.4070045922682368E-2"/>
        <n v="-8.9325807083489028E-3"/>
        <n v="4.2875707330757518E-2"/>
        <n v="9.4798011152754658E-3"/>
        <n v="-1.8372667519088726E-3"/>
        <n v="-1.3498513164272419E-2"/>
        <n v="-4.4574090959953461E-3"/>
        <n v="1.5358501207177078E-2"/>
        <n v="8.1522520484653693E-3"/>
        <n v="-8.2899705402970092E-3"/>
        <n v="1.287238832362414E-2"/>
        <n v="3.2912119833374831E-3"/>
        <n v="2.3164203231984759E-2"/>
        <n v="1.7904845519705503E-2"/>
        <n v="-1.3131910717400719E-2"/>
        <n v="-3.4861899569422761E-3"/>
        <n v="-1.7689218726172795E-2"/>
        <n v="-1.1887761102324257E-2"/>
        <n v="1.0457378538428985E-2"/>
        <n v="1.4217429820304384E-2"/>
        <n v="-1.1788856905516787E-2"/>
        <n v="-2.4662073517567773E-2"/>
        <n v="-2.1481877119106763E-2"/>
        <n v="3.9810772699254482E-2"/>
        <n v="5.1419290753402569E-2"/>
        <n v="5.486173174597897E-2"/>
        <n v="-7.5143162415884923E-3"/>
        <n v="1.9272247434993783E-2"/>
        <n v="-6.5279052396516324E-3"/>
        <n v="2.5738707496592683E-2"/>
        <n v="2.2973101516672312E-3"/>
        <n v="-1.3181238977918563E-2"/>
        <n v="2.501839235671266E-3"/>
        <n v="-2.0052766848639436E-3"/>
        <n v="1.9958826147020048E-2"/>
        <n v="-7.9236781562206371E-3"/>
        <n v="-1.4252846114944706E-2"/>
        <n v="-7.251992653264927E-3"/>
        <n v="1.3572754879391136E-2"/>
        <n v="-1.4503087968691486E-2"/>
        <n v="4.0628761002470259E-3"/>
        <n v="4.4508902468780587E-3"/>
        <n v="-4.4311676061973282E-3"/>
        <n v="-1.5376318885856999E-2"/>
        <n v="-3.5936341677131778E-2"/>
        <n v="6.2996008367564027E-3"/>
        <n v="3.2712024516094562E-2"/>
        <n v="2.4656952885510064E-2"/>
        <n v="-1.7836345339223847E-2"/>
        <n v="-1.9066060960749143E-2"/>
        <n v="-4.4367440706193917E-2"/>
        <n v="-8.792945822211351E-3"/>
        <n v="9.699459820840417E-3"/>
        <n v="1.2549856257684233E-3"/>
        <n v="-4.8693686845016848E-2"/>
        <n v="3.643838323906734E-2"/>
        <n v="1.2175851008941585E-2"/>
        <n v="1.8115765512958681E-2"/>
        <n v="-1.1577988138988693E-2"/>
        <n v="-6.5284641385520148E-3"/>
        <n v="-1.1598158349677146E-3"/>
        <n v="1.2965065605268666E-2"/>
        <n v="3.8540488596624733E-2"/>
        <n v="5.3345378524625175E-3"/>
        <n v="1.6466727798487568E-2"/>
        <n v="3.0601201314157667E-3"/>
        <n v="-8.3893994515181758E-3"/>
        <n v="2.6647836777692557E-2"/>
        <n v="1.4982849456812719E-3"/>
        <n v="1.9361245780562975E-2"/>
        <n v="6.6951342673001735E-2"/>
        <n v="-1.0761793851151058E-2"/>
        <n v="2.0039945435036621E-2"/>
        <n v="2.5099342163867E-2"/>
        <n v="1.0169512330302721E-2"/>
        <n v="2.2224664008988482E-2"/>
        <n v="7.4619936567725809E-3"/>
        <n v="0.12042235504334142"/>
        <n v="-1.6441071754451642E-3"/>
        <n v="3.5358856260037763E-2"/>
        <n v="-4.7720942628080021E-3"/>
        <n v="-3.9077390573600157E-2"/>
        <n v="3.160321717977177E-2"/>
        <n v="0"/>
        <n v="-1.2010521760857262E-2"/>
        <n v="5.9283938888685661E-3"/>
        <n v="-3.1188972171864782E-2"/>
        <n v="8.2498883167079873E-2"/>
        <n v="4.1357503864371425E-2"/>
        <n v="-3.1196024753165519E-2"/>
        <n v="-6.5714573150795763E-3"/>
        <n v="2.923234862610613E-2"/>
        <n v="-3.583923773353026E-2"/>
        <n v="5.9454649215814115E-2"/>
        <n v="-2.0973323577232361E-2"/>
        <n v="-3.7861005095577993E-2"/>
        <n v="2.1981678718560937E-2"/>
        <n v="-4.4605464010915918E-2"/>
        <n v="-2.1372901712293335E-2"/>
        <n v="7.956845407299884E-2"/>
        <n v="-1.8533892753558545E-2"/>
        <n v="-4.1978202707533385E-2"/>
        <n v="-9.5769114915408293E-3"/>
        <n v="-6.7454898087069282E-2"/>
        <n v="6.2498399066666099E-3"/>
        <n v="7.4884392005867273E-2"/>
        <n v="-6.8025893842432406E-2"/>
        <n v="-2.0643305484806529E-2"/>
        <n v="-2.9494501207757429E-3"/>
        <n v="4.891940151468499E-2"/>
        <n v="1.1178187254181404E-2"/>
        <n v="8.1632089913485917E-3"/>
        <n v="4.4028393854014691E-2"/>
        <n v="-2.0132566623384585E-2"/>
        <n v="-1.0586281809326858E-2"/>
        <n v="-1.3832851040946226E-2"/>
        <n v="-5.9150588928724712E-3"/>
        <n v="2.4140549443071535E-2"/>
        <n v="-2.7588456484723189E-2"/>
        <n v="-5.7562504090988065E-2"/>
        <n v="2.0794186181353647E-2"/>
        <n v="-3.3039960170746507E-2"/>
        <n v="5.6152652519902979E-3"/>
        <n v="1.5218866260174657E-2"/>
        <n v="6.5429740566054218E-3"/>
        <n v="-5.0858954496497133E-2"/>
        <n v="1.3809771966144968E-2"/>
        <n v="-3.85640588022782E-2"/>
        <n v="-3.2274508236785016E-2"/>
        <n v="-3.6581881649857317E-2"/>
        <n v="-3.2132246716404356E-2"/>
        <n v="-8.57882933196219E-5"/>
        <n v="-4.4840099578627113E-2"/>
        <n v="2.0068231455551144E-2"/>
        <n v="-3.6360576395105038E-2"/>
        <n v="4.0831236620156641E-2"/>
        <n v="7.2066604188798511E-2"/>
        <n v="6.2075652278827942E-3"/>
        <n v="2.45150786752657E-2"/>
        <n v="-5.1263750149517895E-2"/>
        <n v="1.5491874072695033E-2"/>
        <n v="1.6818085401677063E-2"/>
        <n v="1.5367192504104343E-2"/>
        <n v="6.3605135902300658E-2"/>
        <n v="-3.2990069941874367E-2"/>
        <n v="-7.2606716889284884E-2"/>
        <n v="1.3278251427520482E-2"/>
        <n v="9.1811592237443396E-2"/>
        <n v="6.0401828144662773E-4"/>
        <n v="-7.5591238130183536E-2"/>
        <n v="-3.5296042874822131E-2"/>
        <n v="-1.0659198771918676E-2"/>
        <n v="-4.2881514339061289E-2"/>
        <n v="6.0794489290034281E-2"/>
        <n v="1.7222460664364947E-2"/>
        <n v="9.4381609177922599E-3"/>
        <n v="-3.7236059693510182E-2"/>
        <n v="3.1823856437509956E-2"/>
        <n v="-2.0891719020762589E-2"/>
        <n v="-3.2807717052176444E-2"/>
        <n v="-6.9061824837481356E-2"/>
        <n v="7.5873262872847569E-3"/>
        <n v="6.9721947357301195E-2"/>
        <n v="-1.5468807356531999E-2"/>
        <n v="-2.4627053563151424E-2"/>
        <n v="-3.4841626021608785E-2"/>
        <n v="7.702740492922433E-2"/>
        <n v="6.629517123670392E-2"/>
        <n v="1.1022365003206192E-2"/>
        <n v="6.8117604810382648E-2"/>
        <n v="1.0622613932788294E-2"/>
        <n v="-7.8549901692762658E-3"/>
        <n v="-3.3554574877679322E-2"/>
        <n v="9.8150842128461147E-2"/>
        <n v="-1.6270015563309093E-2"/>
        <n v="1.9030725935882176E-2"/>
        <n v="1.548600333920791E-2"/>
        <n v="-3.3710199486155501E-2"/>
        <n v="-1.4590084675702664E-2"/>
        <n v="-2.1036519337554904E-2"/>
        <n v="2.4258802962532133E-2"/>
        <n v="-5.222964522882545E-2"/>
        <n v="-5.8771114744918918E-2"/>
        <n v="-8.1535178937048869E-3"/>
        <n v="-4.4985083944792836E-2"/>
        <n v="-5.1991898651722601E-2"/>
        <n v="-1.8843835226640349E-2"/>
        <n v="3.2505540803112076E-2"/>
        <n v="-4.2561814992895131E-2"/>
        <n v="2.4696754207212512E-2"/>
        <n v="1.9051527588580308E-2"/>
        <n v="-3.2255259460271857E-2"/>
        <n v="-6.0469228481924708E-2"/>
        <n v="-3.3097166701831826E-2"/>
        <n v="1.9830806733890372E-2"/>
        <n v="-5.5974114345162307E-2"/>
        <n v="-1.9853118468062592E-2"/>
        <n v="7.4232814692791971E-2"/>
        <n v="-6.2430540539181401E-2"/>
        <n v="5.3162368178143904E-2"/>
        <n v="3.532670493220591E-3"/>
        <n v="3.734288744735248E-2"/>
        <n v="-7.3276320715123022E-2"/>
        <n v="-8.9684045486372321E-3"/>
        <n v="-9.2369256577557679E-2"/>
        <n v="3.8052726990772001E-2"/>
        <n v="-5.4845080018061654E-2"/>
        <n v="-2.7360046916281799E-2"/>
        <n v="9.4652074749748349E-2"/>
        <n v="-2.4963091752865152E-2"/>
        <n v="5.2884637227250009E-2"/>
        <n v="-6.8163117962361852E-2"/>
        <n v="1.0981222805867441E-2"/>
        <n v="-2.5110938147786199E-2"/>
        <n v="1.2219833935854574E-2"/>
        <n v="-4.4028872564791488E-2"/>
        <n v="5.0823804605196088E-2"/>
        <n v="5.160506671943943E-2"/>
        <n v="5.377828875270052E-2"/>
        <n v="-7.3891001899015762E-3"/>
        <n v="-1.885180229377259E-2"/>
        <n v="6.9432058594410817E-2"/>
        <n v="-4.4507869892771779E-2"/>
        <n v="3.5255480367799574E-3"/>
        <n v="7.4526004671318091E-3"/>
        <n v="-1.4480580023757961E-2"/>
        <n v="-3.2174840771974633E-2"/>
        <n v="-5.9507824904087014E-2"/>
        <n v="-7.8178648369413573E-2"/>
        <n v="1.2078981056000249E-2"/>
        <n v="4.3634815698777141E-2"/>
        <n v="-5.6029572780395331E-2"/>
        <n v="1.7883545108285492E-2"/>
        <n v="4.3198768970462931E-2"/>
        <n v="-1.2434842404865365E-2"/>
        <n v="-8.2519582968867411E-3"/>
        <n v="5.5531389639211115E-2"/>
        <n v="-1.500654002369417E-2"/>
        <n v="-5.2581452076855939E-2"/>
        <n v="-2.7530908432914836E-2"/>
        <n v="-2.4642980623312605E-2"/>
        <n v="-4.1955214554213027E-2"/>
        <n v="3.0365510827253139E-2"/>
        <n v="1.1093374459528516E-2"/>
        <n v="4.8116333252870902E-2"/>
        <n v="-1.2612257626076762E-3"/>
        <n v="-4.3313393151664381E-2"/>
        <n v="-4.6199712472287935E-3"/>
        <n v="5.43699672541198E-3"/>
        <n v="1.3716887967995639E-2"/>
        <n v="2.5370584010738328E-2"/>
        <n v="2.150753642010983E-2"/>
        <n v="5.533825497663325E-2"/>
        <n v="4.7963657070843491E-2"/>
        <n v="1.3646289264942046E-2"/>
        <n v="-4.0498775113251284E-2"/>
        <n v="-1.7033233778803392E-2"/>
        <n v="-2.8841556144368674E-2"/>
        <n v="7.6029586110964553E-2"/>
        <n v="1.0904974164790637E-2"/>
        <n v="9.9534282210729241E-3"/>
        <n v="1.5305889812209594E-2"/>
        <n v="4.6091801094170215E-3"/>
        <n v="1.9809896027985996E-2"/>
        <n v="1.7043317093793142E-2"/>
        <n v="-1.1761542880309839E-2"/>
        <n v="-6.2983795254317965E-2"/>
        <n v="-3.9734687158067716E-2"/>
        <n v="5.9171399581605E-2"/>
        <n v="-8.5652023146189915E-3"/>
        <n v="4.2748800706469359E-2"/>
        <n v="1.7264504721345331E-2"/>
        <n v="-8.0390946375918926E-3"/>
        <n v="-2.8815083618278226E-2"/>
        <n v="2.3888700075921587E-2"/>
        <n v="-4.9219537680709413E-2"/>
        <n v="-4.5660744603470138E-2"/>
        <n v="8.6296907578118365E-3"/>
        <n v="2.3862129325726844E-3"/>
        <n v="4.0123216849572207E-2"/>
        <n v="-9.2279177058008921E-2"/>
        <n v="-2.8228962507242938E-2"/>
        <n v="-2.1074611577772795E-2"/>
        <n v="-2.4178847798889014E-2"/>
        <n v="-7.6653060800380701E-2"/>
        <n v="-2.0807911981321259E-2"/>
        <n v="-1.3336161585413175E-2"/>
        <n v="1.8795045762471041E-2"/>
        <n v="2.0125244159465705E-2"/>
        <n v="2.8377653449561224E-2"/>
        <n v="8.2017100762206141E-3"/>
        <n v="-9.4725986230022485E-2"/>
        <n v="-2.2854337056421592E-4"/>
        <n v="-1.5158314297049946E-2"/>
        <n v="2.0805895031938082E-2"/>
        <n v="1.3941289797848366E-2"/>
        <n v="-1.5393699521695225E-2"/>
        <n v="6.4512248293573382E-3"/>
        <n v="-5.2786470906593719E-2"/>
        <n v="-3.5825737584349593E-3"/>
        <n v="-2.3010375640614589E-2"/>
        <n v="1.5129213665869168E-2"/>
        <n v="2.6020974607193104E-2"/>
        <n v="-4.0514888325361764E-2"/>
        <n v="-6.628502867448538E-3"/>
        <n v="3.0727492904732756E-2"/>
        <n v="5.2349715744571146E-2"/>
        <n v="3.189624401378266E-3"/>
        <n v="-5.9806474871849646E-3"/>
        <n v="-8.027404864769061E-2"/>
        <n v="-3.3620527291685964E-2"/>
        <n v="-7.1978916375773361E-3"/>
        <n v="-7.4230317801281531E-3"/>
        <n v="3.9999966746502746E-2"/>
        <n v="-6.1287396396567662E-2"/>
        <n v="5.8875904891478426E-2"/>
        <n v="6.6453799196986019E-3"/>
        <n v="7.0191727648332147E-3"/>
        <n v="1.1866421560460916E-2"/>
        <n v="2.2305849612135997E-2"/>
        <n v="1.066918746972112E-2"/>
        <n v="5.2543759464861672E-2"/>
        <n v="-2.7524317470332793E-2"/>
        <n v="2.1712053631828265E-2"/>
        <n v="4.9939416824077432E-2"/>
        <n v="-2.4360306722714054E-2"/>
        <n v="3.4082889627240487E-3"/>
        <n v="-2.392402863298948E-2"/>
        <n v="1.5281058832174121E-2"/>
        <n v="5.4764999221763144E-2"/>
        <n v="1.024303191799758E-2"/>
        <n v="2.1047273637420538E-2"/>
        <n v="-5.6567376722351681E-2"/>
        <n v="0.14329256084418374"/>
        <n v="3.6635071685548359E-2"/>
        <n v="-1.9598570680398053E-3"/>
        <n v="2.2767720786050161E-2"/>
        <n v="-4.5362000774880507E-2"/>
        <n v="-1.4644746577537449E-2"/>
        <n v="-1.7095129390756303E-2"/>
        <n v="-5.9706296789409086E-3"/>
        <n v="4.7071682121791358E-2"/>
        <n v="2.9991388622991666E-2"/>
        <n v="-1.5073673205737381E-2"/>
        <n v="-2.7227871419631344E-2"/>
        <n v="-1.1878380518692389E-2"/>
        <n v="8.2379180319911649E-2"/>
        <n v="1.252748548660132E-2"/>
        <n v="-1.5115200566548137E-2"/>
        <n v="-1.5762093339022676E-2"/>
        <n v="-3.7507666198993372E-2"/>
        <n v="8.3193549461308969E-3"/>
        <n v="6.5074468280645226E-2"/>
        <n v="-9.7851772479208288E-3"/>
        <n v="3.1410022737550669E-2"/>
        <n v="3.0624523602290621E-2"/>
        <n v="-2.2023123301036729E-2"/>
        <n v="-4.0851217460356248E-2"/>
        <n v="-2.2474682350282604E-2"/>
        <n v="-1.9130166551751593E-2"/>
        <n v="-1.0397297010907969E-2"/>
        <n v="2.5862454180153316E-2"/>
        <n v="-7.0419811181410719E-2"/>
        <n v="-8.6707444439023673E-3"/>
        <n v="-7.1353372810879057E-2"/>
        <n v="-6.019446850115906E-3"/>
        <n v="4.0396091761335295E-2"/>
        <n v="7.533507910870707E-4"/>
        <n v="-2.045988869658355E-2"/>
        <n v="3.0317644545965416E-2"/>
        <n v="-3.2815556215259778E-2"/>
        <n v="4.1640292734731466E-2"/>
        <n v="5.1753069406397456E-2"/>
        <n v="1.7980757287114679E-2"/>
        <n v="5.7827624738109318E-3"/>
        <n v="3.1872761268607386E-2"/>
        <n v="2.3499984080719516E-2"/>
        <n v="4.7517607430153319E-2"/>
        <n v="-1.8359629613151629E-2"/>
        <n v="-3.5219196610033365E-2"/>
        <n v="6.4062279081434914E-2"/>
        <n v="7.5900990126595014E-2"/>
        <n v="3.7514628474106804E-3"/>
        <n v="3.0107116321307359E-3"/>
        <n v="2.4788793590412972E-2"/>
        <n v="2.8431792003268397E-2"/>
        <n v="-5.9072009972351736E-2"/>
        <n v="1.9569969834800638E-2"/>
        <n v="7.1965947007848863E-2"/>
        <n v="3.6575445744818635E-2"/>
        <n v="-2.8053101412807813E-2"/>
        <n v="-5.2093015839538293E-4"/>
        <n v="5.1401271079434929E-2"/>
        <n v="1.4429360062149232E-3"/>
        <n v="5.944729357875822E-3"/>
        <n v="-4.7992230761713217E-2"/>
        <n v="2.459425188142772E-2"/>
        <n v="5.4295986640999772E-2"/>
        <n v="-9.0112798695350937E-3"/>
        <n v="-3.3473763252270583E-2"/>
        <n v="-2.7906539907562311E-2"/>
        <n v="-3.4271721997330862E-2"/>
        <n v="4.7931733350707884E-3"/>
        <n v="0.14021396432699795"/>
        <n v="-1.5973670771224691E-2"/>
        <n v="9.2329321568174194E-3"/>
        <n v="-1.2127159848625002E-2"/>
        <n v="-2.2312193348244413E-2"/>
        <n v="2.713909198363984E-2"/>
        <n v="2.4706153219474336E-2"/>
        <n v="-1.4064444393234066E-2"/>
        <n v="-1.1125329926011895E-2"/>
        <n v="3.8345967157446648E-2"/>
        <n v="-3.0809407319878135E-2"/>
        <n v="-2.0097367047967607E-2"/>
        <n v="4.3609904741392924E-5"/>
        <n v="4.7766242462327524E-2"/>
        <n v="6.8570494504853752E-3"/>
        <n v="5.4193448633843566E-2"/>
        <n v="7.2042186805474362E-3"/>
        <n v="6.8026068648072702E-3"/>
        <n v="1.1544466659690888E-2"/>
        <n v="1.0267735730351779E-2"/>
        <n v="2.7315850597789293E-2"/>
        <n v="-1.5152187168867126E-2"/>
        <n v="-9.2608327405320212E-3"/>
        <n v="-4.5608498967395494E-3"/>
        <n v="2.1734258120856387E-2"/>
        <n v="1.478635816092444E-2"/>
        <n v="1.4388666463928557E-2"/>
        <n v="6.768098813981327E-3"/>
        <n v="-1.8308546838502804E-2"/>
        <n v="-2.0835424817071457E-2"/>
        <n v="5.8031800564966041E-3"/>
        <n v="2.0046586530369614E-2"/>
        <n v="-1.4866250798438174E-2"/>
        <n v="-2.4807644485152158E-2"/>
        <n v="-1.2077847908276151E-3"/>
        <n v="1.1147402834615905E-2"/>
        <n v="9.1188886192890006E-3"/>
        <n v="2.4627832271847394E-2"/>
        <n v="9.5420107040899982E-3"/>
        <n v="-2.9608654169936632E-2"/>
        <n v="5.5340854320906629E-4"/>
        <n v="-2.8392310607339155E-3"/>
        <n v="-2.9620814308412902E-2"/>
        <n v="2.7247488632100358E-2"/>
        <n v="1.0016401290775523E-2"/>
        <n v="1.9209778114300358E-2"/>
        <n v="4.1839200131196463E-2"/>
        <n v="-2.4212999345305186E-2"/>
        <n v="-1.4463123756680463E-2"/>
        <n v="-8.6323029025446862E-3"/>
        <n v="4.0562896513857583E-2"/>
        <n v="1.6422594211967567E-2"/>
        <n v="-1.9896442643381085E-2"/>
        <n v="1.099027685174403E-2"/>
        <n v="-1.0628364228266296E-2"/>
        <n v="-8.3282154337126491E-3"/>
        <n v="2.1630310868109737E-2"/>
        <n v="8.9800871735712384E-3"/>
        <n v="3.3033307110970744E-2"/>
        <n v="4.9705036243235634E-2"/>
        <n v="-1.3069019501654955E-2"/>
        <n v="-2.8146856385193875E-3"/>
        <n v="-1.5653147871762307E-2"/>
        <n v="-4.8879559278679485E-3"/>
        <n v="0.24369664590927398"/>
        <n v="2.5434276142016765E-2"/>
        <n v="2.9913368480613878E-2"/>
        <n v="-5.6767685450441863E-2"/>
        <n v="5.1171051058902961E-2"/>
        <n v="-1.1139144877221674E-2"/>
        <n v="-3.9665726660191858E-3"/>
        <n v="-1.3198446672127551E-2"/>
        <n v="-3.0401294756970065E-2"/>
        <n v="2.7618464325181558E-2"/>
        <n v="6.75160043578793E-3"/>
        <n v="1.836455296822237E-2"/>
        <n v="3.9005231927487838E-2"/>
        <n v="4.8145104853242415E-2"/>
        <n v="-8.0007161211620437E-3"/>
        <n v="9.1419956594784857E-4"/>
        <n v="2.6140741046462246E-2"/>
        <n v="-1.7416826074722946E-2"/>
        <n v="-4.6465789662253343E-4"/>
        <n v="-1.8965664891386735E-2"/>
        <n v="-3.7361670939082381E-2"/>
        <n v="3.061615923503247E-2"/>
        <n v="-1.8124900627024099E-2"/>
        <n v="-7.1747295730337779E-3"/>
        <n v="3.6255171254728769E-2"/>
        <n v="2.6236811118813819E-3"/>
        <n v="-2.2632867050312866E-3"/>
        <n v="-5.0569119364094473E-3"/>
        <n v="9.5002619469077842E-3"/>
        <n v="-7.5992950513127377E-3"/>
        <n v="5.3339441972877211E-3"/>
        <n v="3.5302759901213232E-2"/>
        <n v="4.7264168437621601E-2"/>
        <n v="-1.1048902088666379E-2"/>
        <n v="2.181704318587796E-2"/>
        <n v="2.2233682694939416E-2"/>
        <n v="-8.7800162545501603E-3"/>
        <n v="-3.3073507273468028E-2"/>
        <n v="-2.6603763873375041E-2"/>
        <n v="6.8384964296228645E-3"/>
        <n v="2.3917519060523418E-2"/>
        <n v="-4.969628144329663E-3"/>
        <n v="9.856705497055307E-3"/>
        <n v="1.8518335014431342E-2"/>
        <n v="-4.4908990006375937E-4"/>
        <n v="-4.7508934099061984E-3"/>
        <n v="-4.8121821587371549E-2"/>
        <n v="5.557018996849683E-3"/>
        <n v="3.7065587604059314E-3"/>
        <n v="1.6495119985156181E-2"/>
        <n v="-1.6579724751540903E-2"/>
        <n v="-4.724159192033639E-2"/>
        <n v="-3.9007195075585477E-3"/>
        <n v="-3.6166121348316205E-2"/>
        <n v="7.0933579815643411E-2"/>
        <n v="4.2741142789852749E-3"/>
        <n v="-1.0332186839646762E-2"/>
        <n v="-3.2654123119191247E-3"/>
        <n v="-1.0382461523430475E-3"/>
        <n v="8.4713215443098289E-2"/>
        <n v="-2.7657639724945393E-2"/>
        <n v="3.1707397092611167E-2"/>
        <n v="9.9730951947907265E-4"/>
        <n v="-2.4277642619693229E-2"/>
        <n v="1.7754070283217738E-2"/>
        <n v="4.1613988459269891E-2"/>
        <n v="9.8394124463794252E-3"/>
        <n v="1.8472121480752612E-3"/>
        <n v="-1.7141148560647856E-2"/>
        <n v="8.0391634826093572E-4"/>
        <n v="-3.0549711687032022E-2"/>
        <n v="-1.7424049550970766E-2"/>
        <n v="-1.4467864026707855E-2"/>
        <n v="-8.6454589452238384E-3"/>
        <n v="-6.8175613938783464E-3"/>
        <n v="1.3706318079522717E-2"/>
        <n v="2.1105890164170305E-3"/>
        <n v="-3.6879358767709203E-2"/>
        <n v="1.503391794313691E-3"/>
        <n v="-1.0144331144348318E-2"/>
        <n v="-2.9434555909928162E-2"/>
        <n v="-2.8930654972460834E-2"/>
        <n v="1.4457426288901232E-2"/>
        <n v="1.470796650213857E-2"/>
        <n v="-7.3659210650895979E-3"/>
        <n v="1.329003931879047E-2"/>
        <n v="1.4622930165586689E-2"/>
        <n v="9.5151975832166169E-3"/>
        <n v="2.9494975693145742E-2"/>
        <n v="-2.8248238485530264E-2"/>
        <n v="1.2041390154425402E-2"/>
        <n v="1.4690827550627672E-2"/>
        <n v="2.4033437111622424E-2"/>
        <n v="-1.0685661542408575E-2"/>
        <n v="1.1596118064684857E-2"/>
        <n v="2.2009854702964571E-2"/>
        <n v="2.9698544100158486E-3"/>
        <n v="-3.1611673507992877E-2"/>
        <n v="1.3946035257937694E-2"/>
        <n v="-4.6794605467676997E-2"/>
        <n v="-3.9646988910495229E-2"/>
        <n v="-2.2510085066982377E-3"/>
        <n v="-1.695936882941651E-2"/>
        <n v="3.8369394020880021E-2"/>
        <n v="1.6009376895344207E-2"/>
        <n v="-4.3148692129670208E-2"/>
        <n v="-3.4778241667367982E-2"/>
        <n v="4.3147280765052365E-3"/>
        <n v="1.6321129037569992E-2"/>
        <n v="-9.2563456492222862E-3"/>
        <n v="3.7886283886734207E-2"/>
        <n v="2.7903167477607571E-2"/>
        <n v="3.4454914574043816E-2"/>
        <n v="1.6575912917161872E-2"/>
        <n v="4.4591031822944771E-3"/>
        <n v="1.3469615149932279E-2"/>
        <n v="8.0729595980293389E-3"/>
        <n v="2.9499523026167207E-2"/>
        <n v="5.8962761131273744E-3"/>
        <n v="2.1308305662778304E-2"/>
        <n v="-1.5466431212894816E-2"/>
        <n v="1.2109367915400959E-2"/>
        <n v="-3.6783024721371849E-3"/>
        <n v="2.2536436813358707E-2"/>
        <n v="-9.2246962446997927E-3"/>
        <n v="-2.4587433604739029E-2"/>
        <n v="-1.9295468589947906E-2"/>
        <n v="9.7539603440432998E-3"/>
        <n v="-8.7269041014975679E-3"/>
        <n v="6.6706114757824064E-3"/>
        <n v="-2.8458541138841942E-2"/>
        <n v="-1.0688330092245568E-4"/>
        <n v="-2.6836542109248684E-2"/>
        <n v="2.3293836213886143E-2"/>
        <n v="-2.2827924606775407E-2"/>
        <n v="2.4020395101339354E-2"/>
        <n v="1.9529511067983174E-2"/>
        <n v="-1.8502950009713359E-2"/>
        <n v="2.2090516755634004E-2"/>
        <n v="9.0436628446282086E-3"/>
        <n v="5.4482758291853894E-3"/>
        <n v="1.1168516269892903E-2"/>
        <n v="2.4279009642334204E-2"/>
        <n v="-9.4453701942873725E-3"/>
        <n v="-3.0098489875325818E-2"/>
        <n v="1.827043223109559E-2"/>
        <n v="-3.2660800619424002E-3"/>
        <n v="9.195103468294441E-3"/>
        <n v="2.80056132201012E-3"/>
        <n v="2.1246755761523684E-3"/>
        <n v="-2.7341523302086501E-2"/>
        <n v="-1.2435513345740445E-2"/>
        <n v="9.0185399799900257E-3"/>
        <n v="2.2896700438524764E-2"/>
        <n v="6.4281109217898091E-2"/>
        <n v="1.6975014751152484E-2"/>
        <n v="2.2770008894248184E-2"/>
        <n v="8.6843520577304378E-3"/>
        <n v="-2.0429035537892215E-3"/>
        <n v="3.056106572781192E-2"/>
        <n v="-5.8351046636442305E-3"/>
        <n v="1.8803664004478859E-2"/>
        <n v="4.1746098154030964E-2"/>
        <n v="2.7399324633048394E-3"/>
        <n v="3.6711914671638812E-3"/>
        <n v="2.4869189396469649E-2"/>
        <n v="4.1559089892551082E-3"/>
        <n v="-9.5105585390206082E-3"/>
        <n v="2.3496351590762021E-2"/>
        <n v="4.9466617389903877E-3"/>
        <n v="-1.9864819486993923E-2"/>
        <n v="2.4379459384523905E-2"/>
        <n v="4.970892508279201E-2"/>
        <n v="4.7944413439541478E-2"/>
        <n v="-1.5995616974742499E-2"/>
        <n v="2.749808486378047E-2"/>
        <n v="-6.5336758793040906E-3"/>
        <n v="3.5783756162895752E-2"/>
        <n v="1.5941144172577637E-3"/>
        <n v="-1.6607624739405358E-3"/>
        <n v="2.4567487688069711E-2"/>
        <n v="-1.6806639255454225E-2"/>
        <n v="-6.1936361230363612E-4"/>
        <n v="-4.3532101613322216E-2"/>
        <n v="-2.8508997573582939E-2"/>
        <n v="0.16400898595581914"/>
        <n v="3.5524976038523448E-3"/>
        <n v="3.4888183845931398E-3"/>
        <n v="-4.9434924517449685E-3"/>
        <n v="-1.3189320004137084E-2"/>
        <n v="1.8657698332766204E-2"/>
        <n v="4.0031707173337372E-2"/>
        <n v="3.5950941433603001E-2"/>
        <n v="8.576479904120804E-3"/>
        <n v="3.1827143808295322E-2"/>
        <n v="4.4746420407856258E-2"/>
        <n v="-5.547709719687588E-2"/>
        <n v="-2.0039204900175966E-2"/>
        <n v="7.1571897652958238E-2"/>
        <n v="-1.1151873252284061E-2"/>
        <n v="-3.2391566538093164E-2"/>
        <n v="-1.2166419586961963E-3"/>
        <n v="7.0358841052482468E-3"/>
        <n v="1.0660667445600014E-2"/>
        <n v="1.0895047614699616E-2"/>
        <n v="1.176242154608298E-2"/>
        <n v="3.1213494235641459E-2"/>
        <n v="7.5617854087661751E-3"/>
        <n v="-2.5694194724465991E-2"/>
        <n v="-2.4967146101838367E-2"/>
        <n v="1.1744617198645724E-3"/>
        <n v="7.7393600082187319E-5"/>
        <n v="-1.0081533556875022E-2"/>
        <n v="-5.4553852321153062E-3"/>
        <n v="-3.4384813220960653E-2"/>
        <n v="2.4480867394145012E-2"/>
        <n v="-9.9426336420777028E-3"/>
        <n v="-2.0417041854172702E-2"/>
        <n v="1.974142278356239E-2"/>
        <n v="4.1096377557059416E-2"/>
        <n v="-2.6816396905007589E-2"/>
        <n v="-2.4777127013877687E-2"/>
        <n v="1.6441612569260133E-2"/>
        <n v="-3.8666044755730211E-2"/>
        <n v="7.5682035954718341E-3"/>
        <n v="-0.10004598863146585"/>
        <n v="4.3543244310452645E-2"/>
        <n v="3.6532668600302687E-2"/>
        <n v="-3.3315854844160997E-2"/>
        <n v="3.708717108165982E-2"/>
        <n v="6.1755829061549194E-2"/>
        <n v="2.5061547571914033E-4"/>
        <n v="-1.5440298224751015E-2"/>
        <n v="-3.8899827691741606E-2"/>
        <n v="3.3429432209797216E-2"/>
        <n v="3.4631919744755768E-2"/>
        <n v="3.7741029853891161E-2"/>
        <n v="-1.7212765975094912E-2"/>
        <n v="-1.5681189434252341E-3"/>
        <n v="-1.8415790145926314E-2"/>
        <n v="1.2744149404864791E-2"/>
        <n v="5.7967852250724317E-3"/>
        <n v="1.0586381317365001E-2"/>
        <n v="3.5837868465454781E-2"/>
        <n v="-2.8639343274604601E-3"/>
        <n v="-1.9923934453422554E-2"/>
        <n v="2.488143639414897E-2"/>
        <n v="6.3937200077668344E-3"/>
        <n v="-4.5710079036370699E-3"/>
        <n v="9.3196631043065192E-2"/>
        <n v="2.5722664882689816E-2"/>
        <n v="6.9804336329984285E-2"/>
        <n v="8.1122205267896152E-3"/>
        <n v="-3.7665944882374514E-2"/>
        <n v="-7.8461465573556044E-3"/>
        <n v="4.8954227370778369E-2"/>
        <n v="1.2495713499618644E-2"/>
        <n v="5.1555844184144828E-2"/>
        <n v="-1.177717648749288E-2"/>
        <n v="-9.0916819763231516E-4"/>
        <n v="7.4614702806863331E-3"/>
        <n v="-7.1440301617445856E-3"/>
        <n v="3.5480959923872346E-2"/>
        <n v="3.5223495856612219E-2"/>
        <n v="1.7514209371233491E-2"/>
        <n v="-6.8244616259338642E-3"/>
        <n v="3.5119804709105695E-2"/>
        <n v="-3.5403323890688343E-2"/>
        <n v="-3.2191459436149095E-2"/>
        <n v="-6.6840513364993193E-2"/>
        <n v="6.756423628185293E-2"/>
        <n v="2.4584726668857027E-3"/>
        <n v="-1.9066411313645393E-2"/>
        <n v="-3.629303545987006E-3"/>
        <n v="6.1518034990863946E-3"/>
        <n v="-1.3113447093134223E-2"/>
        <n v="4.5732392773675912E-2"/>
        <n v="-1.9098788484478435E-2"/>
        <n v="1.8834906679365382E-2"/>
        <n v="2.4805046322734281E-2"/>
        <n v="2.6868460875537625E-2"/>
        <n v="-5.566657966002142E-2"/>
        <n v="1.4442841670397666E-2"/>
        <n v="-6.1902069516364122E-3"/>
        <n v="-1.6194323071095917E-2"/>
        <n v="-6.6239411478859478E-2"/>
        <n v="2.6273506230935384E-2"/>
        <n v="-2.6096356593765524E-2"/>
        <n v="4.757072774972082E-2"/>
        <n v="-7.6899090194965103E-3"/>
        <n v="-6.8031607171220698E-2"/>
        <n v="-1.724295810093901E-2"/>
        <n v="6.9469234980157335E-3"/>
        <n v="-1.300202810279294E-2"/>
        <n v="-7.0436312747585772E-2"/>
        <n v="0.12812104797164769"/>
        <n v="-6.6740739744237665E-2"/>
        <n v="-1.7763923660632952E-2"/>
        <n v="-6.3577953540785215E-2"/>
        <n v="3.7829920858249988E-2"/>
        <n v="-5.1223110897909874E-2"/>
        <n v="6.1267799006072821E-2"/>
        <n v="-2.0957358215321076E-3"/>
        <n v="4.0763686237889507E-2"/>
        <n v="6.5309117734556388E-2"/>
        <n v="1.6703895002734948E-2"/>
        <n v="4.0481084279578194E-2"/>
        <n v="1.3999682901177035E-2"/>
        <n v="4.3506227426193478E-2"/>
        <n v="-2.1153793926186326E-2"/>
        <n v="9.8230378246531025E-3"/>
        <n v="-3.7042739605196329E-2"/>
        <n v="4.5498497698979179E-2"/>
        <n v="-2.2493573112928877E-2"/>
        <n v="1.4550139294029707E-2"/>
        <n v="-2.0966454792122224E-2"/>
        <n v="-6.384849712502938E-2"/>
        <n v="1.5137391035805248E-2"/>
        <n v="-9.5250039387800078E-2"/>
        <n v="-1.6574086804137522E-2"/>
        <n v="9.4152141456658178E-3"/>
        <n v="-4.085428115335954E-2"/>
        <n v="3.5398228115490316E-2"/>
        <n v="1.5309275091006214E-2"/>
        <n v="8.149889513081332E-2"/>
        <n v="1.9161594136490212E-2"/>
        <n v="-3.3575866321478021E-4"/>
        <n v="-1.9479388368814021E-2"/>
        <n v="-1.019014364534454E-2"/>
        <n v="-1.9205821441112936E-2"/>
        <n v="3.9693053257349398E-2"/>
        <n v="-1.5864919534423594E-2"/>
        <n v="2.2413427846743605E-3"/>
        <n v="3.965255345552654E-2"/>
        <n v="2.1841632266417221E-2"/>
        <n v="4.2911020155540491E-3"/>
        <n v="-2.1283442924162399E-2"/>
        <n v="3.2957108677122982E-4"/>
        <n v="-3.6561340179978585E-2"/>
        <n v="1.5811972426736265E-2"/>
        <n v="3.3655865225834525E-2"/>
        <n v="1.6849832251814023E-2"/>
        <n v="2.2414342575867385E-2"/>
        <n v="4.0479050428316121E-2"/>
        <n v="-1.8058784719574561E-3"/>
        <n v="1.6283462222810074E-2"/>
        <n v="-7.414020320539727E-5"/>
        <n v="2.4258115014492931E-2"/>
        <n v="-4.6860242235295391E-2"/>
        <n v="3.1306863492083448E-2"/>
        <n v="8.9154319342383825E-3"/>
        <n v="7.814310159864446E-3"/>
        <n v="4.1376725815984505E-2"/>
        <n v="-8.3500957357829364E-4"/>
        <n v="-2.8066017478545646E-2"/>
        <n v="6.0906040176589293E-3"/>
        <n v="8.04784385484969E-3"/>
        <n v="-7.2062887477981619E-3"/>
        <n v="5.1948105620673868E-3"/>
        <n v="-1.3522072664613694E-2"/>
        <n v="-4.7222715776404578E-2"/>
        <n v="1.9885610485110838E-2"/>
        <n v="4.8004843487912119E-3"/>
        <n v="2.8372002531491525E-2"/>
        <n v="4.0740539673180365E-2"/>
        <n v="2.2457311806175717E-2"/>
        <n v="-8.3963103658992733E-3"/>
        <n v="-1.6053546258461671E-2"/>
        <n v="2.0859120452204394E-2"/>
        <n v="-1.3621835583439657E-2"/>
        <n v="3.350017072413447E-3"/>
        <n v="-3.2570454893591672E-2"/>
        <n v="-1.2889058384981333E-2"/>
        <n v="4.8947717364517196E-2"/>
        <n v="-7.618549024332788E-3"/>
        <n v="5.3465639639767026E-3"/>
        <n v="-3.2181153402513485E-2"/>
        <n v="-4.1775252838995081E-2"/>
        <n v="6.6166309000819101E-3"/>
        <n v="-1.1539659277233771E-2"/>
        <n v="2.1501605049072836E-2"/>
        <n v="2.7485519362897559E-3"/>
        <n v="1.1757913774784523E-2"/>
        <n v="3.4792556205836656E-2"/>
        <n v="-4.8236000714330096E-4"/>
        <n v="-1.8061464475808475E-2"/>
        <n v="-2.5484423551181634E-2"/>
        <n v="-2.6943400364133341E-2"/>
        <n v="3.1391217713462982E-2"/>
        <n v="-1.4141191427792577E-2"/>
        <n v="-2.2498882032416678E-2"/>
        <n v="-1.675976572571225E-2"/>
        <n v="-1.2197015206675821E-2"/>
        <n v="-1.1350490096976307E-2"/>
        <n v="1.3730304267117965E-2"/>
        <n v="3.0762309782726316E-2"/>
        <n v="3.6896902320644465E-2"/>
        <n v="3.937957691025451E-3"/>
        <n v="-2.0682766704210875E-3"/>
        <n v="-2.0867604398359774E-2"/>
        <n v="3.5032412984734584E-3"/>
        <n v="-2.3274261745943603E-2"/>
        <n v="2.9935119579002745E-2"/>
        <n v="4.4537777244489485E-2"/>
        <n v="3.4332300211119993E-2"/>
        <n v="-6.2169528063781176E-2"/>
        <n v="-2.1416454183231792E-4"/>
        <n v="-2.9976370322259083E-2"/>
        <n v="-1.971898132557659E-2"/>
        <n v="-1.1033637137344954E-2"/>
        <n v="3.4001399883671679E-2"/>
        <n v="-1.9597860309961135E-2"/>
        <n v="3.0995050791199574E-2"/>
        <n v="2.2656151514774958E-2"/>
        <n v="4.430898675842343E-2"/>
        <n v="1.0198454760059761E-3"/>
        <n v="-3.1245750648081327E-2"/>
        <n v="-0.16968171201672888"/>
        <n v="8.9258445340063775E-2"/>
        <n v="-4.1010825765699144E-2"/>
        <n v="7.6799506245648352E-3"/>
        <n v="-3.6742968099140239E-2"/>
        <n v="-2.8400101945069811E-2"/>
        <n v="1.7058098293587509E-2"/>
        <n v="5.2085970956628147E-2"/>
        <n v="3.0842089922108906E-2"/>
        <n v="9.0143252313346078E-3"/>
        <n v="2.8727818962695606E-2"/>
        <n v="-5.7646000744343562E-3"/>
        <n v="-1.2500168292961633E-2"/>
        <n v="3.1645476692271135E-2"/>
        <n v="2.631404760027567E-2"/>
        <n v="3.9609936227893439E-3"/>
        <n v="-1.2195664723472222E-3"/>
        <n v="6.320513218736723E-3"/>
        <n v="-4.0539648832340514E-2"/>
        <n v="-3.0870884116102726E-2"/>
        <n v="-2.8016674607737935E-2"/>
        <n v="3.6721224626113713E-2"/>
        <n v="-8.4780628807589964E-2"/>
        <n v="3.9700305555244508E-2"/>
        <n v="-8.6935632404384955E-2"/>
        <n v="1.6920871741318289E-2"/>
        <n v="1.1294192604553555E-2"/>
        <n v="-5.7374312280148221E-2"/>
        <n v="1.9173426499780266E-2"/>
        <n v="-5.0669977652607834E-2"/>
        <n v="1.6638535688298095E-2"/>
        <n v="6.4275999708025777E-2"/>
        <n v="-1.3824634742628517E-3"/>
        <n v="5.2690750808710218E-2"/>
        <n v="-1.7588525666094701E-2"/>
        <n v="-3.4301003041780964E-2"/>
        <n v="1.81062037527564E-2"/>
        <n v="8.5941870462438175E-3"/>
        <n v="-7.0024141076757696E-3"/>
        <n v="3.1520908262874014E-2"/>
        <n v="-5.9303329355865353E-3"/>
        <n v="-5.7419847461616325E-2"/>
        <n v="-2.0481690790875251E-2"/>
        <n v="-1.5794676608994918E-2"/>
        <n v="-1.1762611854777671E-2"/>
        <n v="1.6331513496370187E-2"/>
        <n v="2.4510699831183924E-3"/>
        <n v="-7.8065470743732268E-2"/>
        <n v="-7.3575681170347185E-2"/>
        <n v="3.530901116249785E-2"/>
        <n v="-1.3723831195389558E-2"/>
        <n v="0.18722750456600301"/>
        <n v="-5.9127169778110056E-2"/>
        <n v="3.1235504378898327E-2"/>
        <n v="-1.9832681208932224E-3"/>
        <n v="1.3458588155291107E-2"/>
        <n v="-6.8716520571001749E-2"/>
        <n v="-2.8710901955003698E-2"/>
        <n v="-4.512754969726096E-2"/>
        <n v="2.0431219042711612E-2"/>
        <n v="3.8628832694534765E-2"/>
        <n v="3.6218443545294798E-2"/>
        <n v="4.3033077850208823E-2"/>
        <n v="-2.0538761994973176E-2"/>
        <n v="2.667179331728331E-3"/>
        <n v="-9.1734298227708067E-4"/>
        <n v="2.4697079525506593E-2"/>
        <n v="2.5893808339858548E-2"/>
        <n v="-5.9388491508025609E-3"/>
        <n v="-2.460037893001199E-3"/>
        <n v="3.1002236780898418E-2"/>
        <n v="2.6482500507771789E-3"/>
        <n v="-6.1344613521123748E-3"/>
        <n v="5.4436319470751782E-2"/>
        <n v="5.6341476837431514E-2"/>
        <n v="4.1637736299942496E-2"/>
        <n v="-3.7682214155240201E-3"/>
        <n v="4.2275182961457602E-3"/>
        <n v="1.2554795333701296E-3"/>
        <n v="-8.7776750984329688E-3"/>
        <n v="-1.919925661810129E-2"/>
        <n v="7.8147996703286093E-3"/>
        <n v="-1.1593744090047986E-2"/>
        <n v="3.2066367324706802E-2"/>
        <n v="-5.0921885043472281E-3"/>
        <n v="3.2490175169429536E-2"/>
        <n v="-2.9168674712021558E-2"/>
        <n v="1.665055876714705E-2"/>
        <n v="2.7951549239128015E-2"/>
        <n v="4.9569137379936734E-3"/>
        <n v="-1.3599267774802248E-2"/>
        <n v="1.2357959274336361E-2"/>
        <n v="6.4212961560312642E-3"/>
        <n v="9.3247295276710496E-3"/>
        <n v="-7.7805123443444035E-3"/>
        <n v="1.5192891441814238E-2"/>
        <n v="-2.0896662620336182E-2"/>
        <n v="1.9159107377723306E-2"/>
        <n v="-3.9395800815456017E-3"/>
        <n v="9.4366446844755814E-3"/>
        <n v="-1.1204227907487208E-2"/>
        <n v="2.2245792641255591E-3"/>
        <n v="2.5872007315151491E-2"/>
        <n v="4.3340310003842974E-2"/>
        <n v="4.6010613096272301E-3"/>
        <n v="1.7610700385979339E-2"/>
        <n v="1.5214217990842105E-3"/>
        <n v="-2.9685420899917325E-2"/>
        <n v="2.5766382486490436E-2"/>
        <n v="1.3290933350226908E-2"/>
        <n v="-6.903408851184123E-3"/>
        <n v="1.1122254812210519E-2"/>
        <n v="1.8000036669871378E-2"/>
        <n v="7.490217212359207E-3"/>
        <n v="4.996949298580855E-3"/>
        <n v="-5.1539672558957861E-3"/>
        <n v="4.0409510355096989E-2"/>
        <n v="3.9250401557806569E-3"/>
        <n v="9.5116194182471858E-3"/>
        <n v="-3.4104213078071099E-3"/>
        <n v="-5.9741051803020584E-3"/>
        <n v="-2.5382153858991896E-2"/>
        <n v="2.2450953030295873E-2"/>
        <n v="1.7332282040708913E-2"/>
        <n v="-1.3813991283150306E-3"/>
        <n v="1.8731927056198527E-2"/>
        <n v="-7.0155980940657114E-3"/>
        <n v="2.1423404683743374E-2"/>
        <n v="-7.8095036466339085E-3"/>
        <n v="-2.3331592131278556E-2"/>
        <n v="3.6150156410362122E-2"/>
        <n v="-9.6667540971361321E-3"/>
        <n v="6.507379675917635E-3"/>
        <n v="7.5243367675710271E-3"/>
        <n v="1.067652896336857E-2"/>
        <n v="-3.5031564284915273E-3"/>
        <n v="6.0420726990713103E-3"/>
        <n v="-8.5717684462154331E-3"/>
        <n v="2.3678879326483049E-3"/>
        <n v="-8.6253708660166684E-3"/>
        <n v="8.6449548319973424E-3"/>
        <n v="-3.4997993677144845E-2"/>
        <n v="-1.3664558234958157E-3"/>
        <n v="-2.3945697649176978E-3"/>
        <n v="1.7202144384917073E-2"/>
        <n v="1.0225218164484184E-2"/>
        <n v="1.0900419888796531E-2"/>
        <n v="-9.3522251756239516E-4"/>
        <n v="-7.8744635904498539E-3"/>
        <n v="-3.3246505487318556E-2"/>
        <n v="-1.9519949164359285E-2"/>
        <n v="-9.3680515177518853E-4"/>
        <n v="6.0954357886893185E-3"/>
        <n v="-2.7030123061550726E-2"/>
        <n v="7.7234428037378233E-3"/>
        <n v="1.4556416428491259E-2"/>
        <n v="3.8475163074294327E-2"/>
        <n v="-8.4585260382930016E-4"/>
        <n v="3.6686942232229125E-3"/>
        <n v="-3.935983940567267E-4"/>
        <n v="-1.6146295065249894E-2"/>
        <n v="-2.6246649910796838E-2"/>
        <n v="3.494053288969079E-2"/>
        <n v="2.4397172760990404E-3"/>
        <n v="3.9282324307458483E-2"/>
        <n v="-2.8211967028401452E-2"/>
        <n v="-8.1825080940135519E-3"/>
        <n v="4.068588702951903E-3"/>
        <n v="2.8138668279011902E-3"/>
        <n v="2.0539938960737691E-2"/>
        <n v="2.6010326197546618E-2"/>
        <n v="3.5373842616002182E-3"/>
        <n v="8.8122474058227596E-3"/>
        <n v="-6.7235138243937342E-3"/>
        <n v="-1.1086299720477033E-2"/>
        <n v="-2.6948154076971154E-3"/>
        <n v="2.1995264931179204E-2"/>
        <n v="1.8296252478039898E-2"/>
        <n v="-4.8865329883898911E-2"/>
        <n v="2.8172088682583807E-2"/>
        <n v="-4.4020944637518378E-2"/>
        <n v="-1.1107984306079066E-3"/>
        <n v="1.101039928627312E-2"/>
        <n v="7.7553442992865929E-3"/>
        <n v="-3.1656380962610253E-3"/>
        <n v="-8.1033955460854123E-3"/>
        <n v="-4.857566318624551E-3"/>
        <n v="1.0428245272369407E-2"/>
        <n v="2.2507573914282819E-2"/>
        <n v="2.8079140789020851E-2"/>
        <n v="4.9819910682591839E-2"/>
        <n v="2.9895984327615199E-2"/>
        <n v="-2.0044438573744494E-2"/>
        <n v="-1.9715110218919696E-3"/>
        <n v="2.1680040134361755E-2"/>
        <n v="-3.9588157789888334E-2"/>
        <n v="-1.7514662514751311E-2"/>
        <n v="-3.6524808235306017E-2"/>
        <n v="3.7220833593942793E-4"/>
        <n v="5.7932542161149181E-2"/>
        <n v="-2.9590603550341266E-2"/>
        <n v="3.3133459502552309E-3"/>
        <n v="-3.5810230893141393E-2"/>
        <n v="1.7713810694072851E-2"/>
        <n v="-1.8772638296214117E-2"/>
        <n v="-2.8081441428459142E-2"/>
        <n v="2.8451698075282472E-2"/>
        <n v="-3.1524784480993384E-2"/>
        <n v="-9.7430988849768196E-3"/>
        <n v="2.0516568505674071E-2"/>
        <n v="-2.5910756942502222E-2"/>
        <n v="1.3721728427074753E-2"/>
        <n v="-1.8084970501686226E-2"/>
        <n v="1.6497230579703537E-2"/>
        <n v="8.5592844833544124E-3"/>
        <n v="-1.0305283802814258E-2"/>
        <n v="2.1160534523537944E-2"/>
        <n v="-5.2896057701214971E-3"/>
        <n v="1.7214022376646154E-2"/>
        <n v="-3.1258768757731481E-3"/>
        <n v="-6.4334891302668673E-3"/>
        <n v="-1.5507749510496383E-2"/>
        <n v="-3.266449001911087E-2"/>
        <n v="7.2562847968486999E-3"/>
        <n v="8.1116937496983343E-3"/>
        <n v="-3.8149914853342293E-2"/>
        <n v="1.8719953397407174E-2"/>
        <n v="3.9336191946053534E-2"/>
        <n v="1.4917981573424388E-2"/>
        <n v="3.0050626087284815E-2"/>
        <n v="-3.1711040511147592E-3"/>
        <n v="1.0179749413702144E-2"/>
        <n v="-1.2124095818556335E-2"/>
        <n v="-3.6127780493745432E-3"/>
        <n v="-5.5454501835298098E-3"/>
        <n v="1.2600536961681508E-2"/>
        <n v="-3.8655016095672234E-3"/>
        <n v="-4.6778305702940282E-3"/>
        <n v="9.9870977617271262E-3"/>
        <n v="-2.152181842344103E-2"/>
        <n v="-9.7283613313037254E-4"/>
        <n v="4.3280183361860125E-4"/>
        <n v="4.7042397304424277E-3"/>
        <n v="-1.4369602734984444E-2"/>
        <n v="2.1349905289956617E-2"/>
        <n v="-4.3839316225913194E-3"/>
        <n v="-4.3816762744832816E-2"/>
        <n v="2.9482885699874561E-2"/>
        <n v="8.2913972961204951E-3"/>
        <n v="1.5310543910665775E-2"/>
        <n v="-6.3941704429395507E-3"/>
        <n v="1.0993714284356582E-2"/>
        <n v="1.5913472151403374E-2"/>
        <n v="5.1691246884515429E-3"/>
        <n v="-7.1684186752033474E-3"/>
        <n v="-2.8880863540361679E-2"/>
        <n v="-2.8392949431980563E-2"/>
        <n v="-3.410221846767858E-2"/>
        <n v="-1.3261404396442744E-2"/>
        <n v="7.8717722291379078E-2"/>
        <n v="2.4971681890920472E-2"/>
        <n v="-7.8930556239988903E-3"/>
        <n v="8.0089262671372285E-3"/>
        <n v="-1.6364060802846025E-2"/>
        <n v="-2.2092652268939861E-2"/>
        <n v="1.1815519283653098E-2"/>
        <n v="1.6272821632539847E-2"/>
        <n v="-4.2553713701432017E-4"/>
        <n v="1.0218296081220712E-2"/>
        <n v="9.1138835031943088E-3"/>
        <n v="6.786738276500115E-3"/>
        <n v="1.405227603538961E-2"/>
        <n v="-5.4561240728662419E-2"/>
        <n v="-4.1646346652961186E-2"/>
        <n v="2.9854947906472917E-2"/>
        <n v="-1.3316571281988043E-2"/>
        <n v="1.6606504566419655E-2"/>
        <n v="1.6389986358509301E-3"/>
        <n v="-3.010799423668542E-2"/>
        <n v="2.7162275767295796E-2"/>
        <n v="1.160697676597211E-2"/>
        <n v="6.8737134473524364E-3"/>
        <n v="-1.5535083686109119E-2"/>
        <n v="-1.5780314308353027E-2"/>
        <n v="1.647717218041489E-2"/>
        <n v="-7.0407973366969356E-3"/>
        <n v="-8.4097987720970213E-3"/>
        <n v="-1.0199568445272478E-2"/>
        <n v="-3.281811115811839E-2"/>
        <n v="1.7023782007274502E-2"/>
        <n v="-2.50518750288653E-3"/>
        <n v="1.9863034004328428E-2"/>
        <n v="-4.1638580957803928E-2"/>
        <n v="-2.1723974181843797E-2"/>
        <n v="-1.4028147487508913E-2"/>
        <n v="5.5881808882369377E-2"/>
        <n v="7.7408602690236528E-3"/>
        <n v="9.331356375359201E-3"/>
        <n v="1.4093304479019242E-3"/>
        <n v="2.58955293576979E-3"/>
        <n v="2.23470271240227E-2"/>
        <n v="1.0050504643715596E-2"/>
        <n v="2.5664741901011867E-2"/>
        <n v="3.6048920990325861E-3"/>
        <n v="3.8032865411783634E-2"/>
        <n v="1.2009574075831697E-2"/>
        <n v="-2.6147697967087158E-3"/>
        <n v="1.6788441530004805E-2"/>
        <n v="1.8841966312004299E-3"/>
        <n v="-1.0788787118989118E-2"/>
        <n v="1.3107830909409257E-2"/>
        <n v="-1.4123474389033275E-2"/>
        <n v="4.3227788976992976E-2"/>
        <n v="4.0044177147810167E-2"/>
        <n v="-1.588104908680843E-2"/>
        <n v="-1.8389075111261644E-2"/>
        <n v="-4.6260455600329542E-2"/>
        <n v="-5.6120756343832623E-3"/>
        <n v="1.5111067113071641E-4"/>
        <n v="-9.9757997765160811E-3"/>
        <n v="5.7659075388685865E-2"/>
        <n v="1.7658654042992161E-2"/>
        <n v="1.7494095947569566E-2"/>
        <n v="1.9702590962160649E-2"/>
        <n v="6.1064523193952169E-3"/>
        <n v="2.2873482047085725E-2"/>
        <n v="4.3882585978834987E-2"/>
        <n v="-4.4201227206322136E-2"/>
        <n v="-1.3314388358780183E-2"/>
        <n v="-7.6916771060926425E-3"/>
        <n v="1.2964070657941695E-2"/>
        <n v="-1.7720537361840427E-2"/>
        <n v="-1.9042372987516321E-2"/>
        <n v="-2.1826918622399605E-3"/>
        <n v="-1.0518481304186644E-2"/>
        <n v="7.7610163419090661E-3"/>
        <n v="-1.4515703746992403E-2"/>
        <n v="6.2612458879184096E-2"/>
        <n v="-6.8639720451515451E-3"/>
        <n v="-3.6217585788632323E-2"/>
        <n v="1.9393956466710272E-2"/>
        <n v="-6.2014073591381336E-2"/>
        <n v="1.7259839984335112E-2"/>
        <n v="-2.1568105327770537E-3"/>
        <n v="-3.7321697398258857E-2"/>
        <n v="2.2203357892913722E-2"/>
        <n v="1.5620019126554308E-3"/>
        <n v="3.5381814028240033E-2"/>
        <n v="-2.3723197733726997E-2"/>
        <n v="-1.3307023368657078E-2"/>
        <n v="2.9513846689763312E-2"/>
        <n v="-9.6825123227628485E-3"/>
        <n v="-4.1265280911645719E-2"/>
        <n v="-5.1989268198245897E-3"/>
        <n v="-1.6381881943899002E-2"/>
        <n v="-1.6399339040476968E-2"/>
        <n v="1.2673362368860186E-2"/>
        <n v="2.6260425117358377E-2"/>
        <n v="-1.2544327816355949E-2"/>
        <n v="-1.3918412665829716E-2"/>
        <n v="3.6955356666652506E-3"/>
        <n v="7.056965494693257E-3"/>
        <n v="3.6510448935239692E-2"/>
        <n v="-6.5647480400992109E-3"/>
        <n v="4.0339323324847909E-2"/>
        <n v="-3.521998340020871E-2"/>
        <n v="4.0632851776453593E-2"/>
        <n v="3.3049902651376417E-3"/>
        <n v="-2.4000028722426348E-2"/>
        <n v="-2.2131130535045118E-2"/>
        <n v="2.3174460152899368E-3"/>
        <n v="1.9726458731385677E-2"/>
        <n v="2.3011261647718051E-2"/>
        <n v="-1.5561648070122391E-2"/>
        <n v="-9.197155678610569E-3"/>
        <n v="-4.9941993879074609E-2"/>
        <n v="2.5443998472178819E-3"/>
        <n v="-3.553119230079016E-2"/>
        <n v="2.6472285272951535E-2"/>
        <n v="2.9276081370092744E-2"/>
        <n v="2.9339972053043173E-2"/>
        <n v="2.5648485614655492E-2"/>
        <n v="3.4349337998660801E-2"/>
        <n v="-1.0491548501885273E-3"/>
        <n v="2.2695105237842572E-2"/>
        <n v="-2.8621197847608748E-2"/>
        <n v="-2.2984624709898593E-4"/>
        <n v="3.0298833737428366E-2"/>
        <n v="5.3996462744489993E-3"/>
        <n v="-6.2139097981417368E-4"/>
        <n v="-6.6623357982598108E-4"/>
        <n v="-2.3421133026656382E-2"/>
      </sharedItems>
    </cacheField>
    <cacheField name="PG" numFmtId="0">
      <sharedItems containsSemiMixedTypes="0" containsString="0" containsNumber="1" minValue="-6.2322363325128083E-2" maxValue="4.2699215805491741E-2" count="1408">
        <n v="6.3850216404019999E-3"/>
        <n v="1.0526478118564997E-2"/>
        <n v="-9.3466271437548931E-3"/>
        <n v="-4.3234740259590065E-4"/>
        <n v="-6.7726150952597264E-3"/>
        <n v="-5.8035650168550834E-3"/>
        <n v="1.5323166945193645E-3"/>
        <n v="-1.0636655856622546E-2"/>
        <n v="-7.5112065084541602E-3"/>
        <n v="-8.7548756146509366E-3"/>
        <n v="-1.2499934670137547E-2"/>
        <n v="-9.8374351118868386E-4"/>
        <n v="-7.7093765807348946E-3"/>
        <n v="1.7230779544703756E-2"/>
        <n v="6.4277287768188529E-3"/>
        <n v="-3.5389385626762082E-2"/>
        <n v="1.5422628893561052E-2"/>
        <n v="-1.6492671780748647E-2"/>
        <n v="5.927734065835466E-3"/>
        <n v="-1.3957983404507823E-3"/>
        <n v="1.2422846659394526E-3"/>
        <n v="6.2061011513403486E-4"/>
        <n v="4.1851753172841288E-3"/>
        <n v="-3.0872520446240115E-3"/>
        <n v="-3.870760799361439E-3"/>
        <n v="-3.4974264671239208E-3"/>
        <n v="8.5800009373460107E-4"/>
        <n v="-5.5327178353611339E-3"/>
        <n v="2.3506637358521321E-3"/>
        <n v="4.2214917100358296E-3"/>
        <n v="8.3292515067650008E-3"/>
        <n v="-1.8605542370846551E-2"/>
        <n v="-4.2479891250372104E-3"/>
        <n v="7.4260116129298837E-3"/>
        <n v="1.0980572420034029E-3"/>
        <n v="-8.4600400917672625E-3"/>
        <n v="-2.4095530914160279E-2"/>
        <n v="6.1523101620617471E-3"/>
        <n v="-3.1376799603197725E-3"/>
        <n v="-5.9724784381530727E-3"/>
        <n v="-8.2008294777029533E-3"/>
        <n v="3.1355133172611183E-2"/>
        <n v="1.0557244099369756E-2"/>
        <n v="-8.8760283401333462E-3"/>
        <n v="9.1930857144726374E-3"/>
        <n v="-3.3767206835265684E-3"/>
        <n v="9.6916664295652044E-3"/>
        <n v="3.2777531563292772E-3"/>
        <n v="2.9559690791491899E-3"/>
        <n v="-4.0328806370083514E-3"/>
        <n v="2.1802441922751381E-3"/>
        <n v="-5.361170790793679E-3"/>
        <n v="1.6951576757508136E-2"/>
        <n v="1.8589645645930908E-2"/>
        <n v="-3.0153154970125051E-4"/>
        <n v="6.9402336112973639E-3"/>
        <n v="1.4758923022627268E-2"/>
        <n v="1.5651459641437659E-2"/>
        <n v="-1.5410266477599688E-2"/>
        <n v="-1.4782049416017795E-4"/>
        <n v="-8.4911069810975626E-3"/>
        <n v="1.6159783012210438E-2"/>
        <n v="3.6668204005518845E-4"/>
        <n v="1.7583344693412606E-3"/>
        <n v="3.8025772123826407E-3"/>
        <n v="-6.4840704931363735E-3"/>
        <n v="4.0332914531586717E-3"/>
        <n v="-1.3219467570272925E-2"/>
        <n v="3.6266521773113958E-3"/>
        <n v="1.2094397592808503E-2"/>
        <n v="7.2850234705157391E-5"/>
        <n v="-4.6627795128058036E-3"/>
        <n v="8.3445749362160981E-3"/>
        <n v="-6.5335228590704952E-3"/>
        <n v="-9.9277144570509845E-3"/>
        <n v="-5.1253218118257893E-3"/>
        <n v="-2.0008912199970141E-2"/>
        <n v="-6.0953646231820535E-4"/>
        <n v="1.6771311567540526E-3"/>
        <n v="8.4473526634538665E-3"/>
        <n v="6.8675542451075433E-3"/>
        <n v="1.184235467300021E-2"/>
        <n v="-3.4074950924505298E-3"/>
        <n v="-8.0273848306849915E-3"/>
        <n v="1.2588019854489874E-2"/>
        <n v="7.396414347526914E-5"/>
        <n v="1.86460472900154E-2"/>
        <n v="-4.9393511469986162E-3"/>
        <n v="-1.0584936206359807E-2"/>
        <n v="1.6084072101696822E-2"/>
        <n v="2.1055376584890872E-3"/>
        <n v="-2.0285611542874005E-3"/>
        <n v="-1.0237453940552532E-2"/>
        <n v="2.0537733723104967E-3"/>
        <n v="1.0249098303023896E-2"/>
        <n v="0"/>
        <n v="-2.8985153364169403E-4"/>
        <n v="3.4065215001906068E-3"/>
        <n v="-2.2390253703234997E-3"/>
        <n v="-2.2733890449284755E-2"/>
        <n v="-9.631261476008568E-4"/>
        <n v="-1.4609001455727744E-2"/>
        <n v="4.3648533911180287E-3"/>
        <n v="1.790806505587228E-2"/>
        <n v="7.3609703551791306E-4"/>
        <n v="3.4572718291134841E-3"/>
        <n v="-1.1582121139151802E-2"/>
        <n v="-3.7070827162410946E-4"/>
        <n v="7.4189226665506425E-3"/>
        <n v="-6.8487598114371773E-3"/>
        <n v="3.7078271078017089E-4"/>
        <n v="-1.9273166413972254E-3"/>
        <n v="-1.3887657069889037E-2"/>
        <n v="9.1127390313932022E-3"/>
        <n v="-1.4627974071099836E-2"/>
        <n v="7.8769676798560173E-3"/>
        <n v="3.7550790987328497E-4"/>
        <n v="-1.4271682524017448E-3"/>
        <n v="6.7726976160931152E-4"/>
        <n v="1.4283522343503829E-2"/>
        <n v="2.9646188760796832E-3"/>
        <n v="-6.7988104581523379E-3"/>
        <n v="3.9435024248646311E-3"/>
        <n v="2.2976216093535395E-3"/>
        <n v="4.88021796637228E-3"/>
        <n v="5.885324812182624E-4"/>
        <n v="7.5011409671768003E-3"/>
        <n v="-1.4566503159907374E-4"/>
        <n v="3.6466174086546843E-4"/>
        <n v="8.0302091307271617E-4"/>
        <n v="-1.2398802997991565E-3"/>
        <n v="7.374138971554256E-3"/>
        <n v="8.5519850809232523E-3"/>
        <n v="9.7009122716771312E-3"/>
        <n v="-4.9808590748634529E-4"/>
        <n v="-5.3402620651930022E-3"/>
        <n v="-3.5081298922964299E-3"/>
        <n v="-3.8313505860443353E-3"/>
        <n v="1.4441222077503424E-2"/>
        <n v="3.5052454875774686E-3"/>
        <n v="4.0635526800840704E-3"/>
        <n v="-1.483859181936098E-2"/>
        <n v="5.1883943117159159E-3"/>
        <n v="1.9716495302215531E-2"/>
        <n v="-2.4607939621039687E-3"/>
        <n v="1.4589688512892662E-2"/>
        <n v="-1.0559029531112429E-2"/>
        <n v="4.9122402245660446E-4"/>
        <n v="-7.64892212677315E-3"/>
        <n v="5.4450166322170812E-3"/>
        <n v="6.3327709762739381E-4"/>
        <n v="2.4599796740540913E-3"/>
        <n v="2.3137976524678638E-3"/>
        <n v="4.8268882276616409E-3"/>
        <n v="6.9618579304342454E-3"/>
        <n v="1.6593373170783465E-3"/>
        <n v="-1.0905784329616752E-2"/>
        <n v="1.179353709493669E-2"/>
        <n v="6.8951219285984244E-4"/>
        <n v="-5.1000344458754787E-3"/>
        <n v="-8.1054157182202102E-3"/>
        <n v="-3.5618507349032269E-3"/>
        <n v="-1.7522977702256748E-3"/>
        <n v="-7.7236930436253015E-4"/>
        <n v="4.3565917964254464E-3"/>
        <n v="-3.7779643409208141E-3"/>
        <n v="1.0183288097359133E-2"/>
        <n v="7.6462379188613205E-4"/>
        <n v="6.9479511137604533E-4"/>
        <n v="-3.7487104717821573E-3"/>
        <n v="7.5952100335960893E-3"/>
        <n v="-4.2184845636401569E-3"/>
        <n v="9.7228622761802441E-4"/>
        <n v="1.0754038234079166E-2"/>
        <n v="-1.7159139631269804E-3"/>
        <n v="-2.1318916713420899E-3"/>
        <n v="-6.9594265890158269E-3"/>
        <n v="1.5957907579942088E-3"/>
        <n v="-1.0045595905744498E-2"/>
        <n v="1.5398397954635712E-3"/>
        <n v="3.4238659618488487E-3"/>
        <n v="4.1085507017777356E-3"/>
        <n v="-4.4384084565547433E-3"/>
        <n v="-1.316639589704105E-2"/>
        <n v="-7.5533045929585541E-3"/>
        <n v="1.0171622135609848E-2"/>
        <n v="-1.5631568434497423E-2"/>
        <n v="-1.5739366417899525E-3"/>
        <n v="-5.6599142690735293E-3"/>
        <n v="3.8909085476788174E-3"/>
        <n v="1.3349624732875043E-2"/>
        <n v="8.0031424436837195E-3"/>
        <n v="-4.1455037751093604E-3"/>
        <n v="4.1627605145373447E-3"/>
        <n v="-1.4754821329572287E-3"/>
        <n v="2.322285091414189E-3"/>
        <n v="1.1303086162941733E-2"/>
        <n v="2.568276491712318E-3"/>
        <n v="-1.4402114040042879E-2"/>
        <n v="-1.1802743037517049E-2"/>
        <n v="3.9101058650108378E-3"/>
        <n v="-7.1968500396066837E-3"/>
        <n v="1.0765828623824802E-2"/>
        <n v="1.4190935175895092E-4"/>
        <n v="1.419957250823578E-2"/>
        <n v="-7.1403468101197687E-3"/>
        <n v="5.9929398492688524E-3"/>
        <n v="2.1728275938832642E-3"/>
        <n v="-2.4478891975298067E-3"/>
        <n v="9.9550884676133933E-3"/>
        <n v="6.8722831637531012E-3"/>
        <n v="1.8615259591274746E-3"/>
        <n v="4.9545687816483497E-3"/>
        <n v="-7.464108731151109E-3"/>
        <n v="3.0360045081472276E-3"/>
        <n v="9.8360519638243105E-3"/>
        <n v="-2.8613309728302561E-3"/>
        <n v="1.0929063440863196E-3"/>
        <n v="5.7316413876840056E-3"/>
        <n v="-1.424627240281362E-3"/>
        <n v="-6.1152599987135403E-4"/>
        <n v="1.3574337609245646E-4"/>
        <n v="-2.0384528246202294E-3"/>
        <n v="6.674442358738375E-3"/>
        <n v="1.1095971614435429E-2"/>
        <n v="-5.2196346232686874E-3"/>
        <n v="-8.0048521847880805E-3"/>
        <n v="1.0510790190053854E-2"/>
        <n v="-2.9794727006589805E-2"/>
        <n v="1.2588048447286448E-2"/>
        <n v="5.8741802024591117E-3"/>
        <n v="1.7792107075356167E-2"/>
        <n v="1.5145262467606724E-2"/>
        <n v="-2.6290653728132662E-3"/>
        <n v="4.4811243035882686E-3"/>
        <n v="5.838749869059745E-3"/>
        <n v="1.395801842654576E-2"/>
        <n v="1.4215648649212209E-2"/>
        <n v="3.6784524055721857E-3"/>
        <n v="3.8547845550593873E-3"/>
        <n v="1.4163550441705919E-2"/>
        <n v="-2.2655405393111616E-2"/>
        <n v="2.5401864927916407E-3"/>
        <n v="-6.3343757362932518E-4"/>
        <n v="9.888829501771168E-3"/>
        <n v="4.895728473119032E-3"/>
        <n v="1.1679946733971436E-2"/>
        <n v="5.3712477225453803E-3"/>
        <n v="8.2903633830899714E-3"/>
        <n v="-8.6483735504214732E-3"/>
        <n v="4.9762928493359837E-3"/>
        <n v="-4.1569463062947065E-3"/>
        <n v="3.4991705387561467E-3"/>
        <n v="4.5268256746489044E-3"/>
        <n v="-8.4040143365562425E-3"/>
        <n v="-5.5289421749527001E-4"/>
        <n v="-1.3641504945795191E-2"/>
        <n v="-1.158708781726725E-2"/>
        <n v="2.2056896032300877E-3"/>
        <n v="-4.5276803695364354E-3"/>
        <n v="9.6025522272018549E-3"/>
        <n v="-1.9272766979689937E-2"/>
        <n v="3.3624562919079004E-2"/>
        <n v="5.3993118181874244E-3"/>
        <n v="3.8271678523829067E-3"/>
        <n v="-8.1167274868413353E-3"/>
        <n v="-1.0911537237942803E-2"/>
        <n v="-8.7127823056816212E-3"/>
        <n v="6.1969514204687215E-3"/>
        <n v="8.60923726246976E-3"/>
        <n v="-3.1149255799933773E-4"/>
        <n v="-4.4251070040428608E-3"/>
        <n v="1.7903970170893846E-2"/>
        <n v="9.4713304870328585E-3"/>
        <n v="-1.5901207942610629E-2"/>
        <n v="-7.490796566316571E-3"/>
        <n v="-2.2455853723610808E-3"/>
        <n v="-2.2504249367111262E-3"/>
        <n v="-1.5225839147515519E-2"/>
        <n v="-5.5988608476619239E-3"/>
        <n v="2.8792786857110286E-3"/>
        <n v="5.1023439596975528E-4"/>
        <n v="7.5884771862286815E-3"/>
        <n v="1.145513517550123E-2"/>
        <n v="5.0050855704375508E-4"/>
        <n v="-1.2320359156194005E-2"/>
        <n v="-1.2473826661776877E-2"/>
        <n v="-2.6930129330338337E-2"/>
        <n v="4.2699215805491741E-2"/>
        <n v="-1.4850975955185919E-2"/>
        <n v="-1.654976095168692E-2"/>
        <n v="3.1304575068054064E-3"/>
        <n v="3.7065074208213478E-3"/>
        <n v="5.0531278971681637E-3"/>
        <n v="-1.4825362961875421E-2"/>
        <n v="-3.9583834088421477E-2"/>
        <n v="1.3488590500361664E-2"/>
        <n v="-2.5744287536595412E-2"/>
        <n v="-1.1866869453194706E-2"/>
        <n v="1.2777228850924915E-2"/>
        <n v="3.5987695887652604E-2"/>
        <n v="-3.3936355921999617E-3"/>
        <n v="3.138126704872013E-3"/>
        <n v="-5.3268713718113148E-4"/>
        <n v="3.7961336640206511E-3"/>
        <n v="7.6966922020667017E-3"/>
        <n v="-6.9792240340513789E-3"/>
        <n v="1.7237214917298349E-3"/>
        <n v="1.1583483200328093E-2"/>
        <n v="6.8704157576737757E-3"/>
        <n v="1.0267402065629039E-2"/>
        <n v="-6.8824927851595108E-3"/>
        <n v="-1.0298805210178563E-2"/>
        <n v="1.4986964611561016E-2"/>
        <n v="-6.5121919473221102E-3"/>
        <n v="3.5045136029203672E-3"/>
        <n v="1.4293214211752892E-2"/>
        <n v="1.294385448238411E-2"/>
        <n v="7.8056292513959402E-3"/>
        <n v="-3.8100253608897017E-3"/>
        <n v="-3.0099104446795755E-3"/>
        <n v="2.8304583288840668E-3"/>
        <n v="-5.5814811930735564E-3"/>
        <n v="-9.5227608954622234E-3"/>
        <n v="1.4962663773912643E-2"/>
        <n v="2.659797887293025E-2"/>
        <n v="-7.8035312708224502E-4"/>
        <n v="-8.3636201925073594E-3"/>
        <n v="8.0620681091603252E-3"/>
        <n v="-1.6979457279345911E-2"/>
        <n v="-2.6909904652995253E-3"/>
        <n v="2.5413992486377879E-2"/>
        <n v="-1.750181316864019E-2"/>
        <n v="-1.3516078806382614E-2"/>
        <n v="-1.3701373884816959E-2"/>
        <n v="7.3622696997925896E-3"/>
        <n v="-1.8429287435712816E-2"/>
        <n v="9.9700492186571843E-3"/>
        <n v="-2.499776151687283E-3"/>
        <n v="-5.269645156036562E-3"/>
        <n v="-1.4083712488736633E-2"/>
        <n v="-4.0623366962999619E-3"/>
        <n v="1.0724214072687754E-2"/>
        <n v="9.764442578791499E-3"/>
        <n v="-2.836543662915858E-3"/>
        <n v="-6.2322363325128083E-2"/>
        <n v="-2.3028041330651172E-2"/>
        <n v="6.3502288417383035E-4"/>
        <n v="2.2991859881317911E-2"/>
        <n v="1.7786930273596679E-2"/>
        <n v="-1.6392450235430456E-2"/>
        <n v="8.7461317400041594E-3"/>
        <n v="1.5292310880780757E-2"/>
        <n v="-5.6484139280296164E-3"/>
        <n v="-1.5147422658059573E-2"/>
        <n v="1.0780060418927429E-2"/>
        <n v="-8.9667624097600207E-3"/>
        <n v="-3.9070445810609478E-3"/>
        <n v="1.1147669505076729E-2"/>
        <n v="-1.2454152931891005E-2"/>
        <n v="-1.8054958099738005E-2"/>
        <n v="-3.7899702478239039E-3"/>
        <n v="-2.6770033806242544E-2"/>
        <n v="-3.1198012545721965E-2"/>
        <n v="-9.9371761787604429E-3"/>
        <n v="6.1128623277710847E-3"/>
        <n v="-7.2005764861847732E-3"/>
        <n v="3.0295876957903145E-2"/>
        <n v="1.5619426792218727E-2"/>
        <n v="2.7436803899942852E-2"/>
        <n v="1.4406292579715707E-2"/>
        <n v="-7.6203891399796442E-3"/>
        <n v="-1.6265154340081023E-2"/>
        <n v="9.0830654504756581E-3"/>
        <n v="1.1181409118772745E-2"/>
        <n v="1.61345648972957E-2"/>
        <n v="-9.650242472949766E-3"/>
        <n v="9.3297448852946996E-3"/>
        <n v="-3.4238664981667277E-4"/>
        <n v="-6.7122357305414715E-3"/>
        <n v="7.0333784702056867E-3"/>
        <n v="-8.833293568447198E-3"/>
        <n v="6.5630650793495615E-3"/>
        <n v="-2.9513414363632196E-3"/>
        <n v="-1.3765482205134738E-3"/>
        <n v="-1.2132203348782511E-2"/>
        <n v="5.0938019063020423E-3"/>
        <n v="-1.728676939595386E-2"/>
        <n v="9.4565180000660831E-4"/>
        <n v="1.5983190920400681E-2"/>
        <n v="6.7825455196883766E-3"/>
        <n v="1.9445856634467962E-3"/>
        <n v="9.4960467298192963E-3"/>
        <n v="1.6616533716323989E-2"/>
        <n v="-6.1799144825215091E-2"/>
        <n v="2.8723350140180237E-2"/>
        <n v="-6.6480179625203473E-3"/>
        <n v="2.064121248389128E-2"/>
        <n v="-1.5877259834076174E-3"/>
        <n v="4.8392827459009524E-4"/>
        <n v="3.8004711656900447E-3"/>
        <n v="-2.3403769378621542E-3"/>
        <n v="9.4530355385311626E-3"/>
        <n v="-7.1088337475018193E-3"/>
        <n v="9.7067456924784246E-3"/>
        <n v="1.2885878839812293E-2"/>
        <n v="9.2219418569396971E-3"/>
        <n v="-4.6022913242157459E-3"/>
        <n v="3.5513870767795996E-3"/>
        <n v="-2.6689925407374915E-4"/>
        <n v="-2.6714026487910658E-3"/>
        <n v="-1.9286072620982475E-2"/>
        <n v="-4.3018220059966028E-3"/>
        <n v="-8.2320039956129687E-4"/>
        <n v="-2.3404246905861292E-2"/>
        <n v="-4.2166262797845855E-3"/>
        <n v="-1.065691299810323E-2"/>
        <n v="-1.5979803685625571E-2"/>
        <n v="1.2324572588780613E-2"/>
        <n v="-1.7760014251162914E-2"/>
        <n v="-1.1154968039226554E-2"/>
        <n v="1.5114598386848144E-2"/>
        <n v="1.3073131815679595E-3"/>
        <n v="1.5233139293090892E-2"/>
        <n v="8.1451128082170587E-3"/>
        <n v="-2.0694758704058791E-2"/>
        <n v="2.3880480241258439E-3"/>
        <n v="-7.724758921275221E-3"/>
        <n v="6.111652974596149E-3"/>
        <n v="-2.0970605859712554E-3"/>
        <n v="-3.5512381441706875E-3"/>
        <n v="-1.2872672143160013E-2"/>
        <n v="3.5365241389073709E-3"/>
        <n v="-4.6251009695943424E-3"/>
        <n v="9.5892669200736691E-4"/>
        <n v="-2.7485122469262158E-2"/>
        <n v="-2.4852341843437542E-2"/>
        <n v="-1.9036576863116883E-2"/>
        <n v="1.790080585536824E-2"/>
        <n v="1.2372854023279034E-2"/>
        <n v="-6.9176647202808805E-3"/>
        <n v="-2.1052908382951707E-2"/>
        <n v="-1.7473030583849081E-2"/>
        <n v="-4.1038046029399089E-3"/>
        <n v="3.7975178359288542E-3"/>
        <n v="1.6098051620156983E-3"/>
        <n v="1.5109032613367379E-2"/>
        <n v="-9.7378996163370868E-3"/>
        <n v="1.8068181271666983E-2"/>
        <n v="8.0887793635926464E-3"/>
        <n v="9.2701072602374701E-3"/>
        <n v="-1.2880291216137318E-2"/>
        <n v="1.252075801338659E-2"/>
        <n v="6.1440334325868484E-3"/>
        <n v="1.1517410791943572E-2"/>
        <n v="7.0302477964017118E-3"/>
        <n v="7.5893090843170974E-4"/>
        <n v="2.5326058361212489E-2"/>
        <n v="-4.0673699561500909E-3"/>
        <n v="1.5591905502769787E-3"/>
        <n v="-1.4382985592377162E-2"/>
        <n v="-6.8451977711466716E-3"/>
        <n v="1.825350922293878E-2"/>
        <n v="1.5322715236052442E-2"/>
        <n v="2.2710983520746186E-3"/>
        <n v="-2.4123667648542346E-3"/>
        <n v="3.4437441409649772E-2"/>
        <n v="-1.4875922743404768E-3"/>
        <n v="7.1076827665050857E-5"/>
        <n v="-3.4755351671920121E-3"/>
        <n v="8.8969916102101809E-3"/>
        <n v="-6.137746586546533E-3"/>
        <n v="1.2067808481417197E-2"/>
        <n v="1.2695803584673815E-2"/>
        <n v="8.5882329496569376E-3"/>
        <n v="5.6999600906890713E-3"/>
        <n v="1.8433003946598525E-3"/>
        <n v="-8.177755107026119E-4"/>
        <n v="-7.6398512269096885E-3"/>
        <n v="2.529544136851114E-2"/>
        <n v="6.0360881591492443E-4"/>
        <n v="9.112140155691506E-3"/>
        <n v="-1.0092063716206745E-2"/>
        <n v="1.2743689774441513E-3"/>
        <n v="6.4310243697467406E-3"/>
        <n v="7.1879859405177271E-3"/>
        <n v="-2.6431640667565759E-3"/>
        <n v="1.0270226699757634E-2"/>
        <n v="-1.5084304477166466E-3"/>
        <n v="3.941062335075296E-3"/>
        <n v="-1.131870211423136E-2"/>
        <n v="-4.4340713319617198E-3"/>
        <n v="-2.6585128500566935E-4"/>
        <n v="3.9882703458848923E-4"/>
        <n v="9.172160513480021E-3"/>
        <n v="2.3047778680156394E-3"/>
        <n v="2.8255089829891666E-3"/>
        <n v="8.7143670913218951E-3"/>
        <n v="-1.2926218985588322E-2"/>
        <n v="4.1457457387410468E-3"/>
        <n v="-6.7499045360562837E-3"/>
        <n v="6.5832894354800331E-5"/>
        <n v="4.3543428200467638E-3"/>
        <n v="-1.2415400410700328E-2"/>
        <n v="2.3812596214163317E-2"/>
        <n v="-1.2213932050519904E-2"/>
        <n v="-9.8681057995508858E-4"/>
        <n v="-8.0978014935864095E-3"/>
        <n v="-5.6417327178729382E-3"/>
        <n v="7.1422418251756437E-3"/>
        <n v="-2.9161707410719773E-3"/>
        <n v="-2.6788347593900474E-2"/>
        <n v="-2.1147902930642837E-2"/>
        <n v="3.8616729313774023E-3"/>
        <n v="-1.3429595001148487E-2"/>
        <n v="5.4593529932316365E-3"/>
        <n v="-7.0516789857844042E-4"/>
        <n v="-4.0220928403797984E-3"/>
        <n v="-4.1088196937143495E-3"/>
        <n v="3.1296866197718654E-3"/>
        <n v="9.7157397592830819E-3"/>
        <n v="5.6892661298826308E-3"/>
        <n v="-7.1234035487165448E-3"/>
        <n v="3.0947000805987557E-3"/>
        <n v="-8.4844330708457871E-3"/>
        <n v="-9.7596526054180011E-3"/>
        <n v="-1.0355721709697674E-2"/>
        <n v="-1.096901415044893E-2"/>
        <n v="8.8285759270645414E-3"/>
        <n v="1.309132520264833E-2"/>
        <n v="-5.6400215494628592E-3"/>
        <n v="-2.2973049465228046E-3"/>
        <n v="-1.3097752160502352E-2"/>
        <n v="2.0927911449401204E-2"/>
        <n v="-7.1422429544920618E-4"/>
        <n v="4.2167618899424664E-3"/>
        <n v="-3.2027117875955691E-3"/>
        <n v="-5.6409459549084939E-3"/>
        <n v="-8.6155308406099529E-4"/>
        <n v="-1.135525639741497E-2"/>
        <n v="7.2682324818207356E-4"/>
        <n v="1.6489558661544335E-2"/>
        <n v="7.2896015394627867E-3"/>
        <n v="-4.2570041865385155E-3"/>
        <n v="-1.9878476276163459E-2"/>
        <n v="1.4513369986257629E-4"/>
        <n v="-7.3411925074721163E-3"/>
        <n v="4.53984096109461E-3"/>
        <n v="6.9246329603265266E-3"/>
        <n v="1.2378863999655154E-2"/>
        <n v="1.4158071443405751E-2"/>
        <n v="7.4737095637287254E-3"/>
        <n v="2.7967409425677658E-4"/>
        <n v="1.5392163663974445E-2"/>
        <n v="-7.23464518739525E-3"/>
        <n v="-6.2470769412881211E-4"/>
        <n v="-1.388965176235768E-3"/>
        <n v="2.0376915550534003E-2"/>
        <n v="-5.2479185368599079E-3"/>
        <n v="2.8090196579821924E-3"/>
        <n v="3.0746515526287599E-3"/>
        <n v="4.3591758636005729E-3"/>
        <n v="8.4097136274783324E-3"/>
        <n v="5.514850997477172E-3"/>
        <n v="4.8157064051914666E-3"/>
        <n v="6.856260716211704E-3"/>
        <n v="6.3465069892052473E-3"/>
        <n v="-8.2774509734998558E-3"/>
        <n v="-1.9873081212583577E-3"/>
        <n v="2.7215365971868799E-3"/>
        <n v="4.6337120621395833E-3"/>
        <n v="-5.0736288741616287E-3"/>
        <n v="3.3109334108183397E-4"/>
        <n v="1.0593694084224392E-3"/>
        <n v="1.983800949350023E-4"/>
        <n v="3.6658765467041388E-3"/>
        <n v="3.4604114164507038E-2"/>
        <n v="1.7940149319535248E-3"/>
        <n v="2.5560114573086601E-4"/>
        <n v="-1.1573701208594134E-2"/>
        <n v="1.2226813616608379E-2"/>
        <n v="-5.7495366334370246E-4"/>
        <n v="1.2148553442319354E-3"/>
        <n v="-8.9414301830847975E-4"/>
        <n v="-1.2785206721263043E-3"/>
        <n v="-4.6085027508599996E-3"/>
        <n v="3.3435413692588511E-3"/>
        <n v="-4.6784156347901007E-3"/>
        <n v="-1.0238068667015932E-2"/>
        <n v="2.0815505113556121E-3"/>
        <n v="2.3374328758041241E-3"/>
        <n v="1.0169043135048295E-2"/>
        <n v="3.2048683313723458E-4"/>
        <n v="-1.7305856841751677E-3"/>
        <n v="-4.2379387058772977E-3"/>
        <n v="-1.6442936875807668E-2"/>
        <n v="4.1958523430374317E-3"/>
        <n v="-2.618005692887404E-2"/>
        <n v="-1.0793968024267797E-2"/>
        <n v="-8.2685002921865092E-3"/>
        <n v="-6.423669190575465E-3"/>
        <n v="6.8803035196740581E-5"/>
        <n v="-1.5268194522283784E-2"/>
        <n v="-4.7491962041711355E-3"/>
        <n v="1.024546818018468E-2"/>
        <n v="1.7782882686970591E-2"/>
        <n v="-3.9586650319094474E-3"/>
        <n v="-9.9354265589687296E-3"/>
        <n v="2.1453741397947645E-3"/>
        <n v="1.1326001467964364E-2"/>
        <n v="8.1937598975301285E-4"/>
        <n v="-7.8464630202295105E-3"/>
        <n v="-2.4073175322217866E-3"/>
        <n v="9.3757520974533382E-3"/>
        <n v="1.3863882397761706E-2"/>
        <n v="7.3425937824191934E-3"/>
        <n v="-9.2282107585194284E-3"/>
        <n v="8.6395576288091913E-3"/>
        <n v="3.4124117986786828E-3"/>
        <n v="-9.936574935713316E-3"/>
        <n v="1.0101443112868758E-3"/>
        <n v="9.4882344416973297E-3"/>
        <n v="-1.998172624614325E-4"/>
        <n v="-4.0670496524378708E-3"/>
        <n v="1.579857646511007E-2"/>
        <n v="5.0085640674486509E-3"/>
        <n v="-1.7050402419135358E-3"/>
        <n v="-1.6421359533578261E-3"/>
        <n v="-2.0987988918095168E-2"/>
        <n v="4.0302272628300884E-4"/>
        <n v="-5.239975401964525E-3"/>
        <n v="5.2002486226501166E-3"/>
        <n v="6.7147891360841427E-4"/>
        <n v="7.3852162250747089E-3"/>
        <n v="-7.06407735767689E-3"/>
        <n v="1.8792663388824682E-3"/>
        <n v="6.8330417678055255E-3"/>
        <n v="8.1083558322811999E-3"/>
        <n v="1.5741240270577439E-2"/>
        <n v="3.2042813587076502E-3"/>
        <n v="2.3465631116448282E-3"/>
        <n v="1.0403918805836909E-3"/>
        <n v="-1.1887657915891081E-2"/>
        <n v="2.8268822822446582E-2"/>
        <n v="-7.0311705727144069E-4"/>
        <n v="-3.2000601767667725E-4"/>
        <n v="2.1760822656533563E-3"/>
        <n v="2.6182617774590522E-3"/>
        <n v="-1.0955487462028679E-2"/>
        <n v="1.0561615538605906E-2"/>
        <n v="1.0835533605044745E-3"/>
        <n v="-1.2733765080219506E-3"/>
        <n v="-4.971700345304586E-3"/>
        <n v="5.8294220007131248E-3"/>
        <n v="-7.8335901062671631E-3"/>
        <n v="-6.4189532951192119E-3"/>
        <n v="-1.0207382120759556E-2"/>
        <n v="-7.1794278185826066E-3"/>
        <n v="2.826730301660918E-3"/>
        <n v="-5.0476620801923611E-3"/>
        <n v="3.9527312959819483E-4"/>
        <n v="9.3526237701400117E-3"/>
        <n v="-4.6331429785617662E-3"/>
        <n v="6.5558228406898955E-3"/>
        <n v="1.5630809191742312E-3"/>
        <n v="5.8499896433272802E-4"/>
        <n v="1.1050316662346571E-3"/>
        <n v="1.947670074615937E-3"/>
        <n v="1.1013452696022608E-3"/>
        <n v="-1.3397178275833865E-2"/>
        <n v="-1.96822097629612E-3"/>
        <n v="9.5308881505293819E-3"/>
        <n v="-4.2973424230727808E-3"/>
        <n v="1.1901169148069934E-2"/>
        <n v="-1.7576865373821748E-2"/>
        <n v="6.9723033604192075E-3"/>
        <n v="1.0974053640094628E-2"/>
        <n v="-8.3996325107430492E-3"/>
        <n v="3.7792943731929096E-3"/>
        <n v="-2.9211545527864091E-3"/>
        <n v="-8.4638294651784296E-4"/>
        <n v="-8.6663927283471276E-3"/>
        <n v="-3.6807876948617979E-3"/>
        <n v="-6.0692160576861776E-3"/>
        <n v="-8.8940124339494941E-3"/>
        <n v="-1.3260356951425023E-2"/>
        <n v="-6.7870820848042746E-3"/>
        <n v="-3.2799711766947626E-3"/>
        <n v="-4.5934629616316558E-3"/>
        <n v="2.0662759606624448E-3"/>
        <n v="3.2994741225482738E-3"/>
        <n v="-1.4866283651940981E-2"/>
        <n v="2.0165464520507381E-3"/>
        <n v="-5.0661160983698217E-3"/>
        <n v="9.9050808201563978E-3"/>
        <n v="-1.2294644917237529E-2"/>
        <n v="2.2379897284112715E-3"/>
        <n v="9.5590874238209445E-3"/>
        <n v="9.5375077376484985E-3"/>
        <n v="1.3008252502311191E-3"/>
        <n v="2.5776099839343924E-2"/>
        <n v="-5.6274997963842166E-3"/>
        <n v="-1.3492558062827564E-3"/>
        <n v="6.7542854356150706E-4"/>
        <n v="1.1812464376751208E-2"/>
        <n v="4.6696484780841541E-3"/>
        <n v="-5.3120452011430341E-3"/>
        <n v="-1.762348577094619E-2"/>
        <n v="1.4270116284437639E-2"/>
        <n v="5.1589907344407049E-3"/>
        <n v="-2.7994924252052744E-3"/>
        <n v="1.2231875220044097E-2"/>
        <n v="-9.0466868941796452E-3"/>
        <n v="5.7974820901420809E-3"/>
        <n v="-2.3189542082914238E-3"/>
        <n v="-3.8514965111408062E-3"/>
        <n v="2.2664957022997534E-3"/>
        <n v="7.0503021745171868E-3"/>
        <n v="6.9349427804905606E-3"/>
        <n v="-2.2303960478625706E-3"/>
        <n v="-4.6017173704151482E-3"/>
        <n v="9.3120867917264594E-3"/>
        <n v="-1.1516126420780037E-2"/>
        <n v="-5.295409833786402E-3"/>
        <n v="-4.3921451122288513E-3"/>
        <n v="9.4245236353425188E-3"/>
        <n v="2.3836796285900963E-3"/>
        <n v="-9.2473396148617937E-4"/>
        <n v="6.9425208789359871E-3"/>
        <n v="-7.6170051050484799E-3"/>
        <n v="1.5814233059478822E-2"/>
        <n v="-5.6017825145803224E-3"/>
        <n v="-3.9301916951967053E-3"/>
        <n v="-3.4854861964740969E-2"/>
        <n v="-7.4979264979579963E-4"/>
        <n v="-1.0228150071052156E-3"/>
        <n v="-9.2147600588219358E-3"/>
        <n v="4.6159202956468359E-3"/>
        <n v="8.2293171872316329E-4"/>
        <n v="1.8089498859547026E-2"/>
        <n v="-2.638314894145255E-2"/>
        <n v="-4.8389107454127611E-3"/>
        <n v="1.5351467109714578E-2"/>
        <n v="-1.5461308336052859E-2"/>
        <n v="2.4317791702328506E-3"/>
        <n v="7.0705068072396404E-3"/>
        <n v="4.5433449794316516E-3"/>
        <n v="8.2225505895427986E-4"/>
        <n v="-2.2592593965699015E-3"/>
        <n v="5.5580221093549653E-3"/>
        <n v="1.5012880724912803E-2"/>
        <n v="-6.0506577936335626E-3"/>
        <n v="5.478919595192755E-3"/>
        <n v="-8.2747671759290098E-3"/>
        <n v="8.6150695261868471E-3"/>
        <n v="4.102446161049933E-3"/>
        <n v="4.2867048622992066E-3"/>
        <n v="3.801326387672832E-3"/>
        <n v="5.981028821995249E-4"/>
        <n v="-5.3786187374976757E-3"/>
        <n v="1.0015931498608133E-3"/>
        <n v="-5.7650805463140831E-3"/>
        <n v="-3.8476944378492695E-3"/>
        <n v="1.9650904727255281E-3"/>
        <n v="4.1390536945828504E-2"/>
        <n v="-1.2079760518509453E-2"/>
        <n v="2.3008580342712026E-2"/>
        <n v="3.3410714669290797E-3"/>
        <n v="1.2824354074991717E-4"/>
        <n v="8.5168688070775822E-3"/>
        <n v="-2.2223319721239587E-3"/>
        <n v="1.2982238299844351E-2"/>
        <n v="-6.8476978051656978E-3"/>
        <n v="7.5904166219697977E-4"/>
        <n v="4.7406441178590164E-3"/>
        <n v="1.0064138237007025E-3"/>
        <n v="-3.0166158278205346E-3"/>
        <n v="-7.6905294757889653E-3"/>
        <n v="-1.968918883504478E-3"/>
        <n v="-5.346641174938771E-3"/>
        <n v="-4.0954740363287057E-3"/>
        <n v="8.8669028924932558E-3"/>
        <n v="3.1846885698603167E-3"/>
        <n v="6.3489500028468537E-3"/>
        <n v="1.1923408564534999E-2"/>
        <n v="9.9737881811789997E-4"/>
        <n v="2.92750945885345E-3"/>
        <n v="-5.0301652962441157E-3"/>
        <n v="-5.7422611982845817E-3"/>
        <n v="4.708104675410496E-3"/>
        <n v="-6.9351795901896329E-3"/>
        <n v="-5.6621109876342501E-4"/>
        <n v="4.4695351307759701E-3"/>
        <n v="-1.5040974853018918E-3"/>
        <n v="1.5691027487494402E-3"/>
        <n v="6.5799887450115335E-3"/>
        <n v="-1.6807654284540785E-3"/>
        <n v="7.4837411444990121E-3"/>
        <n v="2.3520004570363184E-3"/>
        <n v="2.2851560120205061E-3"/>
        <n v="-4.9293169525783664E-3"/>
        <n v="-7.4311585448783024E-4"/>
        <n v="-1.053058826703368E-3"/>
        <n v="3.8457644247016365E-3"/>
        <n v="9.8856544855441264E-4"/>
        <n v="-8.0247280808010135E-4"/>
        <n v="-1.2358052897947225E-3"/>
        <n v="-9.0930511373046308E-3"/>
        <n v="2.2474769452676124E-3"/>
        <n v="1.2830815081560143E-2"/>
        <n v="-2.2138287635490306E-3"/>
        <n v="-1.0292818092108136E-2"/>
        <n v="-6.2145714844752398E-5"/>
        <n v="-2.7527083556958432E-2"/>
        <n v="-4.4830143567151648E-3"/>
        <n v="4.1815899272605872E-3"/>
        <n v="-3.8430682706092067E-4"/>
        <n v="3.9731849464768043E-3"/>
        <n v="3.7023459571152717E-3"/>
        <n v="-8.9035643708923473E-3"/>
        <n v="-3.2725288488653081E-3"/>
        <n v="7.7231880085570914E-4"/>
        <n v="3.2167528775179921E-3"/>
        <n v="6.4763450657379096E-3"/>
        <n v="8.5731907958812581E-3"/>
        <n v="5.4040106732919924E-3"/>
        <n v="1.5176303521562629E-2"/>
        <n v="5.9797504112952815E-3"/>
        <n v="6.8112632226797754E-3"/>
        <n v="-3.0749023698573019E-4"/>
        <n v="-7.7516157920782813E-3"/>
        <n v="2.2940698625537603E-3"/>
        <n v="9.5262902017834161E-3"/>
        <n v="1.2255382515355961E-3"/>
        <n v="2.6926856160396362E-3"/>
        <n v="3.7841799168505386E-3"/>
        <n v="-1.2176266230712329E-4"/>
        <n v="8.0272647583530254E-3"/>
        <n v="-4.1625888354691609E-3"/>
        <n v="5.8764033529812298E-3"/>
        <n v="4.8785095298131687E-3"/>
        <n v="-5.8737199728036149E-3"/>
        <n v="-6.6331807112463004E-4"/>
        <n v="4.5245233348056857E-3"/>
        <n v="8.107965575809617E-3"/>
        <n v="-1.3106190254704719E-3"/>
        <n v="-1.9685568252741925E-3"/>
        <n v="6.2159593407642433E-3"/>
        <n v="-3.2075847204637853E-3"/>
        <n v="-1.3825315471651667E-2"/>
        <n v="-9.6666806337830646E-4"/>
        <n v="-1.3427775764523364E-2"/>
        <n v="-8.9509195318154822E-3"/>
        <n v="5.7530702969845748E-3"/>
        <n v="1.2055678726231811E-2"/>
        <n v="6.6858129707325631E-4"/>
        <n v="1.4333405853980796E-2"/>
        <n v="-5.7481901941428548E-3"/>
        <n v="1.4573958872611703E-2"/>
        <n v="-8.3695544402346833E-3"/>
        <n v="1.7359472884939109E-3"/>
        <n v="7.7672455747856972E-4"/>
        <n v="-1.3732894946608898E-2"/>
        <n v="7.446542953223112E-3"/>
        <n v="2.2834600056176324E-3"/>
        <n v="4.2568468909611745E-3"/>
        <n v="6.3283646072769262E-3"/>
        <n v="-5.2800097808930468E-3"/>
        <n v="3.5186889586216186E-3"/>
        <n v="1.1293695789489355E-3"/>
        <n v="-9.4982586125127444E-3"/>
        <n v="3.5957964012711674E-3"/>
        <n v="-4.9568257583491038E-3"/>
        <n v="-1.0202821528217942E-2"/>
        <n v="-1.3339737187853862E-2"/>
        <n v="7.2516574655221433E-3"/>
        <n v="-4.2693352499700854E-4"/>
        <n v="8.4235478406369246E-3"/>
        <n v="7.9291459636572359E-3"/>
        <n v="-5.1647959475558114E-3"/>
        <n v="6.8818851125089786E-3"/>
        <n v="-7.5542039606901756E-3"/>
        <n v="6.4638757964969873E-3"/>
        <n v="-1.2184352968255596E-2"/>
        <n v="1.4400441018674437E-2"/>
        <n v="1.4914721448240797E-2"/>
        <n v="-5.9018342797291234E-3"/>
        <n v="3.1476784945314584E-3"/>
        <n v="1.7263902115545182E-3"/>
        <n v="-9.6878795544984575E-3"/>
        <n v="8.2823727543281933E-3"/>
        <n v="-6.547697277132225E-3"/>
        <n v="1.3241529972388477E-2"/>
        <n v="4.8488274524618458E-3"/>
        <n v="-4.8431711629678076E-2"/>
        <n v="-5.8132175204846925E-3"/>
        <n v="3.0666890131122448E-2"/>
        <n v="2.6495185512273034E-2"/>
        <n v="-1.1876719370758959E-2"/>
        <n v="1.7852550011099311E-4"/>
        <n v="1.1481940765215581E-2"/>
        <n v="4.9993426279801856E-3"/>
        <n v="-1.9312972415465035E-3"/>
        <n v="-2.1871714898829775E-2"/>
        <n v="2.8776197722581998E-3"/>
        <n v="9.0263728003734389E-3"/>
        <n v="-5.2135036853255823E-3"/>
        <n v="-1.7857845031887809E-4"/>
        <n v="3.1566644872751404E-3"/>
        <n v="1.1815828819652596E-2"/>
        <n v="-1.467102097226447E-3"/>
        <n v="-5.8774091698965414E-5"/>
        <n v="-5.7594423383279247E-3"/>
        <n v="6.9752615306581944E-3"/>
        <n v="-6.4573706143502552E-3"/>
        <n v="-1.1225214513211901E-3"/>
        <n v="5.7373228627286554E-3"/>
        <n v="8.8809162736163128E-3"/>
        <n v="1.7372086931785713E-2"/>
        <n v="7.9071776136632188E-3"/>
        <n v="-2.4443576291690583E-3"/>
        <n v="6.8394587576148247E-4"/>
        <n v="2.6766819672767728E-3"/>
        <n v="9.8260785649046944E-3"/>
        <n v="-2.1767344924515819E-2"/>
        <n v="-2.5872848667216619E-3"/>
        <n v="3.5166237738026851E-3"/>
        <n v="1.8152348581636613E-2"/>
        <n v="-7.672978902192984E-3"/>
        <n v="-1.1144248923112721E-2"/>
        <n v="-1.3684339578893256E-2"/>
        <n v="1.5623330645153644E-2"/>
        <n v="-2.5830138575739792E-3"/>
        <n v="-3.0500350323076075E-3"/>
        <n v="-5.6569921531114398E-3"/>
        <n v="5.5150030239494718E-3"/>
        <n v="1.9628522471826226E-3"/>
        <n v="-2.0167258423934298E-3"/>
        <n v="-9.236939015653256E-4"/>
        <n v="-6.4725798581274363E-3"/>
        <n v="-1.0469908427644947E-2"/>
        <n v="-7.2888484641825402E-3"/>
        <n v="-1.0421782418793435E-2"/>
        <n v="6.2231169260436037E-3"/>
        <n v="6.6009410542906544E-3"/>
        <n v="-1.8904692378697296E-3"/>
        <n v="1.2666399002244644E-2"/>
        <n v="8.2997070304042797E-3"/>
        <n v="6.144624979496971E-3"/>
        <n v="-6.856058493799333E-3"/>
        <n v="-5.8017163924839465E-4"/>
        <n v="4.0944073107063161E-5"/>
        <n v="-1.0158762088873563E-2"/>
        <n v="9.4359587654646582E-4"/>
        <n v="-7.0712410315765251E-4"/>
        <n v="2.3593776907659958E-4"/>
        <n v="-8.2536086707207801E-3"/>
        <n v="6.4200119655455357E-3"/>
        <n v="-1.2581272611451477E-2"/>
        <n v="-6.0417095654256014E-3"/>
        <n v="-5.8979586664966721E-3"/>
        <n v="-4.8434824338228211E-4"/>
        <n v="-1.2092754432713182E-4"/>
        <n v="4.1189198070006316E-3"/>
        <n v="-2.8414452677447355E-2"/>
        <n v="1.465374000323294E-2"/>
        <n v="2.6314361061937186E-2"/>
        <n v="-1.0017299318690776E-2"/>
        <n v="-1.1443534301865954E-3"/>
        <n v="4.4620768839624958E-3"/>
        <n v="3.0015185882896755E-3"/>
        <n v="1.4723597398872634E-2"/>
        <n v="7.1369353853081297E-3"/>
        <n v="5.8509943033469014E-5"/>
        <n v="7.6114732035459376E-4"/>
        <n v="1.0884335513541954E-2"/>
        <n v="2.043426130174586E-2"/>
        <n v="6.2967677760690233E-3"/>
        <n v="1.0823604250016272E-2"/>
        <n v="2.7885168465524579E-4"/>
        <n v="-5.5763716093326643E-4"/>
        <n v="2.4545437819265548E-3"/>
        <n v="-2.3817385462755247E-2"/>
        <n v="-1.7671642052593528E-3"/>
        <n v="5.2537332537880843E-3"/>
        <n v="-1.2554576613541313E-2"/>
        <n v="-1.7431972045030997E-2"/>
        <n v="8.7241902886667777E-3"/>
        <n v="-9.5774187147986689E-3"/>
        <n v="1.2892501124575073E-3"/>
        <n v="1.2293018019327029E-3"/>
        <n v="4.675120757573481E-4"/>
        <n v="-4.7328095590964958E-3"/>
        <n v="-7.3388270904659603E-3"/>
        <n v="6.5072393037257648E-4"/>
        <n v="-6.6789257319053164E-3"/>
        <n v="2.9751813855583009E-4"/>
        <n v="4.9371607249626415E-3"/>
        <n v="7.2215153392756193E-3"/>
        <n v="-3.7022951256501235E-3"/>
        <n v="-1.4392858620179694E-2"/>
        <n v="3.3516818727947761E-3"/>
        <n v="-9.9613875425547116E-3"/>
        <n v="-5.1210947432430709E-3"/>
        <n v="-2.7432863472497182E-2"/>
        <n v="4.3587332577268434E-3"/>
        <n v="4.9596917719361144E-3"/>
        <n v="-2.1838425970052144E-2"/>
        <n v="1.7659449001765637E-3"/>
        <n v="5.666180390242026E-3"/>
        <n v="-5.6368616271751382E-4"/>
        <n v="5.3243429638234474E-3"/>
        <n v="3.9252239304889969E-3"/>
        <n v="3.6615659777423648E-3"/>
        <n v="1.8674269987179359E-2"/>
        <n v="8.5588420634830076E-3"/>
        <n v="-6.1946268201082955E-3"/>
        <n v="3.3755776666866799E-2"/>
        <n v="-2.0452494510799668E-2"/>
        <n v="2.4053614280572511E-4"/>
        <n v="7.0987049496886723E-3"/>
        <n v="-8.4822235283057434E-3"/>
        <n v="1.6687649461669452E-2"/>
        <n v="-3.7331092342519634E-3"/>
        <n v="5.2340485463469033E-3"/>
        <n v="-7.6898139765546603E-4"/>
        <n v="-5.3885199695148378E-3"/>
        <n v="-2.6195641556842064E-3"/>
        <n v="1.1341204940450877E-2"/>
        <n v="8.8532513015948666E-4"/>
        <n v="8.4916409558910555E-3"/>
        <n v="-4.7538293074102067E-2"/>
        <n v="1.5593253787014705E-2"/>
        <n v="6.407725131563069E-3"/>
        <n v="4.3245252021351099E-3"/>
        <n v="1.8061119209610954E-2"/>
        <n v="1.8209422663426622E-3"/>
        <n v="1.2372479258517144E-2"/>
        <n v="-7.8190442130722237E-3"/>
        <n v="3.9110222919909177E-3"/>
        <n v="1.0873869169519379E-2"/>
        <n v="1.0066863431153594E-2"/>
        <n v="-1.3725176905009073E-2"/>
        <n v="8.2572293255691598E-3"/>
        <n v="2.8662709177407208E-4"/>
        <n v="7.3856621830807878E-3"/>
        <n v="1.7617448753926013E-3"/>
        <n v="-1.7814614146401841E-2"/>
        <n v="-2.7437457796410492E-2"/>
        <n v="1.3065758742616396E-3"/>
        <n v="-3.6775009153635629E-3"/>
        <n v="1.0656557517528586E-2"/>
        <n v="-1.2075735729807247E-2"/>
        <n v="5.1277876254653965E-3"/>
        <n v="-6.0509432077768821E-3"/>
        <n v="-5.1326851491200198E-3"/>
        <n v="-6.2391906790000284E-3"/>
        <n v="-1.6902988279249853E-2"/>
        <n v="2.2904392379033078E-2"/>
        <n v="1.2786683942431987E-2"/>
        <n v="-4.0305830427822542E-3"/>
        <n v="1.4223558548989823E-2"/>
        <n v="8.2163406665358707E-4"/>
        <n v="-6.2149034899037225E-3"/>
        <n v="1.7050163195505563E-2"/>
        <n v="-5.011888737150072E-2"/>
        <n v="-2.1496195289274378E-2"/>
        <n v="-1.1483580335354349E-2"/>
        <n v="2.4812258588582381E-2"/>
        <n v="7.6392043800157516E-3"/>
        <n v="2.0481866872438248E-2"/>
        <n v="1.3300559913681287E-2"/>
        <n v="-3.9023963395098393E-3"/>
        <n v="-1.2346350720391142E-2"/>
        <n v="2.5482253853899239E-2"/>
        <n v="-2.2544790579373308E-2"/>
        <n v="1.2850777497609656E-2"/>
        <n v="-1.2806803767582475E-2"/>
        <n v="-3.7410250848645465E-2"/>
        <n v="9.3397527507823597E-3"/>
        <n v="5.1548270028312082E-3"/>
        <n v="2.5330249367574442E-3"/>
        <n v="1.9105389782310134E-3"/>
        <n v="-1.5931558765212461E-2"/>
        <n v="3.3754243994399413E-3"/>
        <n v="-1.0528270694025843E-2"/>
        <n v="2.6443164819767162E-3"/>
        <n v="2.5115183255430829E-4"/>
        <n v="-4.0179167574699859E-3"/>
        <n v="-6.2400402884227324E-3"/>
        <n v="2.0550567013887466E-2"/>
        <n v="-1.3486813070809012E-2"/>
        <n v="-4.4728738181900596E-3"/>
        <n v="2.7781294539509283E-2"/>
        <n v="5.3568766367164677E-3"/>
        <n v="9.1254441286776622E-3"/>
        <n v="5.2799577373023876E-3"/>
        <n v="-1.2677524004516272E-3"/>
        <n v="-2.4178863168972109E-3"/>
        <n v="5.0293797347487068E-3"/>
        <n v="1.145537486963133E-2"/>
        <n v="-2.3842103452160757E-3"/>
        <n v="7.1701976505549325E-3"/>
        <n v="7.8902886128471295E-3"/>
        <n v="-1.2419863030467382E-2"/>
        <n v="-5.5429509179496517E-3"/>
        <n v="-5.3940388610036472E-3"/>
        <n v="-1.8981523086683216E-2"/>
        <n v="7.4937252764428752E-3"/>
        <n v="-8.9013635811409086E-3"/>
        <n v="1.7223629527745032E-3"/>
        <n v="-4.4828363831732609E-3"/>
        <n v="6.6004919980082732E-3"/>
        <n v="-1.7771866270805847E-2"/>
        <n v="3.7435614985059651E-3"/>
        <n v="-1.4669397643136906E-2"/>
        <n v="-3.1542043370907935E-3"/>
        <n v="6.7080798304135492E-3"/>
        <n v="1.2257953363886243E-2"/>
        <n v="-4.1607093506111914E-3"/>
        <n v="-8.6679284281246938E-3"/>
        <n v="-2.1386997207095693E-3"/>
        <n v="7.7537255727686549E-3"/>
        <n v="-3.3778593311137861E-3"/>
        <n v="1.1925710388282384E-2"/>
        <n v="-1.2409049758133062E-4"/>
        <n v="-2.2953214136731681E-3"/>
        <n v="-2.0518192023373238E-3"/>
        <n v="-1.6261578145498445E-2"/>
        <n v="-2.3435403595872817E-3"/>
        <n v="6.1578985837253963E-3"/>
        <n v="-9.0856204878486668E-3"/>
        <n v="-2.0948798338210284E-2"/>
        <n v="-7.0239381654818578E-3"/>
        <n v="6.8772311588269908E-3"/>
        <n v="1.2294032140090616E-2"/>
        <n v="3.4745670129547879E-3"/>
        <n v="-4.5137536819195301E-4"/>
        <n v="2.1221588099788802E-2"/>
        <n v="-2.5269709753517056E-4"/>
        <n v="3.3485122233298803E-3"/>
        <n v="-3.2113289450050875E-3"/>
        <n v="-7.5173735074898218E-3"/>
        <n v="-3.1824909410183011E-3"/>
        <n v="-2.3817108167017653E-2"/>
        <n v="-1.5764009399019563E-2"/>
        <n v="1.1963046087999363E-3"/>
        <n v="7.3006247549778358E-4"/>
        <n v="-1.6582687032934418E-3"/>
        <n v="1.561357563927368E-2"/>
        <n v="4.1214979238888283E-3"/>
        <n v="1.3027329249126751E-4"/>
        <n v="9.5759373901953548E-3"/>
        <n v="7.0966523098481282E-4"/>
        <n v="2.0634769840381928E-3"/>
        <n v="-1.07457044673539E-2"/>
        <n v="4.0326197765723215E-3"/>
        <n v="8.8106910323559884E-3"/>
        <n v="1.7210262609373528E-2"/>
        <n v="7.0076873540931839E-3"/>
        <n v="-4.8901912767889133E-3"/>
        <n v="-3.7791817848786824E-4"/>
        <n v="-1.5881930117012777E-2"/>
        <n v="-1.1527886571229828E-3"/>
        <n v="6.3474537020484778E-3"/>
        <n v="-8.3462102605317279E-3"/>
        <n v="8.9303176275810081E-3"/>
        <n v="6.0494484220532385E-3"/>
        <n v="1.1393629827529672E-3"/>
        <n v="6.4487445122560771E-3"/>
        <n v="5.2138954195650733E-3"/>
        <n v="-6.311760796820387E-3"/>
        <n v="2.8300370565046418E-3"/>
        <n v="-1.3232185147162512E-2"/>
        <n v="8.1348583035678601E-3"/>
        <n v="-4.6019416975823235E-3"/>
        <n v="-6.7765077483533664E-3"/>
        <n v="7.7792340492699452E-3"/>
        <n v="1.4425755010920804E-2"/>
        <n v="-1.8773660933930514E-2"/>
        <n v="-8.1365078613869768E-3"/>
        <n v="-1.9033517557239921E-2"/>
        <n v="-3.7237458371071064E-3"/>
        <n v="-5.2457899265589969E-4"/>
        <n v="-1.771396212454146E-3"/>
        <n v="2.3003253202202867E-3"/>
        <n v="6.754121905442334E-3"/>
        <n v="7.8164069245989509E-4"/>
        <n v="-3.0590009028872434E-3"/>
        <n v="-7.3768238384033236E-3"/>
        <n v="1.4468873739810206E-3"/>
        <n v="-1.2215269995263123E-2"/>
        <n v="1.4161291939580378E-2"/>
        <n v="-1.2127953419959758E-2"/>
        <n v="-7.2986872578184592E-4"/>
        <n v="-5.9104966732398401E-3"/>
        <n v="-1.4696989236863578E-2"/>
        <n v="1.1322732378373335E-2"/>
        <n v="-1.1665419312620995E-2"/>
        <n v="1.4787660523210455E-2"/>
        <n v="1.2032092860730703E-2"/>
        <n v="3.6989401171754199E-3"/>
        <n v="-2.2376674012544173E-3"/>
        <n v="3.8254534062551748E-3"/>
        <n v="6.5843533060716553E-5"/>
        <n v="8.8452588966505541E-3"/>
        <n v="-4.9182747648345293E-3"/>
        <n v="-2.4384482254560247E-3"/>
        <n v="-1.7176503296978951E-2"/>
        <n v="5.444716504938496E-3"/>
        <n v="5.2814389840816212E-3"/>
        <n v="-1.5628089316289784E-2"/>
        <n v="-5.742604765601067E-3"/>
        <n v="-9.376860109584273E-3"/>
        <n v="2.3322203983584533E-3"/>
        <n v="5.8166642756132259E-3"/>
        <n v="-1.0069461689944381E-2"/>
        <n v="2.0893524842659605E-2"/>
        <n v="-3.568083952149137E-3"/>
        <n v="-3.3776734206081294E-4"/>
        <n v="-1.9600287805431327E-3"/>
        <n v="-1.2527856023402562E-2"/>
        <n v="8.0236344642312663E-3"/>
        <n v="8.1637287642770673E-3"/>
        <n v="1.8422326826885937E-2"/>
        <n v="-2.6106581496170955E-2"/>
        <n v="1.0273542282994264E-2"/>
        <n v="-1.6163574066975217E-3"/>
        <n v="-6.0699697374810846E-4"/>
        <n v="-4.859556828378464E-3"/>
        <n v="-1.0716296953557802E-2"/>
        <n v="5.8275387324449035E-3"/>
        <n v="-9.2019096609951001E-3"/>
        <n v="-1.3139760943657319E-2"/>
        <n v="-3.56221421695323E-2"/>
        <n v="9.3248884916932173E-3"/>
        <n v="1.3607703785725178E-3"/>
        <n v="6.7228724477137458E-3"/>
        <n v="1.4776833750923979E-2"/>
        <n v="1.6031955145033416E-2"/>
        <n v="5.5125962124846772E-4"/>
        <n v="1.7905153731090806E-2"/>
        <n v="-1.5492785479548798E-2"/>
        <n v="-7.2842649115942848E-3"/>
        <n v="-1.2252631788082669E-2"/>
        <n v="3.434079748833696E-3"/>
        <n v="9.149446995762256E-3"/>
        <n v="1.7300869966245802E-3"/>
        <n v="-1.1744617822505576E-3"/>
        <n v="-3.5969049591476621E-3"/>
        <n v="-5.137137788796875E-3"/>
        <n v="-1.0606404288972748E-2"/>
        <n v="-1.0014827246842772E-2"/>
        <n v="-3.2769243916009883E-3"/>
        <n v="-1.3365742430624272E-2"/>
        <n v="2.528234564806997E-2"/>
        <n v="2.4024194804279642E-3"/>
        <n v="1.120762041223955E-2"/>
        <n v="5.4368307526970749E-3"/>
        <n v="1.4628495518968165E-2"/>
        <n v="-1.1752586769213758E-2"/>
        <n v="-6.9153749859929281E-4"/>
        <n v="1.7089947301229147E-2"/>
        <n v="-6.3947158068559107E-3"/>
        <n v="2.6495960439852917E-2"/>
        <n v="8.5778322613427882E-3"/>
        <n v="-4.3954613413754728E-3"/>
        <n v="-7.6929397048626225E-3"/>
        <n v="-6.7412466586902475E-3"/>
        <n v="1.7374735529980256E-2"/>
        <n v="1.2475076659581585E-2"/>
        <n v="9.356241860704273E-3"/>
        <n v="1.3904321621128091E-2"/>
        <n v="9.9793420818028444E-3"/>
        <n v="1.1092011504523436E-2"/>
        <n v="3.53057829417458E-3"/>
        <n v="-1.155985387119407E-2"/>
        <n v="1.1123077725787578E-2"/>
        <n v="5.7832451892860792E-3"/>
        <n v="7.562527855015766E-3"/>
        <n v="-7.0714045455021468E-3"/>
        <n v="-3.2487333810233832E-3"/>
        <n v="-1.6859844395160084E-2"/>
        <n v="1.0837572185559363E-2"/>
        <n v="1.4001050862712638E-2"/>
        <n v="2.7304492711236472E-2"/>
        <n v="6.6597437339610543E-4"/>
        <n v="-1.1435197020459587E-2"/>
        <n v="2.2033056884493973E-3"/>
        <n v="2.1068647473532875E-2"/>
        <n v="-2.2069287117959968E-2"/>
        <n v="-2.3179064833160679E-2"/>
        <n v="-8.8904421734338213E-3"/>
        <n v="-2.7226800050643263E-2"/>
        <n v="-2.3378017401701756E-3"/>
        <n v="1.034942725594501E-2"/>
        <n v="5.089576486288383E-3"/>
        <n v="-1.7242408041963087E-2"/>
        <n v="-1.8392991283553428E-2"/>
        <n v="9.9671541876045211E-4"/>
        <n v="9.7576738266533791E-3"/>
        <n v="-4.2071942094443759E-3"/>
        <n v="-3.1489268765664935E-2"/>
        <n v="-1.2746328262292939E-2"/>
        <n v="-3.8662321116589293E-3"/>
        <n v="-2.0099133395961033E-3"/>
        <n v="-5.7643629867422108E-3"/>
        <n v="5.3087655921795207E-3"/>
        <n v="-1.0422419771495828E-2"/>
        <n v="2.0362713830790469E-3"/>
        <n v="1.4084386282469996E-2"/>
        <n v="-1.9347723367583169E-3"/>
        <n v="-2.4231000561140137E-3"/>
        <n v="-6.7319785102966101E-3"/>
        <n v="-2.445448437908504E-3"/>
        <n v="-1.0296343989667833E-2"/>
        <n v="2.5477683966490972E-2"/>
        <n v="1.2146411103970856E-2"/>
        <n v="-1.0227701159257752E-2"/>
        <n v="-1.0884702582461436E-2"/>
        <n v="5.5719816688675206E-3"/>
        <n v="-6.9262493102179024E-3"/>
        <n v="-1.8830709309134441E-3"/>
        <n v="2.6692714886176416E-2"/>
        <n v="-1.6606471860518113E-2"/>
        <n v="-1.5018299076652863E-2"/>
        <n v="3.7238885414845324E-3"/>
        <n v="2.0021034370595325E-2"/>
        <n v="2.4609110836771864E-2"/>
        <n v="1.4846717061056669E-3"/>
        <n v="5.1886993279832705E-3"/>
        <n v="-1.816713192508157E-2"/>
        <n v="4.3014366531819448E-3"/>
        <n v="1.1556956576130872E-3"/>
        <n v="-2.6076274090825469E-2"/>
        <n v="1.0319278745934524E-2"/>
        <n v="2.0704020729482853E-2"/>
        <n v="-1.2440866051329214E-2"/>
        <n v="2.4647254717031775E-3"/>
        <n v="-2.0898762047518837E-2"/>
        <n v="3.8365257020307464E-3"/>
        <n v="-1.1604457152416203E-2"/>
        <n v="3.3043081481878289E-3"/>
        <n v="-7.9882861163268482E-3"/>
        <n v="5.792152074260537E-3"/>
        <n v="-7.6550392409154844E-3"/>
        <n v="8.0680001927841971E-3"/>
        <n v="6.7396384049307478E-3"/>
        <n v="7.2525036108148644E-3"/>
        <n v="-1.0246512301136268E-2"/>
        <n v="3.1687259835229575E-2"/>
        <n v="-1.0712628477539288E-2"/>
        <n v="-1.6105877424694715E-2"/>
        <n v="-2.2847557485649705E-2"/>
        <n v="3.8495299317171661E-3"/>
        <n v="-4.4738230806128376E-3"/>
        <n v="4.2084931754402533E-3"/>
        <n v="4.0914870883220322E-2"/>
        <n v="-9.8266086964731159E-3"/>
        <n v="2.4603729303674049E-2"/>
        <n v="2.5559807768407161E-3"/>
        <n v="-4.7635245172066298E-3"/>
        <n v="8.5614124392616731E-3"/>
        <n v="5.6814550476305126E-3"/>
        <n v="1.3492028542986922E-2"/>
        <n v="-1.2656640391244145E-2"/>
        <n v="-1.195529339019008E-3"/>
        <n v="-1.795460955468553E-2"/>
        <n v="2.1533122604131538E-2"/>
        <n v="7.8217737335994908E-3"/>
        <n v="-2.3283306347192778E-2"/>
        <n v="3.5017656343945269E-3"/>
        <n v="-3.8251209973043654E-3"/>
        <n v="-1.2192635375263161E-2"/>
        <n v="5.3873628130440832E-3"/>
        <n v="2.69959063144527E-2"/>
        <n v="-1.3869641855075554E-2"/>
        <n v="2.3039275997601028E-2"/>
        <n v="-2.847788263975215E-2"/>
        <n v="-1.0444731894066361E-2"/>
        <n v="1.2937769840015712E-3"/>
        <n v="9.045155206319766E-3"/>
        <n v="-1.5434345259563553E-2"/>
        <n v="1.3485836766968795E-2"/>
        <n v="2.3302846144708678E-2"/>
        <n v="-1.003304368737723E-2"/>
        <n v="-5.6673368006463498E-3"/>
        <n v="-6.9067348550649887E-3"/>
        <n v="6.9547696047027596E-3"/>
        <n v="-1.4484021488169296E-2"/>
        <n v="1.048119352453547E-2"/>
        <n v="8.2762444230013443E-3"/>
        <n v="1.6820291447685598E-3"/>
        <n v="-1.8672747770831166E-2"/>
        <n v="-1.4647496921609937E-2"/>
        <n v="3.6815695650131985E-3"/>
        <n v="3.3219995106288369E-3"/>
        <n v="2.0969809343553081E-2"/>
        <n v="-8.1750658738267701E-3"/>
        <n v="1.1580256499408303E-3"/>
        <n v="-8.0289033460529957E-3"/>
        <n v="4.4585306619617793E-3"/>
        <n v="-8.3993151258735521E-3"/>
        <n v="-7.7818664731498233E-3"/>
        <n v="1.2492550908786981E-3"/>
        <n v="2.010318563461011E-3"/>
        <n v="-9.8928253502580388E-3"/>
        <n v="2.305770278880237E-3"/>
      </sharedItems>
    </cacheField>
    <cacheField name="SPY" numFmtId="0">
      <sharedItems containsSemiMixedTypes="0" containsString="0" containsNumber="1" minValue="-5.8543101116961149E-2" maxValue="0.10501937798947614" count="1410">
        <n v="6.8871911754548876E-3"/>
        <n v="5.9783563056103883E-3"/>
        <n v="1.485781776400974E-2"/>
        <n v="5.6975178834735019E-3"/>
        <n v="-6.7408072710652966E-3"/>
        <n v="2.1107089404415191E-4"/>
        <n v="2.6931891157953025E-3"/>
        <n v="-3.5021783687914088E-3"/>
        <n v="-7.2926250923236458E-3"/>
        <n v="7.8520059846636237E-3"/>
        <n v="1.38385833076482E-2"/>
        <n v="9.1203982462606525E-4"/>
        <n v="-3.5393698982402189E-3"/>
        <n v="3.9434542650724769E-3"/>
        <n v="-1.5607545556565183E-3"/>
        <n v="-2.4440689603850041E-2"/>
        <n v="8.6003577257238728E-3"/>
        <n v="-2.0019681559777958E-2"/>
        <n v="1.6645503102242776E-2"/>
        <n v="1.4140047321016258E-2"/>
        <n v="7.8661676491198484E-4"/>
        <n v="1.1365820410018879E-2"/>
        <n v="3.9357825843302496E-3"/>
        <n v="7.221800915887755E-3"/>
        <n v="-6.655537633707409E-4"/>
        <n v="-4.3582885426196594E-4"/>
        <n v="1.6151656046061724E-3"/>
        <n v="4.9397194900842045E-3"/>
        <n v="-8.6618460664056318E-4"/>
        <n v="2.2971948502958917E-4"/>
        <n v="-4.2560376928160171E-3"/>
        <n v="-1.7658648144811551E-3"/>
        <n v="-7.6919362752884135E-3"/>
        <n v="1.2145091296660304E-3"/>
        <n v="1.1019271596631519E-2"/>
        <n v="-2.4095707335791139E-2"/>
        <n v="-5.152778126404467E-3"/>
        <n v="2.4240374540547283E-2"/>
        <n v="-7.8033228891959405E-3"/>
        <n v="-1.3245678975920772E-2"/>
        <n v="-1.2374819693828476E-2"/>
        <n v="1.8396483507125971E-2"/>
        <n v="-4.9786245467017265E-3"/>
        <n v="1.4277377335766728E-2"/>
        <n v="6.2247611693881932E-3"/>
        <n v="1.0138996451692917E-2"/>
        <n v="1.3469494826294781E-3"/>
        <n v="5.9634602631841727E-3"/>
        <n v="-1.2614672053348208E-3"/>
        <n v="3.4098898260910282E-3"/>
        <n v="-1.4549590546637958E-2"/>
        <n v="-1.8501682722922297E-3"/>
        <n v="7.9849875236672752E-3"/>
        <n v="-7.8707489924064733E-3"/>
        <n v="-5.083464803217419E-3"/>
        <n v="5.6255220009671092E-3"/>
        <n v="1.6114960061876182E-2"/>
        <n v="-5.0522302324562673E-4"/>
        <n v="-2.6527062918031419E-3"/>
        <n v="4.0529230284056528E-3"/>
        <n v="1.0799104113755176E-2"/>
        <n v="1.4353430021580627E-2"/>
        <n v="-5.9082958955847253E-4"/>
        <n v="1.1573522316983276E-3"/>
        <n v="4.746845514252751E-3"/>
        <n v="7.2702621148248436E-3"/>
        <n v="3.6429666581772047E-4"/>
        <n v="2.9640053010691059E-3"/>
        <n v="-3.4152153469345636E-3"/>
        <n v="1.0742302728430131E-2"/>
        <n v="3.3425252186056742E-3"/>
        <n v="-4.913040617787412E-3"/>
        <n v="-7.3218818490026205E-3"/>
        <n v="9.4624487281138592E-3"/>
        <n v="-9.1332178568617195E-3"/>
        <n v="1.0842432327567098E-2"/>
        <n v="2.0876549381041443E-3"/>
        <n v="-2.1540618617388319E-4"/>
        <n v="-2.8755781657863189E-4"/>
        <n v="6.3728270190286374E-3"/>
        <n v="-6.5704848504982705E-3"/>
        <n v="2.1566825601602169E-3"/>
        <n v="-6.1691119212653467E-3"/>
        <n v="3.1259694761609502E-4"/>
        <n v="7.9856719955433419E-3"/>
        <n v="7.2779700854668228E-3"/>
        <n v="-9.9023862299255638E-3"/>
        <n v="-8.9246166528309523E-3"/>
        <n v="-2.1245198004274157E-2"/>
        <n v="1.2012272866439577E-2"/>
        <n v="1.5355408051514807E-2"/>
        <n v="-2.5445546742293157E-3"/>
        <n v="-8.6157520740945959E-3"/>
        <n v="-2.6217253780838057E-3"/>
        <n v="1.0757970227453395E-2"/>
        <n v="-8.1873438446977698E-4"/>
        <n v="1.0194446707631366E-2"/>
        <n v="-2.218804041879241E-3"/>
        <n v="1.9845321318834319E-3"/>
        <n v="5.2507008360636043E-4"/>
        <n v="1.7888485264228038E-3"/>
        <n v="-8.8112866202039175E-4"/>
        <n v="1.5727240872278614E-3"/>
        <n v="-3.7113122777800989E-3"/>
        <n v="9.1456739162387723E-3"/>
        <n v="-9.700524032943969E-4"/>
        <n v="2.1299180156142405E-4"/>
        <n v="-1.4917111856617149E-3"/>
        <n v="4.6482354279306914E-3"/>
        <n v="1.6526739856772554E-3"/>
        <n v="2.2387893768447409E-3"/>
        <n v="-1.8341437922513304E-3"/>
        <n v="-5.5833879468338843E-3"/>
        <n v="-3.3169385200715329E-4"/>
        <n v="-1.3490305410204795E-2"/>
        <n v="1.4315829632844945E-2"/>
        <n v="5.3463165578007121E-3"/>
        <n v="-1.2051867248416004E-3"/>
        <n v="5.9156080710889292E-3"/>
        <n v="3.5518573321173807E-3"/>
        <n v="2.01632624195347E-3"/>
        <n v="5.3782208408525989E-4"/>
        <n v="8.4176093088705883E-4"/>
        <n v="5.5367921770022033E-3"/>
        <n v="7.6431784546950876E-3"/>
        <n v="-1.8212618773120193E-3"/>
        <n v="3.5340773967322825E-3"/>
        <n v="-8.1479725628682553E-3"/>
        <n v="1.0674719597094873E-2"/>
        <n v="3.5817354135598833E-3"/>
        <n v="-3.408785043419571E-3"/>
        <n v="1.4922373598154071E-3"/>
        <n v="-3.4154977912884688E-3"/>
        <n v="-7.8437684336480906E-3"/>
        <n v="-1.4767745158309031E-2"/>
        <n v="1.4330328316503271E-2"/>
        <n v="8.0962698938427113E-3"/>
        <n v="2.0940722254669808E-3"/>
        <n v="1.0288018015072842E-2"/>
        <n v="2.4548759933598063E-3"/>
        <n v="-4.5575263597560367E-3"/>
        <n v="-4.1026062110904871E-4"/>
        <n v="4.1475949128233491E-3"/>
        <n v="-4.8564178236959465E-3"/>
        <n v="-2.0979465143149412E-3"/>
        <n v="8.1355065624881817E-3"/>
        <n v="-4.9192292926182324E-3"/>
        <n v="6.3329210363047839E-3"/>
        <n v="1.6524836555122935E-3"/>
        <n v="-8.1347793621888709E-4"/>
        <n v="1.2438827782830231E-3"/>
        <n v="2.4848224319691248E-3"/>
        <n v="2.9973079631844257E-3"/>
        <n v="1.8196979107805156E-3"/>
        <n v="2.3545152323698471E-3"/>
        <n v="-6.5552410589196919E-3"/>
        <n v="-1.0945014250880236E-2"/>
        <n v="1.5482906462351842E-3"/>
        <n v="7.9570833712541145E-3"/>
        <n v="8.7965879169409344E-3"/>
        <n v="1.5874839828013965E-3"/>
        <n v="2.0985426532018625E-3"/>
        <n v="-5.9034156338610977E-3"/>
        <n v="8.9409276988985376E-3"/>
        <n v="4.3977426922392482E-3"/>
        <n v="-1.4815174221437521E-3"/>
        <n v="5.3147372965134387E-4"/>
        <n v="3.0763571398630951E-3"/>
        <n v="-2.426620138195057E-4"/>
        <n v="-3.5754491255742815E-3"/>
        <n v="-1.2183932686482546E-3"/>
        <n v="-4.2801508520184939E-3"/>
        <n v="-7.8843947904843059E-3"/>
        <n v="2.5589283244242811E-3"/>
        <n v="-5.3963062519503113E-3"/>
        <n v="8.3526285065149697E-3"/>
        <n v="-1.5852863266229145E-3"/>
        <n v="-9.7409131202437216E-3"/>
        <n v="-1.6674264088547552E-2"/>
        <n v="-9.4462234902836784E-4"/>
        <n v="9.7546395898608917E-3"/>
        <n v="1.2150138286672441E-2"/>
        <n v="1.6470694509267414E-3"/>
        <n v="-2.8608231322383437E-3"/>
        <n v="-2.0151967901677947E-2"/>
        <n v="1.6833696630100814E-3"/>
        <n v="-1.2222427411872183E-2"/>
        <n v="1.1884165713622163E-2"/>
        <n v="-1.2895949528209716E-2"/>
        <n v="1.0404889207535684E-2"/>
        <n v="4.1559808714559665E-3"/>
        <n v="8.6458460872504972E-3"/>
        <n v="-1.8239378374205195E-3"/>
        <n v="-7.2395806658380746E-3"/>
        <n v="-2.4614655671112429E-3"/>
        <n v="3.5974252442318999E-3"/>
        <n v="1.6820748287032616E-2"/>
        <n v="7.615730393773168E-3"/>
        <n v="2.9605184396588324E-3"/>
        <n v="7.7148322923936696E-3"/>
        <n v="3.9278448906092667E-3"/>
        <n v="2.6082942101193218E-3"/>
        <n v="-1.0363698882560612E-3"/>
        <n v="5.3628504160518897E-3"/>
        <n v="9.0001965510899673E-4"/>
        <n v="-4.4301653270714114E-3"/>
        <n v="9.6487419136130903E-3"/>
        <n v="2.0292631463227906E-3"/>
        <n v="1.7201934423862753E-3"/>
        <n v="4.0432103067196135E-3"/>
        <n v="6.1051501321813806E-3"/>
        <n v="4.7126011566525072E-3"/>
        <n v="3.4694771957735071E-3"/>
        <n v="8.5375918016894481E-4"/>
        <n v="-3.305442670285319E-3"/>
        <n v="-8.0448740782183004E-3"/>
        <n v="3.2363813633851102E-4"/>
        <n v="7.5468909420044472E-3"/>
        <n v="3.4235485390565756E-4"/>
        <n v="3.957771699122814E-3"/>
        <n v="-2.4292902520515192E-3"/>
        <n v="3.3965374965490014E-3"/>
        <n v="-1.7881753294581859E-3"/>
        <n v="-2.8151723043576826E-3"/>
        <n v="1.3259391297320011E-3"/>
        <n v="2.6698478211073517E-3"/>
        <n v="-2.2303218721053453E-2"/>
        <n v="1.2266550404292031E-2"/>
        <n v="-1.9457821525983521E-2"/>
        <n v="-1.1106860098459292E-2"/>
        <n v="1.531622316725878E-2"/>
        <n v="-8.701362771371457E-3"/>
        <n v="1.1843439761583641E-2"/>
        <n v="2.0684724908482277E-2"/>
        <n v="2.6479274096595784E-3"/>
        <n v="-6.7514115207600867E-3"/>
        <n v="9.413335940781975E-3"/>
        <n v="-8.8582228697262622E-3"/>
        <n v="-6.8800417887983079E-3"/>
        <n v="1.5625038414078585E-2"/>
        <n v="-8.8184602275713786E-3"/>
        <n v="-1.0642891313922376E-2"/>
        <n v="-1.0633392412437548E-2"/>
        <n v="1.7758958856603613E-2"/>
        <n v="9.9986103604909893E-3"/>
        <n v="6.2221239008628526E-3"/>
        <n v="1.4152120564397741E-2"/>
        <n v="-8.1692717136061521E-4"/>
        <n v="1.2788653540392048E-3"/>
        <n v="-2.7644942696758434E-3"/>
        <n v="-2.520063031205777E-3"/>
        <n v="5.7898857448979157E-3"/>
        <n v="-3.3499058848895924E-4"/>
        <n v="-1.9202126510764361E-2"/>
        <n v="-9.3940153765204037E-4"/>
        <n v="-3.9535491247539856E-3"/>
        <n v="-1.2442153207858908E-3"/>
        <n v="9.1082306000789259E-3"/>
        <n v="2.7034491329700483E-3"/>
        <n v="-1.3778614639829656E-2"/>
        <n v="4.0907934107425881E-4"/>
        <n v="-1.770954248190848E-2"/>
        <n v="-1.0383517956602084E-2"/>
        <n v="-1.1068197910251265E-2"/>
        <n v="-1.9630814452398448E-2"/>
        <n v="4.2469486211043073E-3"/>
        <n v="-1.220898237120227E-2"/>
        <n v="-2.508809799042111E-3"/>
        <n v="-4.9379628240947548E-3"/>
        <n v="2.4835501365184198E-2"/>
        <n v="1.8010864348293243E-2"/>
        <n v="6.7571678619111619E-3"/>
        <n v="9.7138830448710856E-3"/>
        <n v="-2.3504947971534795E-2"/>
        <n v="4.702319684678935E-3"/>
        <n v="-3.2093336463708821E-3"/>
        <n v="8.2278838547267252E-3"/>
        <n v="1.4635989372095315E-2"/>
        <n v="-1.7965619492717244E-2"/>
        <n v="-1.9718626046219656E-2"/>
        <n v="-3.2692995482640486E-3"/>
        <n v="1.61269148273393E-2"/>
        <n v="1.1206780662129656E-3"/>
        <n v="-2.1361425001345302E-2"/>
        <n v="-6.474960500388538E-3"/>
        <n v="-1.0731617613007782E-2"/>
        <n v="-1.7738734037830883E-2"/>
        <n v="1.5049219890145515E-2"/>
        <n v="2.20638404308795E-2"/>
        <n v="-2.5584728974581417E-3"/>
        <n v="-1.523028344863897E-2"/>
        <n v="1.8396249151118926E-2"/>
        <n v="-4.9785049908374068E-3"/>
        <n v="-8.1246399945927861E-3"/>
        <n v="-2.9479204792970282E-2"/>
        <n v="-7.5815735995076183E-3"/>
        <n v="2.6810612197319728E-2"/>
        <n v="-4.5154322165738003E-3"/>
        <n v="-1.2715026929701501E-2"/>
        <n v="-7.3082783350399971E-3"/>
        <n v="2.1990501642690008E-2"/>
        <n v="2.217403742599422E-2"/>
        <n v="1.2510934550095998E-2"/>
        <n v="1.0952794915775943E-2"/>
        <n v="-2.9247818269872994E-4"/>
        <n v="1.1701531423173206E-2"/>
        <n v="-1.2878394348902589E-2"/>
        <n v="1.5074494561943208E-2"/>
        <n v="4.8835557505249039E-3"/>
        <n v="7.1129214310952094E-3"/>
        <n v="1.2370868909696409E-2"/>
        <n v="-6.1746851220225718E-3"/>
        <n v="-1.539157319931761E-2"/>
        <n v="2.8341437432346517E-3"/>
        <n v="8.566567207992648E-3"/>
        <n v="-1.2631171092341353E-2"/>
        <n v="-9.999443702714772E-3"/>
        <n v="5.038852590426135E-3"/>
        <n v="-2.6738041119132028E-3"/>
        <n v="-1.7092310454174586E-2"/>
        <n v="-3.705046543866275E-3"/>
        <n v="1.145347924071638E-2"/>
        <n v="-1.2452032596937834E-2"/>
        <n v="4.1137711035710289E-4"/>
        <n v="1.6142458970379581E-2"/>
        <n v="-7.4142071611593696E-4"/>
        <n v="-1.4953565931433155E-2"/>
        <n v="-2.7439062195532382E-2"/>
        <n v="5.797599041747814E-3"/>
        <n v="-2.8960948189303171E-2"/>
        <n v="2.8117815863080153E-3"/>
        <n v="2.5259564905755427E-2"/>
        <n v="-3.6955669506488209E-2"/>
        <n v="6.0192609444069678E-3"/>
        <n v="4.5843028931908947E-3"/>
        <n v="3.0452967359845484E-2"/>
        <n v="-3.5542941871719802E-2"/>
        <n v="-5.9688671279122252E-3"/>
        <n v="-3.2017434571229964E-2"/>
        <n v="2.3105227979078879E-3"/>
        <n v="-1.5886031430654146E-2"/>
        <n v="-1.0438053294415939E-3"/>
        <n v="2.3907754448533991E-2"/>
        <n v="-4.0576050656759843E-3"/>
        <n v="2.0570375849640499E-2"/>
        <n v="-4.031152840883756E-2"/>
        <n v="-6.1246557681398084E-3"/>
        <n v="4.3669035864057903E-4"/>
        <n v="1.8709988906599584E-2"/>
        <n v="-7.6338371427983054E-3"/>
        <n v="8.8349692365696786E-3"/>
        <n v="1.9981386171999072E-2"/>
        <n v="2.4549045479764997E-2"/>
        <n v="-5.6109567435739249E-3"/>
        <n v="-8.0884665160757541E-3"/>
        <n v="1.90435126241284E-2"/>
        <n v="-1.6411619088875007E-2"/>
        <n v="3.0448668346261254E-3"/>
        <n v="9.5922758643216532E-3"/>
        <n v="-1.0872276282665183E-2"/>
        <n v="-2.3782962568891897E-2"/>
        <n v="-2.8995551828363886E-2"/>
        <n v="-3.7968211456457346E-2"/>
        <n v="-3.0133820408673184E-3"/>
        <n v="1.4256442303858696E-2"/>
        <n v="-3.3096062954527827E-2"/>
        <n v="2.1557918055044034E-3"/>
        <n v="2.5173680240046403E-2"/>
        <n v="-1.8131865113480972E-3"/>
        <n v="9.8026637351660284E-3"/>
        <n v="3.1793788341729856E-2"/>
        <n v="-3.8196047237318842E-3"/>
        <n v="-2.0432957085810943E-2"/>
        <n v="-8.1422397781782951E-4"/>
        <n v="-8.1244120803111164E-3"/>
        <n v="1.0576450428062323E-2"/>
        <n v="1.8887245189815882E-3"/>
        <n v="3.3771288799431254E-3"/>
        <n v="1.4977461480893295E-2"/>
        <n v="-8.2275453849556257E-4"/>
        <n v="-1.1423597254022755E-2"/>
        <n v="-8.8488812774886183E-3"/>
        <n v="-5.2515318130174071E-3"/>
        <n v="-2.4286566183951974E-3"/>
        <n v="1.9104954576088184E-2"/>
        <n v="-8.256759792096946E-3"/>
        <n v="2.7019254191914976E-2"/>
        <n v="6.3730337255705205E-3"/>
        <n v="1.0183152728289402E-2"/>
        <n v="-9.2779654254793176E-3"/>
        <n v="1.2149552434446154E-3"/>
        <n v="-1.1831072713062496E-2"/>
        <n v="2.5966266881322531E-2"/>
        <n v="1.2542555831235536E-2"/>
        <n v="1.4578559200933094E-2"/>
        <n v="-2.9611643922912156E-3"/>
        <n v="-6.5973310497865478E-3"/>
        <n v="1.5659424518791987E-2"/>
        <n v="-6.7542347964677507E-4"/>
        <n v="-1.6903606843837737E-3"/>
        <n v="-1.1609469589731747E-3"/>
        <n v="-3.9709062652837357E-3"/>
        <n v="2.1003959031440145E-2"/>
        <n v="0"/>
        <n v="1.6929075461740162E-2"/>
        <n v="4.1206564014335534E-3"/>
        <n v="1.9587870249071493E-3"/>
        <n v="-7.0980255474375475E-3"/>
        <n v="2.9065779558861138E-3"/>
        <n v="-1.3438169185726156E-2"/>
        <n v="-2.0822332185400749E-2"/>
        <n v="-2.4194578495300156E-3"/>
        <n v="3.201158385081504E-3"/>
        <n v="1.411771353138036E-2"/>
        <n v="-3.3849227563044426E-2"/>
        <n v="-6.6122546696243401E-3"/>
        <n v="-1.0977864042146068E-2"/>
        <n v="-7.6089626246849118E-3"/>
        <n v="3.1380421644222611E-3"/>
        <n v="-1.0544635627776966E-2"/>
        <n v="-3.7731265076706988E-3"/>
        <n v="1.7964813356226461E-2"/>
        <n v="6.5363835971177231E-3"/>
        <n v="1.5535401407323679E-2"/>
        <n v="1.0747551738483185E-2"/>
        <n v="-4.3482450212141366E-2"/>
        <n v="3.815812362144344E-3"/>
        <n v="-1.1353337843469591E-2"/>
        <n v="-7.6287705237305659E-3"/>
        <n v="7.7548575549903909E-3"/>
        <n v="-1.1478656872377924E-2"/>
        <n v="-1.7443713939619743E-2"/>
        <n v="-8.3998687557675922E-3"/>
        <n v="-1.6754669815976508E-2"/>
        <n v="-9.8927335214999967E-3"/>
        <n v="-2.5529660364339568E-3"/>
        <n v="1.9676511907835481E-2"/>
        <n v="-2.0888740631326286E-2"/>
        <n v="-1.5463720270276871E-2"/>
        <n v="2.6401307996379186E-2"/>
        <n v="3.0986762962532222E-2"/>
        <n v="-2.3284529330838133E-3"/>
        <n v="-1.0315647434989916E-2"/>
        <n v="-2.7893831323752671E-2"/>
        <n v="-7.635484197395237E-3"/>
        <n v="-6.3332528548130096E-3"/>
        <n v="-3.2983032572996285E-3"/>
        <n v="2.6391106214560534E-2"/>
        <n v="-2.2788633464348007E-2"/>
        <n v="2.569694376826237E-2"/>
        <n v="1.1749574219533487E-2"/>
        <n v="-7.0866290707037871E-3"/>
        <n v="-8.3850815485745356E-3"/>
        <n v="2.4301427622664296E-2"/>
        <n v="1.2236355847317748E-2"/>
        <n v="1.5968493763128366E-2"/>
        <n v="-7.5339388338826474E-3"/>
        <n v="-5.3399852133816372E-3"/>
        <n v="2.379058259238187E-2"/>
        <n v="-7.2231866599511418E-3"/>
        <n v="-4.3759047459098754E-3"/>
        <n v="-2.5096226493915186E-2"/>
        <n v="-1.0296767185619005E-2"/>
        <n v="1.4393026553227495E-2"/>
        <n v="9.5656111334272431E-3"/>
        <n v="5.395490700377259E-3"/>
        <n v="-2.0601963840807147E-2"/>
        <n v="5.4954053339741238E-2"/>
        <n v="9.6784782899550503E-3"/>
        <n v="-8.506706218896154E-3"/>
        <n v="8.5290557706296788E-3"/>
        <n v="-7.628910655508081E-3"/>
        <n v="-3.059829191495278E-3"/>
        <n v="4.5403545686077962E-3"/>
        <n v="-3.6359929869239638E-3"/>
        <n v="1.3457033317886724E-2"/>
        <n v="6.3015499635317163E-3"/>
        <n v="-2.2348669035188173E-4"/>
        <n v="-1.5957328965775064E-2"/>
        <n v="-1.7174384179644564E-3"/>
        <n v="3.1500545882259701E-2"/>
        <n v="-7.3581595981353498E-4"/>
        <n v="-1.1535694778281869E-3"/>
        <n v="-1.7989188190832284E-2"/>
        <n v="-1.4414955844664346E-2"/>
        <n v="-1.7011896522795E-3"/>
        <n v="7.833865711520227E-3"/>
        <n v="-7.4700198262970252E-3"/>
        <n v="1.4417149430006715E-2"/>
        <n v="7.5698846679757015E-3"/>
        <n v="-6.3936098518877493E-3"/>
        <n v="-2.4461639388059231E-2"/>
        <n v="-1.1806033750663247E-2"/>
        <n v="-8.4797638913165496E-3"/>
        <n v="1.3684529846451632E-3"/>
        <n v="1.4952315533536709E-2"/>
        <n v="-1.4266225474321326E-2"/>
        <n v="5.7523774171215347E-3"/>
        <n v="-3.9435125501087187E-3"/>
        <n v="-1.2427747551194912E-2"/>
        <n v="1.8000184890168747E-2"/>
        <n v="-2.6341697774735495E-3"/>
        <n v="-4.2097629144783877E-3"/>
        <n v="7.720201791125092E-3"/>
        <n v="-1.1413450316569484E-2"/>
        <n v="2.2932199798045172E-2"/>
        <n v="-5.6688587130915291E-4"/>
        <n v="7.0127013152250228E-3"/>
        <n v="1.2647838739545447E-2"/>
        <n v="3.6408240968506256E-3"/>
        <n v="3.8795131842905839E-3"/>
        <n v="-1.8318270336247222E-3"/>
        <n v="-1.5787903143563153E-2"/>
        <n v="-7.2800523191343114E-3"/>
        <n v="1.8629117499697534E-2"/>
        <n v="1.1998576243338333E-2"/>
        <n v="-1.073400297770144E-3"/>
        <n v="3.747460256304791E-4"/>
        <n v="1.0990478367979062E-2"/>
        <n v="2.2976376786716379E-3"/>
        <n v="-1.2546831020625704E-2"/>
        <n v="1.4703564819735337E-2"/>
        <n v="1.0627651161344565E-2"/>
        <n v="1.4557059239092007E-2"/>
        <n v="-1.0629124038788351E-2"/>
        <n v="-6.1112952808185517E-3"/>
        <n v="1.3078688470970379E-2"/>
        <n v="-1.0934801833093033E-2"/>
        <n v="-8.6692791707013717E-3"/>
        <n v="2.3337443342978936E-3"/>
        <n v="1.173901269991906E-2"/>
        <n v="-4.6015090816020621E-4"/>
        <n v="3.247444588436732E-3"/>
        <n v="-1.376879868438019E-2"/>
        <n v="-2.498372657296799E-3"/>
        <n v="-2.0061021755878983E-2"/>
        <n v="-1.3779970395975116E-3"/>
        <n v="5.3192281665552787E-3"/>
        <n v="-1.0682298233522736E-2"/>
        <n v="3.4058616506291717E-3"/>
        <n v="-3.695943674133062E-3"/>
        <n v="-3.8358653937848874E-3"/>
        <n v="7.7771930291241631E-3"/>
        <n v="1.6037834848971588E-2"/>
        <n v="6.9258355221846202E-4"/>
        <n v="-1.5328715570261608E-2"/>
        <n v="1.6323832787856762E-3"/>
        <n v="-1.8450031870404282E-2"/>
        <n v="-1.4429370819408427E-2"/>
        <n v="-1.4252251368593871E-3"/>
        <n v="1.6529970126360372E-2"/>
        <n v="-6.2543100020726605E-3"/>
        <n v="1.7545198774913118E-2"/>
        <n v="-1.1692601029843708E-2"/>
        <n v="9.6156056786405042E-3"/>
        <n v="1.3130339721821427E-2"/>
        <n v="-1.7046266981507685E-2"/>
        <n v="2.7032479518462882E-3"/>
        <n v="6.5620726659019191E-3"/>
        <n v="1.8699200839138452E-3"/>
        <n v="-2.2447680017475546E-3"/>
        <n v="1.4534969231666972E-2"/>
        <n v="5.8553358989295035E-3"/>
        <n v="1.4094557024832532E-2"/>
        <n v="3.8105600626279212E-3"/>
        <n v="-5.5481088190636463E-3"/>
        <n v="-2.6183702930310249E-3"/>
        <n v="3.9009310626720861E-3"/>
        <n v="1.0262033452193009E-3"/>
        <n v="2.6857148534631392E-4"/>
        <n v="-4.0759912205360349E-3"/>
        <n v="1.3282856644400987E-2"/>
        <n v="-2.4427919758124306E-3"/>
        <n v="3.588251096636963E-3"/>
        <n v="6.5226922404537646E-4"/>
        <n v="-1.6894827434810189E-4"/>
        <n v="-5.4571606135831452E-3"/>
        <n v="7.7688051749014164E-4"/>
        <n v="1.0433156488014461E-3"/>
        <n v="-1.5873908717415786E-2"/>
        <n v="-4.2356877006740623E-3"/>
        <n v="1.990807568635411E-2"/>
        <n v="8.535166257267468E-3"/>
        <n v="-1.0096506951057238E-3"/>
        <n v="-1.1239354590687367E-2"/>
        <n v="-6.8639003248962549E-3"/>
        <n v="-7.0829283543035748E-3"/>
        <n v="1.8512606346501981E-2"/>
        <n v="2.6660578397397217E-4"/>
        <n v="-4.3854206122087014E-3"/>
        <n v="4.6725233498503549E-3"/>
        <n v="-1.7441819272316916E-3"/>
        <n v="-1.3102677655305595E-3"/>
        <n v="3.4501452733404214E-3"/>
        <n v="-6.6827996949941904E-3"/>
        <n v="1.2139015210756332E-2"/>
        <n v="9.6332720942235994E-3"/>
        <n v="-1.4551541100501497E-3"/>
        <n v="4.0618673744119427E-4"/>
        <n v="-1.1222919794899866E-2"/>
        <n v="-7.2446915017113644E-3"/>
        <n v="8.6597908802075185E-3"/>
        <n v="1.2950740152930518E-2"/>
        <n v="3.8091226822878355E-4"/>
        <n v="-5.5452632882050379E-3"/>
        <n v="9.5011923476693294E-3"/>
        <n v="1.4461062277351777E-2"/>
        <n v="-1.9162097000630096E-3"/>
        <n v="2.1773874343402611E-3"/>
        <n v="-3.4577249686532641E-3"/>
        <n v="6.048627395324413E-3"/>
        <n v="1.7941873841125222E-3"/>
        <n v="9.0719461843955518E-3"/>
        <n v="6.5928861298654162E-3"/>
        <n v="1.1908620144434057E-3"/>
        <n v="1.2397651683216271E-2"/>
        <n v="-3.406109791601386E-3"/>
        <n v="-5.1884365477562477E-3"/>
        <n v="-5.1236206068787649E-3"/>
        <n v="3.6097099690570733E-3"/>
        <n v="-7.5599260349887842E-3"/>
        <n v="-4.0858146106133031E-3"/>
        <n v="1.0963235177506858E-2"/>
        <n v="5.0438312201173119E-4"/>
        <n v="3.9414963734663022E-3"/>
        <n v="1.1800696993804705E-2"/>
        <n v="1.1505137043690272E-3"/>
        <n v="-1.4871680629821027E-3"/>
        <n v="-7.8306448188555366E-3"/>
        <n v="-2.5246639443247121E-3"/>
        <n v="2.5310540051124431E-3"/>
        <n v="6.3684703833450929E-3"/>
        <n v="8.0460416919927447E-3"/>
        <n v="7.9368630438896304E-3"/>
        <n v="-6.2295655137001305E-4"/>
        <n v="3.4723573590087486E-3"/>
        <n v="7.430365442701925E-3"/>
        <n v="2.2239253695086614E-3"/>
        <n v="-6.634633370744436E-3"/>
        <n v="4.4673418188307945E-3"/>
        <n v="2.730136350594492E-3"/>
        <n v="1.5364151962793393E-4"/>
        <n v="-6.629910097008751E-3"/>
        <n v="9.7902649137917575E-3"/>
        <n v="1.9040725939374337E-3"/>
        <n v="-2.8616484717141066E-3"/>
        <n v="-1.3910665132410016E-2"/>
        <n v="-2.865940487663865E-3"/>
        <n v="-4.5227453496191616E-3"/>
        <n v="8.7284917760035441E-3"/>
        <n v="-4.3485860541485621E-3"/>
        <n v="-6.685311684030526E-3"/>
        <n v="3.5880467516302694E-4"/>
        <n v="-5.8294614702869563E-4"/>
        <n v="5.5199655743165543E-3"/>
        <n v="-1.1648762242136179E-2"/>
        <n v="-7.3380863971216348E-3"/>
        <n v="-7.6200166858313434E-3"/>
        <n v="4.8122845979881035E-4"/>
        <n v="6.5064494816726715E-3"/>
        <n v="-2.7087749990645227E-3"/>
        <n v="1.113781286600446E-2"/>
        <n v="-1.3858858549666175E-2"/>
        <n v="7.0497246670324643E-3"/>
        <n v="6.3412314754320853E-3"/>
        <n v="1.4454831976887128E-2"/>
        <n v="4.1187293683577764E-3"/>
        <n v="-1.4632905396587681E-3"/>
        <n v="1.8651692980347079E-3"/>
        <n v="-4.3219142656166776E-3"/>
        <n v="-6.7224429339430847E-3"/>
        <n v="-3.0701602754569235E-3"/>
        <n v="1.506126082926551E-3"/>
        <n v="6.5764326319155408E-3"/>
        <n v="-5.4856417600447349E-3"/>
        <n v="1.166251328723833E-3"/>
        <n v="8.622263867651192E-3"/>
        <n v="-1.2048317343959836E-2"/>
        <n v="5.8643192872298577E-4"/>
        <n v="-2.0738999123249835E-3"/>
        <n v="-9.1932642526576513E-3"/>
        <n v="-1.6528360624534222E-2"/>
        <n v="-2.2485015294769761E-3"/>
        <n v="4.2050627961616183E-3"/>
        <n v="-1.4691253844561269E-2"/>
        <n v="3.993514023290512E-4"/>
        <n v="5.7972485536885721E-3"/>
        <n v="-2.4267961311514874E-3"/>
        <n v="-3.9770894247748156E-4"/>
        <n v="-1.3386021801732539E-2"/>
        <n v="7.2818361703663737E-3"/>
        <n v="-3.7686122616820139E-4"/>
        <n v="1.1872927132474231E-2"/>
        <n v="6.402271281079619E-3"/>
        <n v="5.2047660202871882E-3"/>
        <n v="4.0962567303299835E-3"/>
        <n v="-6.096457711300296E-3"/>
        <n v="-4.9808754298551472E-3"/>
        <n v="1.0521569293863386E-2"/>
        <n v="-4.6041088921033868E-5"/>
        <n v="-1.3325020458822001E-2"/>
        <n v="-8.7863778052943431E-3"/>
        <n v="-1.2288051595855776E-2"/>
        <n v="-1.733154596925357E-3"/>
        <n v="7.5393164938621915E-3"/>
        <n v="-1.4352192055823276E-2"/>
        <n v="-1.1974614723953003E-2"/>
        <n v="-4.5327383436795099E-3"/>
        <n v="1.1955873258366445E-2"/>
        <n v="6.2802429185959685E-3"/>
        <n v="1.0664692517543539E-2"/>
        <n v="1.9164190478637266E-2"/>
        <n v="9.1236015161424433E-3"/>
        <n v="2.300417254254894E-3"/>
        <n v="2.8460458234893515E-3"/>
        <n v="7.3241168038418181E-4"/>
        <n v="-7.7987565766296507E-3"/>
        <n v="1.5604860604780946E-2"/>
        <n v="-9.5332422301064312E-4"/>
        <n v="1.9400772365121721E-2"/>
        <n v="2.1170860578318962E-3"/>
        <n v="1.2230218150366401E-3"/>
        <n v="1.2438228640878624E-3"/>
        <n v="7.6977662529289503E-3"/>
        <n v="-2.1795630283960588E-3"/>
        <n v="3.8607642891246297E-3"/>
        <n v="6.1553804497549436E-4"/>
        <n v="-1.8011073839648839E-3"/>
        <n v="9.9014267680930246E-4"/>
        <n v="-7.0343274206730033E-4"/>
        <n v="3.9374969231795731E-3"/>
        <n v="5.9159328492481844E-3"/>
        <n v="-5.2494147530631752E-3"/>
        <n v="-1.969872833995634E-4"/>
        <n v="-4.0298403971106289E-3"/>
        <n v="7.6303566989941451E-3"/>
        <n v="4.2991787542179249E-3"/>
        <n v="3.889599493412943E-3"/>
        <n v="4.5671438262899766E-3"/>
        <n v="1.3790064360344578E-2"/>
        <n v="3.2094997812208703E-3"/>
        <n v="-1.6464618424443245E-3"/>
        <n v="5.6249534033769866E-3"/>
        <n v="6.0810131202861939E-3"/>
        <n v="-1.3857394125843636E-2"/>
        <n v="9.4818793979385418E-3"/>
        <n v="2.0097300784456262E-3"/>
        <n v="4.2225350370117543E-3"/>
        <n v="1.8081010939752229E-3"/>
        <n v="3.7771224607752174E-4"/>
        <n v="-2.8949203595175499E-3"/>
        <n v="-5.5964496290761279E-3"/>
        <n v="-8.1664816337139179E-3"/>
        <n v="-3.2213431233730772E-3"/>
        <n v="1.3698033841005319E-3"/>
        <n v="1.4275850257934763E-2"/>
        <n v="-1.5169293957466579E-3"/>
        <n v="5.6553318544352305E-3"/>
        <n v="-4.4067303966965898E-4"/>
        <n v="6.9271607332943574E-4"/>
        <n v="-3.6712411921373533E-3"/>
        <n v="-5.5585630348010673E-3"/>
        <n v="8.8928103330867536E-3"/>
        <n v="1.2466082821091184E-2"/>
        <n v="2.1143869939459492E-3"/>
        <n v="2.9164134877099901E-3"/>
        <n v="1.0932628914375186E-3"/>
        <n v="5.4389063480744237E-3"/>
        <n v="-1.2704629601297812E-3"/>
        <n v="7.9193728125055429E-3"/>
        <n v="-7.7336412369910512E-4"/>
        <n v="-1.6317387588725474E-2"/>
        <n v="1.3088114379607774E-2"/>
        <n v="1.052742519772587E-2"/>
        <n v="-3.6411959321578369E-3"/>
        <n v="2.9033178002926263E-3"/>
        <n v="8.340368497273154E-3"/>
        <n v="4.4168738719951861E-4"/>
        <n v="5.7793359482618545E-3"/>
        <n v="-4.3883006249367806E-4"/>
        <n v="-1.377311411314952E-2"/>
        <n v="9.0876674433315596E-3"/>
        <n v="6.8997306531699554E-3"/>
        <n v="-4.9799738930406123E-3"/>
        <n v="-5.505381676902954E-3"/>
        <n v="9.0588274457270579E-4"/>
        <n v="2.0695488393773331E-2"/>
        <n v="6.8965794935627045E-4"/>
        <n v="-3.6625789483393234E-3"/>
        <n v="1.8576861664170163E-3"/>
        <n v="-1.3215789091137742E-3"/>
        <n v="3.5949680507312287E-3"/>
        <n v="9.3882688282509452E-3"/>
        <n v="-1.0723989436863812E-3"/>
        <n v="-9.9941916355256177E-3"/>
        <n v="5.0672535526654627E-3"/>
        <n v="9.9265138732331781E-3"/>
        <n v="-6.0022698813854136E-3"/>
        <n v="-8.598013296785556E-4"/>
        <n v="1.0757226471022729E-2"/>
        <n v="-1.5673472009857248E-3"/>
        <n v="-1.9768218792336478E-3"/>
        <n v="-6.8665849641978971E-3"/>
        <n v="5.9431552345705629E-3"/>
        <n v="5.5570276248468886E-3"/>
        <n v="9.249403475524165E-3"/>
        <n v="3.3046112755288348E-3"/>
        <n v="-1.8956934102117851E-3"/>
        <n v="-2.7628935483237083E-3"/>
        <n v="-1.8470321855247329E-3"/>
        <n v="8.4039862482421235E-3"/>
        <n v="-1.9127859466727681E-4"/>
        <n v="-1.7398118220683934E-3"/>
        <n v="-6.358076572897664E-3"/>
        <n v="1.0984750074134464E-3"/>
        <n v="-1.2206031586161514E-2"/>
        <n v="1.0446918952096151E-2"/>
        <n v="5.5943508059375091E-4"/>
        <n v="1.1567922331425784E-3"/>
        <n v="-1.0013345132104612E-2"/>
        <n v="7.5468638604891947E-3"/>
        <n v="-1.3802969694091338E-2"/>
        <n v="-1.252816747168517E-2"/>
        <n v="-1.8237256178279537E-3"/>
        <n v="-5.9182377688310472E-3"/>
        <n v="-2.0577684122999873E-3"/>
        <n v="-8.728272490450828E-3"/>
        <n v="9.2091336741859653E-3"/>
        <n v="1.1866636838578914E-2"/>
        <n v="-4.7459038610164761E-4"/>
        <n v="-3.7990839287185274E-3"/>
        <n v="9.4740793816816549E-3"/>
        <n v="3.5413652375824167E-3"/>
        <n v="-1.5841227166982663E-2"/>
        <n v="-3.2470879194256286E-3"/>
        <n v="9.3534496663127964E-3"/>
        <n v="1.2395207659662288E-2"/>
        <n v="1.0326796175695652E-2"/>
        <n v="1.1036055016220292E-3"/>
        <n v="9.6542359339091277E-5"/>
        <n v="5.7619256481074022E-3"/>
        <n v="1.2881686230805656E-3"/>
        <n v="1.3412693474634807E-4"/>
        <n v="4.5883429904007844E-3"/>
        <n v="1.2382945829380709E-2"/>
        <n v="-2.057639461244154E-3"/>
        <n v="1.4376621237919274E-3"/>
        <n v="1.1520539555727183E-3"/>
        <n v="2.4525849346481721E-3"/>
        <n v="-2.8793963613130691E-3"/>
        <n v="-7.3042803406953016E-3"/>
        <n v="6.6165143641250257E-3"/>
        <n v="6.9886993335588343E-4"/>
        <n v="-7.002629786867498E-3"/>
        <n v="-6.6336383696958823E-3"/>
        <n v="9.1081536802957164E-3"/>
        <n v="8.1535927689269094E-4"/>
        <n v="1.1178898116688263E-3"/>
        <n v="1.1885179878577512E-2"/>
        <n v="-1.8874713054506387E-5"/>
        <n v="-1.215742042282475E-3"/>
        <n v="3.0900063384744492E-3"/>
        <n v="2.4081046371138282E-3"/>
        <n v="8.2131103449047949E-3"/>
        <n v="2.0133940666877681E-3"/>
        <n v="6.0850129228517957E-4"/>
        <n v="7.9590591172626901E-3"/>
        <n v="2.540605288468889E-3"/>
        <n v="-2.7166727044789507E-3"/>
        <n v="-1.3406079179634212E-3"/>
        <n v="-3.2505104166534737E-3"/>
        <n v="3.8506386437702211E-3"/>
        <n v="1.2483859056016122E-3"/>
        <n v="1.5765760090602488E-3"/>
        <n v="-3.9354073565153191E-3"/>
        <n v="2.0581387752909297E-3"/>
        <n v="6.729776870987747E-3"/>
        <n v="4.4626340181470603E-3"/>
        <n v="5.7663703964208057E-3"/>
        <n v="1.153984236467176E-3"/>
        <n v="9.7250969499795836E-4"/>
        <n v="9.8950557095704994E-3"/>
        <n v="-8.6223439400604507E-3"/>
        <n v="6.3075133376995218E-3"/>
        <n v="2.7500644616091918E-3"/>
        <n v="5.9298923252879554E-3"/>
        <n v="-1.4021019084819342E-2"/>
        <n v="-7.6846428974491898E-3"/>
        <n v="-6.640753333208238E-3"/>
        <n v="1.0310082054099778E-2"/>
        <n v="-1.5687320587394193E-3"/>
        <n v="-2.2662421599522586E-2"/>
        <n v="-5.2105393363049979E-3"/>
        <n v="1.11997866618887E-2"/>
        <n v="5.8780197293506475E-4"/>
        <n v="-5.0664409817660072E-3"/>
        <n v="1.625438469990037E-2"/>
        <n v="-1.4160759638692899E-2"/>
        <n v="-1.8618371424376612E-2"/>
        <n v="-2.9123810062021582E-2"/>
        <n v="9.2196687474235262E-3"/>
        <n v="-6.6840443763397372E-3"/>
        <n v="2.3117481590327671E-2"/>
        <n v="4.4095743490899508E-3"/>
        <n v="5.2540507007692305E-4"/>
        <n v="1.644549418204444E-2"/>
        <n v="3.1547803065354874E-3"/>
        <n v="1.7140165062293322E-2"/>
        <n v="2.2421068732714211E-3"/>
        <n v="9.5614311837217691E-3"/>
        <n v="-1.6261722061099437E-3"/>
        <n v="3.4366835975325749E-3"/>
        <n v="-7.8485134264936196E-3"/>
        <n v="1.0625385922989672E-2"/>
        <n v="-2.3839189947704176E-3"/>
        <n v="1.3730708321384455E-3"/>
        <n v="-5.8051858146787039E-3"/>
        <n v="8.9529021391809849E-5"/>
        <n v="9.5460725455858153E-3"/>
        <n v="-2.0579137680261428E-2"/>
        <n v="-2.0466047343522531E-3"/>
        <n v="-2.4324071157065807E-3"/>
        <n v="-1.6830205881500304E-2"/>
        <n v="1.1196370429751079E-2"/>
        <n v="4.3556866627050272E-3"/>
        <n v="1.0259077279622053E-2"/>
        <n v="8.4230090073298403E-3"/>
        <n v="5.2227838315084263E-3"/>
        <n v="1.4770382037720964E-3"/>
        <n v="4.085115150294083E-4"/>
        <n v="-2.965714357998861E-3"/>
        <n v="1.706426753929513E-2"/>
        <n v="-1.7286028901163375E-3"/>
        <n v="2.4990142825713768E-3"/>
        <n v="2.8611588420435208E-3"/>
        <n v="-2.205574021654777E-3"/>
        <n v="3.9646909430366417E-3"/>
        <n v="-1.4502902539623719E-3"/>
        <n v="4.0073067813788388E-3"/>
        <n v="-8.9584959966371169E-3"/>
        <n v="4.2207372169889013E-4"/>
        <n v="-1.8281779867485026E-3"/>
        <n v="9.0872052702675177E-3"/>
        <n v="-9.0403764344911819E-3"/>
        <n v="9.4576621192834498E-3"/>
        <n v="6.9263742769880565E-3"/>
        <n v="-1.7499289570287457E-3"/>
        <n v="5.9881255943015077E-3"/>
        <n v="8.1784553619244083E-3"/>
        <n v="-7.7696023223633448E-3"/>
        <n v="4.3461986715807033E-3"/>
        <n v="8.5897437817505917E-5"/>
        <n v="3.8466553308900142E-3"/>
        <n v="-1.6422798462758514E-3"/>
        <n v="-5.3117967032279001E-4"/>
        <n v="-9.1373657810248643E-3"/>
        <n v="2.1626945959039023E-3"/>
        <n v="-3.4540483069944727E-4"/>
        <n v="3.0914301936280086E-3"/>
        <n v="1.6182723864499593E-3"/>
        <n v="-3.0251024400930193E-3"/>
        <n v="-1.9603193652644957E-2"/>
        <n v="4.2205888055482088E-3"/>
        <n v="-2.1538926051214435E-3"/>
        <n v="1.2091704251122826E-2"/>
        <n v="2.4865595825653397E-2"/>
        <n v="7.73216736757254E-3"/>
        <n v="4.3316070629280112E-3"/>
        <n v="9.5288582999097926E-4"/>
        <n v="-3.1063363644213693E-3"/>
        <n v="4.858730531422939E-4"/>
        <n v="-6.430206460433574E-3"/>
        <n v="-1.280864082508093E-2"/>
        <n v="4.0974101275608188E-3"/>
        <n v="3.6554745910837294E-3"/>
        <n v="3.3882773833160407E-4"/>
        <n v="5.3682472463352227E-3"/>
        <n v="3.0993944534478679E-3"/>
        <n v="3.3921054211556445E-3"/>
        <n v="5.2214854708667602E-3"/>
        <n v="-3.0300883971953185E-3"/>
        <n v="6.2122584211297127E-3"/>
        <n v="1.7922238140926083E-3"/>
        <n v="4.6394547237316175E-4"/>
        <n v="6.2095099785566266E-3"/>
        <n v="-1.6457394823613525E-3"/>
        <n v="1.8955919222443107E-3"/>
        <n v="-5.1495711167361957E-3"/>
        <n v="-3.1090940537520373E-3"/>
        <n v="7.7307403413020559E-3"/>
        <n v="-5.1527421835482201E-3"/>
        <n v="-1.9830897280070925E-4"/>
        <n v="4.2698493666255555E-3"/>
        <n v="-4.1200937101640855E-3"/>
        <n v="-2.9803358075492281E-2"/>
        <n v="-3.0725896108219075E-4"/>
        <n v="1.2010907432213225E-2"/>
        <n v="5.9883144747756578E-3"/>
        <n v="1.1115098833935466E-2"/>
        <n v="6.6591794775749946E-5"/>
        <n v="-1.0526584203640499E-2"/>
        <n v="-1.1411586367528481E-2"/>
        <n v="-3.6379248440820966E-3"/>
        <n v="-2.4571239965799352E-3"/>
        <n v="1.2503404560544995E-2"/>
        <n v="5.7605105090932085E-3"/>
        <n v="-1.1304046612612861E-2"/>
        <n v="1.461011670164325E-3"/>
        <n v="-1.5267429606369842E-2"/>
        <n v="1.5505849049237685E-3"/>
        <n v="1.3759502770052112E-3"/>
        <n v="1.8189815579997992E-2"/>
        <n v="-1.9228926438177307E-3"/>
        <n v="1.0039795288152353E-2"/>
        <n v="9.1534804439163953E-3"/>
        <n v="5.6216412754821476E-3"/>
        <n v="5.4578532443905203E-3"/>
        <n v="-2.9192652569866029E-3"/>
        <n v="-1.4145255556364478E-2"/>
        <n v="8.5923153170601729E-3"/>
        <n v="-4.4828644654661964E-3"/>
        <n v="5.3670822667903906E-3"/>
        <n v="-5.321911081975883E-3"/>
        <n v="-6.7296558631890768E-3"/>
        <n v="6.7083697856562541E-3"/>
        <n v="4.0546293842407266E-3"/>
        <n v="3.4755260885357409E-3"/>
        <n v="-9.1536154021474303E-3"/>
        <n v="6.7913283204550368E-3"/>
        <n v="7.6043847812545806E-4"/>
        <n v="-3.2214850727226851E-3"/>
        <n v="1.0557501388251289E-2"/>
        <n v="-4.9075157279809822E-5"/>
        <n v="2.9358973680169154E-3"/>
        <n v="2.3548170755354203E-3"/>
        <n v="-4.1603461161645594E-3"/>
        <n v="-1.7104107843856187E-2"/>
        <n v="-4.5504068669079967E-3"/>
        <n v="-4.9731829410324391E-3"/>
        <n v="5.0490203145492352E-4"/>
        <n v="-1.5962118357266242E-2"/>
        <n v="1.5605704427724687E-2"/>
        <n v="-1.7519977666304309E-2"/>
        <n v="-1.183676164866676E-2"/>
        <n v="1.0747838454513436E-2"/>
        <n v="-1.7751261304090216E-2"/>
        <n v="5.6048858449071481E-3"/>
        <n v="-2.6635511651277977E-2"/>
        <n v="-8.3128902567809471E-3"/>
        <n v="5.3064879545661192E-3"/>
        <n v="-1.3330436330021067E-2"/>
        <n v="2.0655678645411069E-2"/>
        <n v="7.7114479445552497E-3"/>
        <n v="-1.0808597358321625E-2"/>
        <n v="1.0891068511607482E-2"/>
        <n v="-2.8918080871890295E-3"/>
        <n v="3.298919546212975E-4"/>
        <n v="1.790837800678835E-2"/>
        <n v="2.403929606058286E-3"/>
        <n v="-1.1938228305225729E-2"/>
        <n v="-2.6558447361686444E-3"/>
        <n v="-2.0138105395326567E-2"/>
        <n v="6.712688489439067E-3"/>
        <n v="2.8245533885180585E-3"/>
        <n v="6.3282975946048481E-3"/>
        <n v="-4.9280691450165448E-2"/>
        <n v="-5.8543101116961149E-2"/>
        <n v="-1.7811884523963872E-3"/>
        <n v="-1.5662754316898009E-2"/>
        <n v="0.10501937798947614"/>
        <n v="-4.3819062573260736E-2"/>
        <n v="1.7843011748604143E-2"/>
        <n v="9.7012728964935846E-3"/>
        <n v="-2.8010217219820444E-3"/>
        <n v="-2.2227965823144014E-2"/>
        <n v="1.4268350248789474E-3"/>
        <n v="-2.3802765912592339E-2"/>
        <n v="2.601794197538787E-2"/>
        <n v="1.5495243709833462E-2"/>
        <n v="2.1049030981854289E-2"/>
        <n v="7.2253113119784551E-3"/>
        <n v="3.8149757017302832E-4"/>
        <n v="6.2991634074585079E-3"/>
        <n v="3.9683009352198262E-4"/>
        <n v="7.087203700909317E-3"/>
        <n v="1.4844133220939471E-2"/>
        <n v="-5.7344327514629034E-3"/>
        <n v="-8.3583256768252623E-3"/>
        <n v="4.2054163343341333E-3"/>
        <n v="6.9677625719350988E-3"/>
        <n v="-1.2741118157988396E-3"/>
        <n v="3.3047429414670981E-2"/>
        <n v="6.6037546552584203E-3"/>
        <n v="1.2779773090207946E-3"/>
        <n v="4.8844968339409878E-3"/>
        <n v="6.3340439294972128E-3"/>
        <n v="1.0939238063631951E-3"/>
        <n v="-3.3621533263863412E-3"/>
        <n v="-1.6850877987892088E-2"/>
        <n v="3.9460189702000825E-4"/>
        <n v="-6.8257458335287957E-3"/>
        <n v="2.0790577842265234E-2"/>
        <n v="-5.7853476459333031E-3"/>
        <n v="3.9473369666005453E-3"/>
        <n v="-1.118296253996065E-3"/>
        <n v="5.6329207040395346E-3"/>
        <n v="5.7024522486979201E-3"/>
        <n v="-2.684085986693896E-4"/>
        <n v="-4.8328596233543353E-3"/>
        <n v="1.0269030973764526E-2"/>
        <n v="9.0122877647047517E-4"/>
        <n v="5.6699248135045899E-3"/>
        <n v="-2.8522823184768953E-3"/>
        <n v="3.9742757913145965E-3"/>
        <n v="-1.1179958415508229E-2"/>
        <n v="9.5142398426133479E-3"/>
        <n v="-8.5450687006844994E-3"/>
        <n v="-1.5081665769989261E-4"/>
        <n v="-2.3484742531844072E-3"/>
        <n v="9.877485739587577E-3"/>
        <n v="1.1047186039507384E-2"/>
        <n v="5.6038442167927194E-4"/>
        <n v="7.8238097280700636E-3"/>
        <n v="4.9683222933454285E-3"/>
        <n v="4.7812796872990226E-3"/>
        <n v="-3.2371413275378291E-4"/>
        <n v="4.5332655788041798E-3"/>
        <n v="7.8814002435436681E-3"/>
        <n v="-7.4519719210669466E-3"/>
        <n v="-5.4773529501250806E-4"/>
        <n v="5.9966560783442091E-3"/>
        <n v="2.8202582751390981E-3"/>
        <n v="-3.5154084840562927E-3"/>
        <n v="1.9080851570825175E-3"/>
        <n v="-4.2731138430656124E-3"/>
        <n v="3.3431741923299896E-3"/>
        <n v="6.119736739210957E-3"/>
        <n v="-7.3243279015333673E-4"/>
        <n v="1.8961434921311859E-3"/>
        <n v="1.4309729281114514E-4"/>
        <n v="8.5075753189542969E-3"/>
        <n v="3.3102965109055305E-4"/>
        <n v="4.224338152491125E-3"/>
        <n v="-2.5106900474680671E-4"/>
        <n v="-2.6377585766392819E-3"/>
        <n v="-1.2591754567060631E-3"/>
        <n v="-3.7511637886928906E-3"/>
        <n v="-1.6390611285710288E-2"/>
        <n v="1.5199864928028717E-2"/>
        <n v="-5.0700241167128679E-3"/>
        <n v="7.6597594691067972E-3"/>
        <n v="-8.3763643165513102E-4"/>
        <n v="7.7975548309496823E-3"/>
        <n v="-1.9774044951013092E-3"/>
        <n v="1.0646077812391797E-2"/>
        <n v="3.4230360367946133E-3"/>
        <n v="9.3013570794830969E-5"/>
        <n v="-2.3411979263346927E-3"/>
        <n v="-2.1771255650937515E-4"/>
        <n v="-5.4251010281531897E-3"/>
        <n v="-2.6570808049446448E-3"/>
        <n v="-4.0118098056124429E-3"/>
        <n v="1.5356930140372649E-2"/>
        <n v="-4.4012108756948942E-3"/>
        <n v="4.1870652141338116E-3"/>
        <n v="2.2784527526664711E-3"/>
        <n v="3.5414199062957508E-3"/>
        <n v="-5.963734491660877E-3"/>
        <n v="-7.4102526816088865E-3"/>
        <n v="5.4195461630077713E-3"/>
        <n v="8.3574175483911439E-3"/>
        <n v="-2.8961941058495144E-3"/>
        <n v="2.4565777359784047E-3"/>
        <n v="2.3118846201510834E-3"/>
        <n v="2.8909001882666541E-3"/>
        <n v="8.3101950522792567E-3"/>
        <n v="-3.3463040934611499E-4"/>
        <n v="5.3238689277832485E-3"/>
        <n v="-1.3767915798059693E-3"/>
        <n v="-1.2423635595047999E-3"/>
        <n v="4.6724054804268E-3"/>
        <n v="4.9528684508932663E-3"/>
        <n v="4.7310493531074194E-3"/>
        <n v="-5.4434706499808527E-3"/>
        <n v="-3.1816642308674092E-3"/>
        <n v="-4.6134675645117529E-3"/>
        <n v="5.7291276025910332E-3"/>
        <n v="2.8103535347194786E-3"/>
        <n v="3.7668347553583281E-3"/>
        <n v="3.4075722246513784E-3"/>
        <n v="1.1517326256851312E-3"/>
        <n v="-1.4805406382656372E-5"/>
        <n v="3.5862719664676579E-3"/>
        <n v="-3.7075138893177817E-3"/>
        <n v="5.9630552695713046E-3"/>
        <n v="-2.8969747249332212E-3"/>
        <n v="-2.7027862178845674E-2"/>
        <n v="1.5344118135168339E-2"/>
        <n v="-1.2216462876413203E-3"/>
        <n v="4.4396228392917791E-3"/>
        <n v="-6.8103189701383959E-3"/>
        <n v="5.6762988463516795E-3"/>
        <n v="1.0400500262923273E-2"/>
        <n v="-1.5034552886095121E-5"/>
        <n v="-5.1988248670109538E-3"/>
        <n v="5.9299627059643534E-3"/>
        <n v="8.1725546944804162E-3"/>
        <n v="1.1797664492784632E-2"/>
        <n v="2.6560160190798321E-3"/>
        <n v="4.8028106743136512E-4"/>
        <n v="-1.0998098598900663E-2"/>
        <n v="3.2802220875831622E-3"/>
        <n v="1.8767398754619968E-3"/>
        <n v="-1.185354736001909E-2"/>
        <n v="3.4653852011290454E-3"/>
        <n v="-1.0729363869237507E-2"/>
        <n v="9.8456507865907206E-4"/>
        <n v="1.5604370346339991E-2"/>
        <n v="2.289177027853917E-3"/>
        <n v="5.5639036636434547E-4"/>
        <n v="-1.6593996414786205E-2"/>
        <n v="-1.635496688257021E-4"/>
        <n v="-9.316528985265693E-3"/>
        <n v="-8.3974608943448992E-3"/>
        <n v="3.8631762831033978E-3"/>
        <n v="-1.5242318774626007E-2"/>
        <n v="9.9612324800630869E-3"/>
        <n v="1.4718418739979588E-2"/>
        <n v="9.4059289313044303E-3"/>
        <n v="6.9035824180052607E-3"/>
        <n v="5.4584342293308996E-3"/>
        <n v="-4.5654703011644981E-3"/>
        <n v="1.8522768711999316E-3"/>
        <n v="3.4627490803595951E-3"/>
        <n v="7.3104980155291877E-4"/>
        <n v="1.8994848443159018E-3"/>
        <n v="-3.0042091058060105E-3"/>
        <n v="-8.6320811489448701E-4"/>
        <n v="6.6323259487455211E-3"/>
        <n v="2.3269460314641055E-3"/>
        <n v="-1.0752075575282682E-2"/>
        <n v="-1.5108085502177904E-3"/>
        <n v="-2.7322851452302732E-3"/>
        <n v="-1.1003593983400228E-2"/>
        <n v="7.55126270975226E-3"/>
        <n v="9.0635062235870922E-3"/>
        <n v="6.22989400678442E-3"/>
        <n v="4.5704023396588855E-3"/>
        <n v="3.5176743962448409E-3"/>
        <n v="-1.0140966545213459E-4"/>
        <n v="-3.5636535074947684E-3"/>
        <n v="-1.2211244085722495E-3"/>
        <n v="-7.4089416209803804E-3"/>
        <n v="1.8329931020035772E-3"/>
        <n v="6.660117292359935E-3"/>
        <n v="5.9472480516442605E-3"/>
        <n v="-3.2234122811981569E-3"/>
        <n v="-1.0152731427326422E-4"/>
        <n v="6.6133829968886282E-3"/>
        <n v="1.5704330006638401E-3"/>
        <n v="-1.9995067653818532E-3"/>
        <n v="-4.9151644595419874E-3"/>
        <n v="2.7232083854802358E-3"/>
        <n v="-8.3790518916204704E-4"/>
        <n v="-2.0356800011497311E-2"/>
        <n v="1.1541109281661299E-2"/>
        <n v="5.2232576727144764E-3"/>
        <n v="3.6273518897367296E-4"/>
        <n v="5.0781427356856312E-3"/>
        <n v="3.9842543077575066E-3"/>
        <n v="-1.006645803248718E-4"/>
        <n v="-1.9843771548337941E-3"/>
        <n v="-2.9825725147667459E-3"/>
        <n v="4.9714005252141646E-3"/>
        <n v="-8.4554733901278656E-3"/>
        <n v="-4.8438537259933856E-3"/>
        <n v="-1.2489284060324235E-2"/>
        <n v="1.9184786476819982E-2"/>
        <n v="4.8218155635777471E-3"/>
        <n v="-2.6371459581814305E-3"/>
        <n v="-2.3112214366449724E-4"/>
        <n v="-1.544885969788623E-2"/>
        <n v="7.0449910311909392E-4"/>
        <n v="1.6134830190519533E-3"/>
        <n v="5.0377075505767532E-3"/>
        <n v="-2.6374337311135809E-3"/>
        <n v="7.2319395813822407E-3"/>
        <n v="-1.0211366038766267E-2"/>
        <n v="7.2684752701983601E-3"/>
        <n v="8.438306300538434E-3"/>
        <n v="-5.5544455792071457E-3"/>
        <n v="-4.8019408586112977E-3"/>
        <n v="5.6861243271044692E-4"/>
        <n v="-8.814339520359149E-3"/>
        <n v="7.0552657674944896E-3"/>
        <n v="-5.5754918733769143E-3"/>
        <n v="-1.3107128730419859E-2"/>
        <n v="8.7599607229029708E-3"/>
        <n v="-1.6071058958396778E-3"/>
        <n v="-1.2551345486657706E-3"/>
        <n v="-1.5184966271003186E-2"/>
        <n v="-5.6601357526089302E-3"/>
        <n v="1.0176865010456559E-2"/>
        <n v="2.6305449911054879E-3"/>
        <n v="-1.3953644515257158E-2"/>
        <n v="-2.4642882753442841E-3"/>
        <n v="-1.4335787930812693E-2"/>
        <n v="1.0499991225476402E-2"/>
        <n v="-3.3568144771775055E-3"/>
        <n v="5.5726882440485515E-3"/>
        <n v="-1.7858729983344035E-2"/>
        <n v="-1.7051894157425251E-2"/>
        <n v="-3.3433906874337227E-3"/>
        <n v="2.9067865784757174E-2"/>
        <n v="7.5344914103034899E-3"/>
        <n v="9.004595313388819E-4"/>
        <n v="4.7268450837638643E-3"/>
        <n v="4.4000056462722981E-4"/>
        <n v="2.5469636512190919E-2"/>
        <n v="5.7690176991855857E-3"/>
        <n v="-6.6177542655854182E-4"/>
        <n v="9.7724472464817413E-3"/>
        <n v="1.2184877209840739E-2"/>
        <n v="7.8909692270439091E-3"/>
        <n v="2.4573476469376132E-3"/>
        <n v="1.2085686101644066E-2"/>
        <n v="-1.9997351150194964E-3"/>
        <n v="-6.5468928485394873E-3"/>
        <n v="1.012671209511895E-2"/>
        <n v="-3.8807408683984024E-3"/>
        <n v="7.7493092372316053E-3"/>
        <n v="1.722787837563633E-3"/>
        <n v="-4.8659922671194789E-3"/>
        <n v="-1.5450932498595193E-4"/>
        <n v="9.9496335275648384E-3"/>
        <n v="2.7690952923506984E-3"/>
        <n v="-3.6633921467564834E-3"/>
        <n v="8.0222287239424261E-3"/>
        <n v="1.3899399692774095E-2"/>
        <n v="-3.0660824190705815E-3"/>
        <n v="8.2560970111682508E-3"/>
        <n v="2.2775630423874649E-3"/>
        <n v="-1.5149526145865622E-3"/>
        <n v="5.59483781461112E-3"/>
        <n v="7.8943149045545002E-3"/>
        <n v="-1.2029343756796207E-2"/>
        <n v="-7.0350931773177638E-4"/>
        <n v="-6.6607880874933745E-3"/>
        <n v="1.0248994582563453E-2"/>
        <n v="1.9830877010671433E-3"/>
        <n v="3.9315490768039307E-3"/>
        <n v="6.6386413521875021E-3"/>
        <n v="-1.7324216474601251E-4"/>
        <n v="5.5165786009099271E-3"/>
        <n v="2.4914048034492264E-3"/>
        <n v="2.7231134609038143E-3"/>
        <n v="1.3579397972762752E-3"/>
        <n v="-7.0171823204998596E-3"/>
        <n v="3.7786857621391334E-3"/>
        <n v="-2.5809371248925683E-2"/>
        <n v="2.2641726087715419E-3"/>
        <n v="-2.9354505508077944E-3"/>
        <n v="-1.5765562508027298E-2"/>
        <n v="1.6996847886747934E-2"/>
        <n v="5.4082479015293838E-3"/>
        <n v="1.7633969893753321E-2"/>
        <n v="-5.9615628442341029E-3"/>
        <n v="-1.2487870885051433E-2"/>
        <n v="1.0396992441959574E-2"/>
        <n v="-3.1469796939627148E-3"/>
        <n v="-1.4521954010491611E-2"/>
        <n v="-4.6351706364311518E-4"/>
        <n v="1.4456352254532678E-3"/>
        <n v="-7.2313736168696519E-3"/>
        <n v="1.6474862380159383E-2"/>
        <n v="7.7868009868420351E-3"/>
        <n v="-1.352504438058455E-3"/>
        <n v="-1.3140694806872411E-3"/>
        <n v="8.7274090930398174E-3"/>
        <n v="-4.7518996712316852E-3"/>
        <n v="-3.0894297130047432E-3"/>
        <n v="8.4652500025792499E-3"/>
        <n v="4.3101596888019955E-3"/>
        <n v="-7.6561748505409311E-3"/>
        <n v="3.5506416973014598E-3"/>
        <n v="3.9636359296810753E-3"/>
        <n v="-5.4186177563860793E-3"/>
        <n v="-9.8971560178722218E-3"/>
        <n v="-1.6143782471810253E-3"/>
        <n v="8.3413092985977766E-3"/>
        <n v="-1.1627413779321527E-3"/>
        <n v="-1.2349287272575782E-2"/>
        <n v="1.0160123647910968E-3"/>
        <n v="2.165755636849287E-4"/>
        <n v="2.3947806515860481E-3"/>
        <n v="-1.5387473482586067E-2"/>
        <n v="1.6765799496011979E-2"/>
        <n v="7.1998096750542917E-3"/>
        <n v="1.424300656734756E-2"/>
        <n v="1.8029002715958642E-2"/>
        <n v="-1.9966020100066206E-3"/>
        <n v="-1.597813044932006E-3"/>
        <n v="6.115348472417681E-3"/>
        <n v="-2.9741673673222557E-4"/>
        <n v="-3.1952597501651026E-3"/>
        <n v="2.5046624297864195E-3"/>
        <n v="6.9774556519524022E-3"/>
        <n v="-1.9797115463531245E-3"/>
        <n v="-4.7273666413644166E-3"/>
        <n v="-6.7557570742746709E-3"/>
      </sharedItems>
    </cacheField>
    <cacheField name="XOM" numFmtId="0">
      <sharedItems containsSemiMixedTypes="0" containsString="0" containsNumber="1" minValue="-7.8852524290774273E-2" maxValue="6.411288370220003E-2" count="1409">
        <n v="4.8192903776181462E-2"/>
        <n v="2.5517045730654164E-2"/>
        <n v="7.8459033210536155E-3"/>
        <n v="1.1120920459246841E-2"/>
        <n v="3.0356420222378722E-2"/>
        <n v="2.2203345778978756E-2"/>
        <n v="1.1278165209245294E-2"/>
        <n v="3.9033206130513642E-2"/>
        <n v="-4.8101737073678263E-2"/>
        <n v="1.9837481398105039E-2"/>
        <n v="1.4127545931461816E-2"/>
        <n v="-2.866949405152408E-2"/>
        <n v="-1.413419519075565E-2"/>
        <n v="-1.1174572289514018E-2"/>
        <n v="-2.196166258986032E-2"/>
        <n v="-1.1336438906526247E-2"/>
        <n v="1.5656117832052674E-2"/>
        <n v="-2.6487286311368874E-2"/>
        <n v="1.7841053130727147E-3"/>
        <n v="1.5806199257252462E-2"/>
        <n v="3.9228513892801686E-2"/>
        <n v="1.919022657471281E-2"/>
        <n v="3.3519465568918605E-2"/>
        <n v="4.3042876073884351E-2"/>
        <n v="-1.1711723566698029E-2"/>
        <n v="9.6781381965052038E-3"/>
        <n v="-2.5039017147031051E-2"/>
        <n v="1.364334482450591E-2"/>
        <n v="3.008731403696574E-2"/>
        <n v="1.5564934964460431E-2"/>
        <n v="-1.5704799064088171E-2"/>
        <n v="6.7281604319153754E-3"/>
        <n v="3.685295380190845E-2"/>
        <n v="1.381243477787053E-2"/>
        <n v="2.9972620195267696E-2"/>
        <n v="-1.6578401931192421E-2"/>
        <n v="-2.4928442444821952E-2"/>
        <n v="3.7336949039059597E-2"/>
        <n v="-5.8512210103425222E-3"/>
        <n v="8.0256941107004209E-3"/>
        <n v="3.8747353502198489E-2"/>
        <n v="3.7813130216511226E-2"/>
        <n v="-9.8493765326967964E-4"/>
        <n v="-1.5442596024770827E-2"/>
        <n v="3.0702429337972514E-2"/>
        <n v="-7.446910503760451E-3"/>
        <n v="1.0764948965757748E-2"/>
        <n v="-2.5496278023419916E-2"/>
        <n v="-2.1195706438791428E-2"/>
        <n v="4.3986070312134196E-3"/>
        <n v="-4.3119246088570318E-2"/>
        <n v="-5.6328079045548929E-3"/>
        <n v="-1.0267246248826467E-2"/>
        <n v="-1.2341396228149781E-2"/>
        <n v="2.028241145679277E-2"/>
        <n v="-2.8396501714517131E-3"/>
        <n v="2.7233992980404853E-2"/>
        <n v="-5.371849270874085E-3"/>
        <n v="-1.2369294982809698E-2"/>
        <n v="-1.5170266007759614E-2"/>
        <n v="2.7941971100260865E-2"/>
        <n v="-1.5507954648348532E-2"/>
        <n v="-2.8320225110118891E-3"/>
        <n v="4.437462342893328E-3"/>
        <n v="-1.0425890702701168E-2"/>
        <n v="-2.3215266800845624E-3"/>
        <n v="-6.6224877004600335E-3"/>
        <n v="3.7840931942501044E-3"/>
        <n v="2.8899464227476024E-2"/>
        <n v="-5.9315168503674132E-3"/>
        <n v="-5.6160019823696672E-3"/>
        <n v="-3.1768319394844813E-3"/>
        <n v="-2.1069520640285666E-2"/>
        <n v="1.2841337761559934E-2"/>
        <n v="-1.3035577124677622E-2"/>
        <n v="5.4276524062926157E-3"/>
        <n v="1.9799321050599783E-3"/>
        <n v="1.3110405708748107E-2"/>
        <n v="3.013634715892799E-2"/>
        <n v="1.4283153537133275E-2"/>
        <n v="-2.8842671980531809E-2"/>
        <n v="2.7603150416187328E-2"/>
        <n v="6.2903483576677299E-3"/>
        <n v="3.007253925024056E-2"/>
        <n v="9.5128989110520035E-3"/>
        <n v="1.4297425390980001E-2"/>
        <n v="2.4026941129158264E-3"/>
        <n v="-3.1799392675721849E-2"/>
        <n v="5.3583528879088682E-3"/>
        <n v="-1.2325158164614214E-2"/>
        <n v="2.4789228992230239E-2"/>
        <n v="2.3366806469630408E-2"/>
        <n v="-2.8300517654935797E-2"/>
        <n v="-2.3994527300046808E-2"/>
        <n v="-2.3738779078987804E-3"/>
        <n v="1.3596622755123189E-3"/>
        <n v="1.17110660054629E-2"/>
        <n v="-2.2647238205024678E-2"/>
        <n v="1.1671785599924211E-2"/>
        <n v="-6.4472409045348567E-3"/>
        <n v="-3.2445781733191348E-3"/>
        <n v="3.5806141753086163E-2"/>
        <n v="7.9390004398300906E-3"/>
        <n v="3.9382724331682439E-3"/>
        <n v="4.4132139079064991E-3"/>
        <n v="-6.509336855159864E-3"/>
        <n v="1.7690445174819436E-2"/>
        <n v="8.3694394699147523E-3"/>
        <n v="1.5962563652682782E-3"/>
        <n v="-9.2430612514123878E-3"/>
        <n v="-1.6085063802527833E-3"/>
        <n v="3.6410722007788276E-2"/>
        <n v="-3.5755163206094842E-3"/>
        <n v="-3.2917147621572274E-2"/>
        <n v="-2.5649375831915178E-2"/>
        <n v="3.6258213373961512E-2"/>
        <n v="1.9172552604831195E-2"/>
        <n v="7.3676683818639788E-3"/>
        <n v="4.0460110428397478E-3"/>
        <n v="2.1698311229161327E-3"/>
        <n v="-2.551788536283639E-2"/>
        <n v="-6.1895601399972744E-3"/>
        <n v="7.3459430669700065E-3"/>
        <n v="2.853499371606949E-3"/>
        <n v="-1.4227265114818977E-3"/>
        <n v="-2.8494559603602254E-2"/>
        <n v="-1.5642638635776862E-2"/>
        <n v="-4.4694650841468064E-3"/>
        <n v="1.8124388255956747E-2"/>
        <n v="-9.7998018938849629E-4"/>
        <n v="-4.7409406236205154E-3"/>
        <n v="-2.2174652751750235E-2"/>
        <n v="-9.7431757502285388E-3"/>
        <n v="-2.765050327438312E-2"/>
        <n v="-3.4368472920362603E-2"/>
        <n v="1.1020769629834115E-2"/>
        <n v="3.2165856431501494E-2"/>
        <n v="-1.125347729228876E-2"/>
        <n v="-1.2256827808536652E-3"/>
        <n v="2.5245589063879859E-2"/>
        <n v="-1.1114766104654339E-2"/>
        <n v="6.7434166431550313E-3"/>
        <n v="1.2195448640877293E-2"/>
        <n v="-2.3078246968727512E-2"/>
        <n v="1.7368699007480615E-4"/>
        <n v="1.0767604851620982E-2"/>
        <n v="-2.3367717701396784E-2"/>
        <n v="6.3334421690333098E-3"/>
        <n v="1.1538462469262045E-2"/>
        <n v="-1.1406845016150413E-2"/>
        <n v="1.7133044520859952E-2"/>
        <n v="2.9216415853701161E-3"/>
        <n v="-2.2615154177734187E-3"/>
        <n v="-1.0113256777315782E-2"/>
        <n v="-1.4620266760998146E-2"/>
        <n v="-6.7931234261633389E-3"/>
        <n v="-2.1058308487636013E-2"/>
        <n v="-3.052012538160076E-2"/>
        <n v="1.8938812721769338E-4"/>
        <n v="4.1145204574137173E-2"/>
        <n v="8.1953730715509376E-3"/>
        <n v="1.8062896221480162E-3"/>
        <n v="-1.3523360868262002E-2"/>
        <n v="1.9375032246716994E-2"/>
        <n v="-1.0937942796941491E-2"/>
        <n v="-1.1602368928236961E-2"/>
        <n v="-1.375643721790798E-2"/>
        <n v="2.4362868748168287E-2"/>
        <n v="-3.8124997472664957E-3"/>
        <n v="-5.832092305467107E-3"/>
        <n v="-9.1659715804884856E-3"/>
        <n v="7.4014520335285994E-4"/>
        <n v="-2.0334947630240574E-3"/>
        <n v="2.5750045492771489E-2"/>
        <n v="-1.4267433349522074E-2"/>
        <n v="3.3711896352883075E-2"/>
        <n v="-1.0634605586648305E-2"/>
        <n v="-1.1823807676484943E-2"/>
        <n v="-2.6649618610728454E-2"/>
        <n v="-9.3102507070952356E-4"/>
        <n v="2.9269073950180191E-2"/>
        <n v="3.3870759126110483E-2"/>
        <n v="8.9347337915506309E-3"/>
        <n v="2.9692557215411641E-2"/>
        <n v="1.0455236406402779E-2"/>
        <n v="-6.674100371399927E-4"/>
        <n v="-1.770204933342312E-2"/>
        <n v="3.5872029291426966E-2"/>
        <n v="1.2965795068820229E-2"/>
        <n v="-1.6202322823917203E-3"/>
        <n v="-1.8338189624012458E-2"/>
        <n v="2.8102522884867476E-3"/>
        <n v="2.5057736547496878E-2"/>
        <n v="-9.970979929234236E-3"/>
        <n v="-5.1982928576175258E-3"/>
        <n v="-2.7759842330034035E-3"/>
        <n v="1.5228466444996869E-2"/>
        <n v="9.5162001944588681E-3"/>
        <n v="-4.7916809794956716E-4"/>
        <n v="1.5025466646322316E-2"/>
        <n v="5.5117800796955496E-3"/>
        <n v="-1.8167572394641507E-2"/>
        <n v="6.8591264106856453E-3"/>
        <n v="1.9486692528613014E-2"/>
        <n v="2.3154653615782284E-2"/>
        <n v="-2.597210724452359E-2"/>
        <n v="2.8066778207029852E-3"/>
        <n v="2.4882505366623509E-3"/>
        <n v="1.7992784047319965E-2"/>
        <n v="-1.2342007414346656E-2"/>
        <n v="-1.3730291956112528E-2"/>
        <n v="7.5082676265114667E-3"/>
        <n v="9.4703663263819848E-3"/>
        <n v="1.0765999463657527E-2"/>
        <n v="9.7384255346344428E-3"/>
        <n v="-1.9700538930740419E-2"/>
        <n v="1.8691284474152692E-3"/>
        <n v="-7.619279167802584E-3"/>
        <n v="8.6181123517867775E-3"/>
        <n v="1.0097680309523405E-2"/>
        <n v="-1.091971589616858E-2"/>
        <n v="-1.0884535074858981E-2"/>
        <n v="-4.6219238130587703E-2"/>
        <n v="1.3845305266725116E-2"/>
        <n v="2.6337250509699706E-2"/>
        <n v="5.5439559143535266E-3"/>
        <n v="-3.5129066400625186E-2"/>
        <n v="5.5509698599707225E-3"/>
        <n v="-2.8413690386894785E-2"/>
        <n v="-8.3558037345521363E-4"/>
        <n v="2.4920638623809221E-2"/>
        <n v="-6.3641242886370852E-3"/>
        <n v="1.1331618999493864E-2"/>
        <n v="1.1205161998941726E-2"/>
        <n v="2.8905728975603395E-3"/>
        <n v="2.5622079675438059E-3"/>
        <n v="6.3886123093042091E-3"/>
        <n v="-2.1901366227439767E-2"/>
        <n v="-1.4601133536435995E-3"/>
        <n v="-4.3876198002558153E-3"/>
        <n v="1.6322302705986669E-3"/>
        <n v="-2.1834942939455093E-2"/>
        <n v="-1.449261935066426E-2"/>
        <n v="2.265038950673004E-2"/>
        <n v="8.0994011687496315E-3"/>
        <n v="4.916890142732111E-4"/>
        <n v="1.4257854190518726E-2"/>
        <n v="-3.2317569948326907E-3"/>
        <n v="-8.7533222840155966E-3"/>
        <n v="-5.8870307967801017E-3"/>
        <n v="6.5796599474849948E-3"/>
        <n v="3.840517941834154E-2"/>
        <n v="3.7614142035893083E-2"/>
        <n v="1.2437426965670628E-2"/>
        <n v="2.3520374545616285E-2"/>
        <n v="8.1966050786086431E-3"/>
        <n v="-5.9522169988086571E-3"/>
        <n v="4.2062329692017286E-2"/>
        <n v="-2.9433289426256115E-3"/>
        <n v="-7.1690237245836119E-3"/>
        <n v="1.7556207067265017E-2"/>
        <n v="1.6836299020998258E-2"/>
        <n v="4.1028500108519772E-4"/>
        <n v="2.1885571357029843E-3"/>
        <n v="-1.5012753191419814E-2"/>
        <n v="8.5904472307669622E-3"/>
        <n v="2.9399977447625902E-2"/>
        <n v="-1.0143170554277492E-2"/>
        <n v="1.2808946379257558E-2"/>
        <n v="2.1293398891104598E-3"/>
        <n v="9.0332211911239302E-3"/>
        <n v="6.411288370220003E-2"/>
        <n v="-2.5982365240895255E-3"/>
        <n v="-1.1659767127334519E-2"/>
        <n v="2.1711956904145957E-2"/>
        <n v="1.2037950578829726E-2"/>
        <n v="-2.5852535610848215E-2"/>
        <n v="-4.7872040200354071E-3"/>
        <n v="-9.6202385507403454E-3"/>
        <n v="2.5178906937548984E-2"/>
        <n v="-1.5334813448816598E-2"/>
        <n v="-1.2534910309906722E-2"/>
        <n v="4.6161138982705463E-3"/>
        <n v="-1.5316344337601429E-3"/>
        <n v="-1.112087319364774E-2"/>
        <n v="-1.1634033311986536E-2"/>
        <n v="4.0543922815119426E-3"/>
        <n v="-1.2635268083839524E-2"/>
        <n v="2.691291060082035E-2"/>
        <n v="7.4513278693681961E-3"/>
        <n v="9.5637742775493972E-3"/>
        <n v="1.7178660467015661E-2"/>
        <n v="6.3328436971283875E-3"/>
        <n v="3.7635441576240991E-2"/>
        <n v="3.6032788137490446E-2"/>
        <n v="7.5759836237445644E-3"/>
        <n v="-5.6846610503199169E-2"/>
        <n v="3.1042260240729869E-2"/>
        <n v="-5.1545497036806776E-3"/>
        <n v="-3.5798343769745888E-2"/>
        <n v="-5.6912755575704632E-2"/>
        <n v="-3.7555197649924432E-3"/>
        <n v="2.6647683927005339E-2"/>
        <n v="-3.9250298075801382E-3"/>
        <n v="4.4870864472118743E-2"/>
        <n v="-4.3795845757285123E-3"/>
        <n v="1.5762553828371662E-2"/>
        <n v="3.0074095039647197E-3"/>
        <n v="2.1827536963304084E-2"/>
        <n v="-2.8051457575532623E-2"/>
        <n v="-5.31338288090899E-3"/>
        <n v="1.71177988917941E-2"/>
        <n v="-1.4203672705242254E-2"/>
        <n v="6.4171273501734127E-3"/>
        <n v="4.8128182995110791E-4"/>
        <n v="-5.1707840618612222E-3"/>
        <n v="1.1120592426217879E-2"/>
        <n v="1.6736437619253142E-2"/>
        <n v="2.1046352861577411E-2"/>
        <n v="-3.4431256560950807E-2"/>
        <n v="2.0870677221727973E-2"/>
        <n v="1.4135398507088226E-2"/>
        <n v="1.1749842252787523E-2"/>
        <n v="8.1975956628594915E-3"/>
        <n v="-8.9212618313850856E-3"/>
        <n v="2.2788752049440753E-3"/>
        <n v="-1.0573149958484018E-2"/>
        <n v="-2.1831319813497951E-2"/>
        <n v="-3.3713117045182428E-2"/>
        <n v="3.6476200573365425E-4"/>
        <n v="2.8557286375327839E-2"/>
        <n v="3.0245737576984677E-2"/>
        <n v="-2.2362185625400821E-2"/>
        <n v="1.3606989084602672E-2"/>
        <n v="2.0599187293798504E-2"/>
        <n v="3.9800563088054908E-2"/>
        <n v="-1.5158171913166707E-2"/>
        <n v="1.5280860198490176E-2"/>
        <n v="-7.8852524290774273E-2"/>
        <n v="6.6302028967299975E-3"/>
        <n v="2.0818465249564211E-2"/>
        <n v="4.539791306580776E-3"/>
        <n v="2.9664087935866723E-2"/>
        <n v="2.3520055392698858E-2"/>
        <n v="1.2754092104851456E-2"/>
        <n v="-1.5850510217556235E-2"/>
        <n v="5.4053802691558239E-3"/>
        <n v="7.900043149309921E-3"/>
        <n v="2.2098864387283035E-2"/>
        <n v="5.4316430481704536E-3"/>
        <n v="2.0127403846601055E-2"/>
        <n v="3.5305346470075882E-3"/>
        <n v="9.8301629051911199E-3"/>
        <n v="-1.629257138331941E-2"/>
        <n v="1.9166859690086691E-2"/>
        <n v="-1.7376614948519942E-3"/>
        <n v="1.4538717702578419E-2"/>
        <n v="-2.5230502638975416E-3"/>
        <n v="4.5831696979928394E-2"/>
        <n v="1.180228030668462E-2"/>
        <n v="-2.1607983111885609E-2"/>
        <n v="-1.8274385171018981E-2"/>
        <n v="-4.5888918310223126E-2"/>
        <n v="2.6083364882343307E-3"/>
        <n v="-1.2591037827578977E-2"/>
        <n v="-3.6884942457716452E-2"/>
        <n v="-5.7664981643481328E-2"/>
        <n v="6.2238860504078009E-2"/>
        <n v="-3.9571516096274517E-2"/>
        <n v="-3.0161632364536062E-2"/>
        <n v="1.9833382151450474E-2"/>
        <n v="2.4510872481675161E-2"/>
        <n v="2.7743195493791228E-2"/>
        <n v="-3.6939763744914589E-2"/>
        <n v="-2.8143510746822087E-2"/>
        <n v="2.2303113434320787E-2"/>
        <n v="-3.1296496636869731E-2"/>
        <n v="-1.8040338253494603E-2"/>
        <n v="3.1940274080193509E-2"/>
        <n v="1.6290943872272479E-3"/>
        <n v="-5.1117418150050664E-3"/>
        <n v="-1.3311397884438581E-2"/>
        <n v="4.0236607674108971E-3"/>
        <n v="-2.0037886041684994E-2"/>
        <n v="1.6839279038822763E-2"/>
        <n v="1.8452711764223251E-2"/>
        <n v="2.5203225247431682E-2"/>
        <n v="1.0989127973450863E-2"/>
        <n v="-1.6696535741675289E-2"/>
        <n v="-7.6353800766340019E-3"/>
        <n v="3.3302728403909132E-2"/>
        <n v="-3.8896796170071468E-3"/>
        <n v="2.1644569486628296E-2"/>
        <n v="1.1685276576449244E-2"/>
        <n v="4.6307974908432081E-2"/>
        <n v="-2.5275946020068663E-2"/>
        <n v="-4.3394656578025215E-3"/>
        <n v="-3.2422752557239143E-2"/>
        <n v="-4.2078764183124062E-2"/>
        <n v="1.4451449561695195E-2"/>
        <n v="5.6527180596159798E-3"/>
        <n v="1.8437392846180289E-2"/>
        <n v="9.4933822031777471E-3"/>
        <n v="2.8927849200890643E-2"/>
        <n v="8.6918133921947138E-3"/>
        <n v="-1.7872089380247869E-2"/>
        <n v="-9.315719816732404E-3"/>
        <n v="8.0910705229393365E-3"/>
        <n v="2.3644266257885738E-2"/>
        <n v="-3.1785222539409963E-3"/>
        <n v="-7.4421421979820046E-4"/>
        <n v="4.2442459464240301E-2"/>
        <n v="5.9182725644790768E-3"/>
        <n v="5.173386896480503E-3"/>
        <n v="-1.2311989759845599E-2"/>
        <n v="2.2989854103019791E-2"/>
        <n v="-3.8054253661839454E-2"/>
        <n v="-7.4761775577946166E-3"/>
        <n v="-1.7993360925324997E-2"/>
        <n v="1.8323054253767346E-2"/>
        <n v="-6.6953056339144057E-3"/>
        <n v="-8.5307026242023021E-3"/>
        <n v="8.1792921535430718E-3"/>
        <n v="1.6752617825636529E-2"/>
        <n v="1.1502825638870284E-2"/>
        <n v="-2.3358235680259409E-2"/>
        <n v="2.4545969452477223E-2"/>
        <n v="-2.907725807273176E-2"/>
        <n v="-1.7083359014319677E-2"/>
        <n v="-1.073086723696326E-4"/>
        <n v="-8.1542812636308248E-3"/>
        <n v="-1.6118691558887566E-2"/>
        <n v="-4.1780040694633369E-3"/>
        <n v="-5.3218707223838035E-2"/>
        <n v="-2.0641157759781925E-2"/>
        <n v="2.0957195756466485E-2"/>
        <n v="3.6389223617911748E-2"/>
        <n v="-2.0257204638876036E-3"/>
        <n v="-1.5448930728734878E-2"/>
        <n v="5.2800645521198675E-2"/>
        <n v="3.6444472284162366E-2"/>
        <n v="4.0411755227393487E-2"/>
        <n v="2.9660812079483456E-2"/>
        <n v="-1.0092062813275793E-2"/>
        <n v="-2.1676850454654728E-2"/>
        <n v="-8.4983764155270869E-3"/>
        <n v="4.387672590767222E-3"/>
        <n v="3.4948658711318359E-2"/>
        <n v="-2.6307871656990667E-2"/>
        <n v="1.4416671189815489E-2"/>
        <n v="1.7888772204399661E-3"/>
        <n v="2.966261250362856E-2"/>
        <n v="1.3489283992793588E-3"/>
        <n v="1.8570251093936951E-2"/>
        <n v="6.9902870503697478E-3"/>
        <n v="-6.7541028441480133E-3"/>
        <n v="1.1900300604412717E-2"/>
        <n v="3.8266513464226826E-3"/>
        <n v="2.9288551677735475E-2"/>
        <n v="9.9374220545223046E-4"/>
        <n v="9.927242658039015E-3"/>
        <n v="-2.0552398111383097E-2"/>
        <n v="1.3593520181350627E-2"/>
        <n v="1.0890945868357704E-2"/>
        <n v="1.1842399240131085E-2"/>
        <n v="3.1679194787748166E-3"/>
        <n v="-4.4736868607645586E-2"/>
        <n v="1.4692475138161187E-2"/>
        <n v="3.122162703355591E-2"/>
        <n v="2.91955425848478E-3"/>
        <n v="6.7034182638465722E-3"/>
        <n v="-1.0689355512640275E-2"/>
        <n v="1.3283408157416243E-3"/>
        <n v="-8.6679778043236011E-3"/>
        <n v="-9.9036562674005291E-3"/>
        <n v="2.8926784187291554E-2"/>
        <n v="-4.9922011969522062E-3"/>
        <n v="-3.5208227120709923E-3"/>
        <n v="-3.0032656767383203E-2"/>
        <n v="6.6480143958986826E-3"/>
        <n v="7.2370538279979968E-3"/>
        <n v="-4.849939380601076E-3"/>
        <n v="-8.4837677254568922E-3"/>
        <n v="-2.7398707302442205E-2"/>
        <n v="-2.7795782796249946E-2"/>
        <n v="-2.2141797372735583E-3"/>
        <n v="7.4289426925713276E-3"/>
        <n v="-8.4275175403203395E-3"/>
        <n v="2.4628118691025769E-2"/>
        <n v="1.0934130331053282E-2"/>
        <n v="-7.3658183198976879E-3"/>
        <n v="-9.5812393789422856E-3"/>
        <n v="-7.0183027240510176E-3"/>
        <n v="4.489188821915624E-3"/>
        <n v="1.4452649168311904E-2"/>
        <n v="1.2841043722984002E-2"/>
        <n v="-2.0173929790275325E-2"/>
        <n v="2.6444991567027065E-2"/>
        <n v="1.3894022797092731E-2"/>
        <n v="-1.6426120395730881E-2"/>
        <n v="7.5659034156148053E-3"/>
        <n v="1.0073196979202281E-2"/>
        <n v="-3.4360812309440658E-2"/>
        <n v="2.9105295488538463E-3"/>
        <n v="2.2374123393894996E-2"/>
        <n v="1.2086745330940118E-2"/>
        <n v="-1.8637504541230143E-2"/>
        <n v="1.4935030018330187E-2"/>
        <n v="1.1626713147394829E-2"/>
        <n v="1.6611325280296629E-2"/>
        <n v="-6.1819020093878407E-4"/>
        <n v="-1.9443249586339473E-3"/>
        <n v="-2.0543657765385248E-2"/>
        <n v="6.418881971918422E-3"/>
        <n v="1.8235747947250802E-2"/>
        <n v="-5.2050494917387224E-3"/>
        <n v="9.3118276624368779E-3"/>
        <n v="-5.2720286738437983E-3"/>
        <n v="4.0190939467573239E-2"/>
        <n v="-1.8257427649015501E-2"/>
        <n v="-1.7732205831416992E-2"/>
        <n v="2.1574534125152978E-2"/>
        <n v="-1.0947275664779932E-2"/>
        <n v="-3.1288179092962221E-2"/>
        <n v="6.9275866416025345E-3"/>
        <n v="-1.6975668285883483E-3"/>
        <n v="2.8550783517524714E-2"/>
        <n v="-8.7016454810927568E-3"/>
        <n v="3.774660679681352E-3"/>
        <n v="4.2151205781812751E-2"/>
        <n v="-3.8896507184447149E-3"/>
        <n v="-1.1714808275616218E-2"/>
        <n v="-3.0064241189377006E-3"/>
        <n v="-2.9291075852284632E-3"/>
        <n v="-3.845172409991815E-2"/>
        <n v="-9.8841433134611023E-4"/>
        <n v="-1.2953136418138111E-2"/>
        <n v="9.2042103856970758E-3"/>
        <n v="9.0540035357911108E-5"/>
        <n v="-1.8058434552208347E-3"/>
        <n v="-5.7893392448392644E-3"/>
        <n v="8.9165563698092587E-3"/>
        <n v="4.5990943730491729E-3"/>
        <n v="1.2656996134917886E-2"/>
        <n v="8.8644889598432641E-3"/>
        <n v="-1.9330490432707848E-2"/>
        <n v="-1.4604473025019549E-2"/>
        <n v="-7.7286859334303459E-3"/>
        <n v="-1.2370510876333229E-2"/>
        <n v="-1.1504945580658732E-2"/>
        <n v="3.754566228577616E-3"/>
        <n v="-4.9747551982833871E-2"/>
        <n v="-5.8059372611297677E-3"/>
        <n v="-1.177884311834243E-2"/>
        <n v="2.6141812208883008E-2"/>
        <n v="4.4802542819015967E-2"/>
        <n v="-2.2888754912557929E-2"/>
        <n v="-1.1281974203040668E-2"/>
        <n v="1.160429382883521E-3"/>
        <n v="2.1925922642305196E-2"/>
        <n v="1.247637185665873E-2"/>
        <n v="1.717694630253952E-2"/>
        <n v="4.8642038445598779E-3"/>
        <n v="1.5525295839271536E-3"/>
        <n v="5.9000555227142204E-2"/>
        <n v="-9.5582744040723089E-3"/>
        <n v="1.7127566015805229E-2"/>
        <n v="-1.6582555437113178E-2"/>
        <n v="-4.4327254541230987E-3"/>
        <n v="7.0715221092896297E-3"/>
        <n v="-1.0401638490027398E-3"/>
        <n v="4.686094111393091E-3"/>
        <n v="2.4186877744256652E-3"/>
        <n v="-1.1633010717170378E-2"/>
        <n v="1.9529335657708646E-2"/>
        <n v="-3.164022183666626E-3"/>
        <n v="-7.9780949631065301E-3"/>
        <n v="3.1996656840260762E-3"/>
        <n v="1.8877481732969326E-2"/>
        <n v="-1.4213057210438307E-2"/>
        <n v="-9.1828946230398945E-3"/>
        <n v="1.1953116071327319E-2"/>
        <n v="1.2924807515965142E-2"/>
        <n v="-3.101231129971771E-2"/>
        <n v="-3.9853577737806956E-2"/>
        <n v="-1.9709443212253652E-2"/>
        <n v="-1.7511176430969111E-2"/>
        <n v="2.4896268240515385E-2"/>
        <n v="3.9565373349559341E-3"/>
        <n v="2.7497153958266907E-4"/>
        <n v="-1.2827536289756747E-2"/>
        <n v="-1.8099149075194498E-2"/>
        <n v="-9.4614584777552579E-5"/>
        <n v="1.9072025591253539E-3"/>
        <n v="-2.4269695491486276E-2"/>
        <n v="2.2434755493680791E-2"/>
        <n v="9.0630878831388095E-3"/>
        <n v="4.6327343188465875E-3"/>
        <n v="-1.2139908638534092E-2"/>
        <n v="1.3622834607337042E-2"/>
        <n v="1.118428537259919E-2"/>
        <n v="-1.7938482093116437E-2"/>
        <n v="-6.5303386995093637E-3"/>
        <n v="-8.8596945075700706E-3"/>
        <n v="-1.7877780690531475E-2"/>
        <n v="1.1548246807326246E-2"/>
        <n v="2.3219712663950176E-2"/>
        <n v="-4.4439125693690462E-3"/>
        <n v="8.1679666686527153E-3"/>
        <n v="2.242093010386581E-2"/>
        <n v="-3.1325608784906755E-3"/>
        <n v="-7.394548672121859E-3"/>
        <n v="-9.0325820962922077E-3"/>
        <n v="1.8800625389991943E-4"/>
        <n v="-1.2025353504146463E-2"/>
        <n v="6.9415014998726043E-3"/>
        <n v="-7.1771102050762758E-3"/>
        <n v="-2.2924056407627069E-2"/>
        <n v="1.119549482895521E-2"/>
        <n v="-5.4878001440783475E-3"/>
        <n v="-8.7123592683994167E-3"/>
        <n v="1.8457063072850888E-2"/>
        <n v="2.493103268927932E-3"/>
        <n v="8.1301354286433813E-3"/>
        <n v="1.2333914649175215E-2"/>
        <n v="5.1545752026045388E-3"/>
        <n v="1.9581156374131048E-3"/>
        <n v="-5.1181199393078858E-3"/>
        <n v="-3.732124005442361E-2"/>
        <n v="2.3319724524724084E-3"/>
        <n v="1.4831264038975611E-2"/>
        <n v="1.2226693959263235E-2"/>
        <n v="4.9069967198305253E-3"/>
        <n v="-1.8311583080677374E-2"/>
        <n v="-3.4436550498585627E-2"/>
        <n v="4.3590886641244886E-3"/>
        <n v="-4.5375222241632596E-3"/>
        <n v="6.9363077629620573E-3"/>
        <n v="1.7614630925237851E-2"/>
        <n v="4.6416804285194235E-3"/>
        <n v="1.5689564279814938E-2"/>
        <n v="1.5163151699173483E-3"/>
        <n v="-5.5828914598509138E-3"/>
        <n v="3.1401914211450777E-3"/>
        <n v="-1.1952318594078193E-2"/>
        <n v="2.9570247593083687E-2"/>
        <n v="-5.7815693785554512E-3"/>
        <n v="-1.2474224505946485E-2"/>
        <n v="1.7380541078915179E-2"/>
        <n v="2.8005555308139307E-3"/>
        <n v="-2.0479472205534588E-3"/>
        <n v="4.9440532589755115E-3"/>
        <n v="1.6986805917575509E-2"/>
        <n v="5.1114434442938173E-3"/>
        <n v="1.5528458305281045E-2"/>
        <n v="8.0468226246810381E-4"/>
        <n v="-2.5673154846756585E-2"/>
        <n v="-1.6827088307709293E-2"/>
        <n v="1.9371918766031948E-2"/>
        <n v="1.5129064591908659E-2"/>
        <n v="-1.2086502216069106E-2"/>
        <n v="-5.6112450434969707E-3"/>
        <n v="-8.788217076820537E-3"/>
        <n v="-7.4661979257112376E-3"/>
        <n v="1.7865578552533901E-2"/>
        <n v="8.4065895005480673E-3"/>
        <n v="5.9544832206597231E-3"/>
        <n v="9.7441225693075673E-3"/>
        <n v="2.7958952430751083E-3"/>
        <n v="2.0954971957711122E-2"/>
        <n v="8.8111869440243851E-5"/>
        <n v="8.6322000633638485E-3"/>
        <n v="-4.8905752716179585E-3"/>
        <n v="1.4567903442096686E-2"/>
        <n v="-1.2542192565602295E-2"/>
        <n v="2.9169531334239274E-2"/>
        <n v="-8.9368356028717288E-3"/>
        <n v="1.7863113456342505E-2"/>
        <n v="-1.5355999657022168E-2"/>
        <n v="8.0549467333586033E-3"/>
        <n v="-2.6351618145664668E-3"/>
        <n v="-7.926372718415009E-3"/>
        <n v="-1.4089339100020859E-2"/>
        <n v="1.5683628124940618E-3"/>
        <n v="1.1223443787993226E-2"/>
        <n v="1.5487444123323257E-3"/>
        <n v="3.2557166653731873E-2"/>
        <n v="-6.0731634707992255E-3"/>
        <n v="-1.5820024711146519E-2"/>
        <n v="-1.6584379210729305E-2"/>
        <n v="1.7296433595390681E-3"/>
        <n v="-3.7382404484161302E-2"/>
        <n v="-2.2511083827816969E-2"/>
        <n v="-1.6698944675210048E-2"/>
        <n v="3.4991179357772184E-2"/>
        <n v="-4.2371916439399859E-3"/>
        <n v="-3.5853375091999817E-2"/>
        <n v="-1.8785724304326568E-4"/>
        <n v="3.1933982026528751E-2"/>
        <n v="7.2815898541445101E-4"/>
        <n v="1.3096865344192077E-2"/>
        <n v="1.4004888933232706E-2"/>
        <n v="6.1967193391532227E-4"/>
        <n v="-1.7165151559849323E-2"/>
        <n v="-1.4674078644378308E-2"/>
        <n v="-9.6847839264754265E-3"/>
        <n v="1.8450208865963269E-3"/>
        <n v="-9.1167009205558314E-3"/>
        <n v="-1.9051955525222652E-2"/>
        <n v="3.1262915037093553E-3"/>
        <n v="-2.832502786578317E-4"/>
        <n v="-1.9840296076429897E-3"/>
        <n v="3.2847594944618308E-2"/>
        <n v="-1.2189597057137402E-2"/>
        <n v="-1.7721422279008969E-2"/>
        <n v="-1.5679487537360925E-2"/>
        <n v="-1.2282920763781457E-2"/>
        <n v="2.9145008318143262E-4"/>
        <n v="7.672888589991711E-3"/>
        <n v="1.0506010564440116E-2"/>
        <n v="3.8502465079710557E-3"/>
        <n v="-6.0408613751514739E-3"/>
        <n v="-1.1576287653540018E-2"/>
        <n v="2.4399751313766149E-2"/>
        <n v="-4.3825297529599405E-3"/>
        <n v="-3.8275314641622593E-4"/>
        <n v="-4.3079810706653232E-3"/>
        <n v="5.3841099609803766E-3"/>
        <n v="-5.8334376543123234E-3"/>
        <n v="-5.7695147476144459E-4"/>
        <n v="-1.5014617609017566E-2"/>
        <n v="3.908642253903416E-3"/>
        <n v="2.4333901571012007E-3"/>
        <n v="-5.4375136350994779E-3"/>
        <n v="-1.9427805300017864E-2"/>
        <n v="-1.3242013532333674E-2"/>
        <n v="-6.9617736759779447E-3"/>
        <n v="1.1481383082884822E-2"/>
        <n v="7.032496149768086E-4"/>
        <n v="-1.5759861502496086E-2"/>
        <n v="8.8728117707606025E-3"/>
        <n v="2.6890563375018717E-2"/>
        <n v="-6.6940932210446391E-3"/>
        <n v="7.4328810182542338E-3"/>
        <n v="1.3182636019958505E-2"/>
        <n v="-1.6700743782779415E-2"/>
        <n v="4.5422991412191749E-3"/>
        <n v="1.7694520808593239E-3"/>
        <n v="2.2567227865961659E-3"/>
        <n v="-4.6992447423579442E-3"/>
        <n v="-1.4459995612512877E-2"/>
        <n v="-2.0961054043480143E-3"/>
        <n v="2.3804814871375424E-2"/>
        <n v="8.401726365381279E-3"/>
        <n v="-8.7193058762602416E-3"/>
        <n v="3.0295778087543468E-3"/>
        <n v="-1.6661614194528274E-2"/>
        <n v="-1.2386123097670176E-2"/>
        <n v="-9.8323022326719522E-3"/>
        <n v="-2.0281221668427829E-4"/>
        <n v="1.2972637119864405E-2"/>
        <n v="-2.2611176661843091E-2"/>
        <n v="-7.2680253005853457E-3"/>
        <n v="-1.8560323201177731E-3"/>
        <n v="1.5495409211365718E-3"/>
        <n v="-1.3409495458052145E-3"/>
        <n v="1.1257833355249991E-2"/>
        <n v="1.7260828632938097E-2"/>
        <n v="2.5401702817693383E-2"/>
        <n v="8.5185159164520297E-3"/>
        <n v="1.2621851452747634E-3"/>
        <n v="1.6677913206377015E-2"/>
        <n v="-1.9456366328553409E-2"/>
        <n v="-4.0850529812008762E-3"/>
        <n v="-4.1018905739877987E-3"/>
        <n v="-4.1189490228406012E-3"/>
        <n v="6.8930069722084042E-3"/>
        <n v="-2.9325934341906112E-4"/>
        <n v="1.7119975317852143E-2"/>
        <n v="-2.1160099249529774E-2"/>
        <n v="1.3756459856435255E-2"/>
        <n v="-8.6089412979457602E-3"/>
        <n v="-4.9338548582829045E-3"/>
        <n v="2.8659466113252208E-2"/>
        <n v="0"/>
        <n v="-9.4476542639242433E-3"/>
        <n v="2.0437823840032898E-2"/>
        <n v="-8.5826115784837231E-4"/>
        <n v="-8.7820474226142364E-3"/>
        <n v="3.9484604077264507E-3"/>
        <n v="-2.1103456894361328E-3"/>
        <n v="2.7876951096541536E-3"/>
        <n v="1.9171655174552438E-3"/>
        <n v="1.2629127831630171E-2"/>
        <n v="-1.3983234489630125E-2"/>
        <n v="1.2265107752283733E-2"/>
        <n v="1.0696785666692188E-2"/>
        <n v="5.6195968876244784E-3"/>
        <n v="9.4066858762824612E-3"/>
        <n v="5.9051253415691729E-3"/>
        <n v="-6.4208743626421594E-3"/>
        <n v="1.1170632702346861E-2"/>
        <n v="1.7712093573324594E-2"/>
        <n v="-1.7942671551445244E-3"/>
        <n v="9.2568440848683764E-3"/>
        <n v="7.0345130150708535E-3"/>
        <n v="-8.8409968463321054E-4"/>
        <n v="4.4251416524532239E-3"/>
        <n v="1.0221084255822799E-2"/>
        <n v="-7.5009558882536131E-3"/>
        <n v="1.0369868624406031E-2"/>
        <n v="1.1046512045935986E-2"/>
        <n v="6.4521611802885737E-3"/>
        <n v="1.9574243838824668E-2"/>
        <n v="1.6771319934072437E-4"/>
        <n v="3.5204858155402086E-3"/>
        <n v="1.378231096551441E-2"/>
        <n v="-6.7564005621491008E-3"/>
        <n v="5.2260069188654334E-3"/>
        <n v="8.4172178663037833E-3"/>
        <n v="-3.3550191481516167E-3"/>
        <n v="-1.1659514484187561E-2"/>
        <n v="-5.732336752361844E-3"/>
        <n v="-8.271916236893051E-3"/>
        <n v="-5.0564064425862032E-4"/>
        <n v="-9.2726776966489677E-4"/>
        <n v="1.1474978545705561E-2"/>
        <n v="5.6723986203812693E-3"/>
        <n v="3.8984550376610638E-3"/>
        <n v="1.6521988280238098E-4"/>
        <n v="2.3131059935479481E-3"/>
        <n v="-2.7775381801636967E-2"/>
        <n v="1.4241909229307792E-2"/>
        <n v="-1.1451021989720922E-2"/>
        <n v="-1.8939746060973262E-2"/>
        <n v="1.8100290255818052E-3"/>
        <n v="-2.0646944223097208E-3"/>
        <n v="6.4655104837216815E-3"/>
        <n v="-4.9679466755029322E-3"/>
        <n v="-1.7220306641019256E-4"/>
        <n v="1.9716020974245074E-2"/>
        <n v="-4.0526163821180683E-3"/>
        <n v="-4.2397480090006212E-4"/>
        <n v="6.0703889168465253E-3"/>
        <n v="7.7335227283814589E-3"/>
        <n v="-5.98745749842855E-3"/>
        <n v="1.5016441450654394E-2"/>
        <n v="-8.1076728007950516E-3"/>
        <n v="-6.9098661883244539E-3"/>
        <n v="-2.0110346332406492E-2"/>
        <n v="-1.7059151580460785E-2"/>
        <n v="-7.9296813455698167E-4"/>
        <n v="1.2696329873951306E-2"/>
        <n v="-1.0708856250176146E-2"/>
        <n v="3.1682345232493248E-3"/>
        <n v="2.8686762775488761E-2"/>
        <n v="-2.3963983292042634E-2"/>
        <n v="-1.5552573977645534E-2"/>
        <n v="3.9940366006003813E-3"/>
        <n v="7.514117966433087E-3"/>
        <n v="-1.0704563809332046E-2"/>
        <n v="2.9267848522227524E-3"/>
        <n v="-8.0473596071957143E-3"/>
        <n v="-1.105470963906674E-2"/>
        <n v="-8.0231154190560927E-3"/>
        <n v="-8.4514260961849885E-3"/>
        <n v="-6.8737956390834132E-3"/>
        <n v="9.4130352891961255E-3"/>
        <n v="2.15762375988231E-2"/>
        <n v="-8.7703379207957344E-3"/>
        <n v="2.9703821305928413E-2"/>
        <n v="2.8057814699937733E-3"/>
        <n v="3.4980411973029035E-4"/>
        <n v="4.2828315840284237E-3"/>
        <n v="1.9145841959598009E-3"/>
        <n v="-1.3897446234742983E-3"/>
        <n v="-6.7850667047842927E-3"/>
        <n v="5.0797744486497098E-3"/>
        <n v="-1.2112221700779746E-2"/>
        <n v="-1.0496712210089298E-2"/>
        <n v="-1.1053579243266776E-2"/>
        <n v="8.8335819504421487E-3"/>
        <n v="1.1883563801650121E-2"/>
        <n v="1.7652315845539945E-4"/>
        <n v="1.7127253123484953E-2"/>
        <n v="7.2042149863984495E-3"/>
        <n v="1.3788392836700858E-2"/>
        <n v="9.86059827161756E-3"/>
        <n v="-2.2979819244260402E-2"/>
        <n v="-6.8924849632221452E-3"/>
        <n v="-1.6136011625912605E-2"/>
        <n v="1.4108221330327186E-2"/>
        <n v="2.1041566301438941E-2"/>
        <n v="-8.5147786293715555E-4"/>
        <n v="-1.0483416870568196E-2"/>
        <n v="1.7829497222360269E-2"/>
        <n v="3.5543119573155924E-3"/>
        <n v="-1.3829261293902495E-2"/>
        <n v="-5.9856497255550423E-4"/>
        <n v="-1.8052663171391314E-2"/>
        <n v="-5.3148671172479345E-3"/>
        <n v="1.3314637050459766E-2"/>
        <n v="1.9104358611542027E-2"/>
        <n v="8.1430293017736854E-3"/>
        <n v="1.262370935042334E-3"/>
        <n v="-9.57998000613558E-3"/>
        <n v="9.2483189286229894E-3"/>
        <n v="6.1865308254940299E-3"/>
        <n v="-4.7168088839090183E-3"/>
        <n v="3.046550448295493E-3"/>
        <n v="-3.3324828150936736E-2"/>
        <n v="-6.3712580971841959E-3"/>
        <n v="7.7296146017087342E-3"/>
        <n v="1.3858556452953641E-2"/>
        <n v="2.1406421800664432E-2"/>
        <n v="-9.5109321700797E-3"/>
        <n v="-9.8573216184986157E-3"/>
        <n v="1.3817395721861248E-2"/>
        <n v="-1.6082815343789747E-3"/>
        <n v="-2.0942856865004744E-2"/>
        <n v="-1.2211060724420242E-2"/>
        <n v="-7.8028884208777294E-3"/>
        <n v="-4.6831733162265854E-3"/>
        <n v="2.1040525960792644E-2"/>
        <n v="-3.6431793216626818E-2"/>
        <n v="-9.925881971943662E-3"/>
        <n v="1.3762368082498089E-2"/>
        <n v="-7.19317026181443E-4"/>
        <n v="1.4035095679630016E-2"/>
        <n v="1.304226861599922E-2"/>
        <n v="3.5033778144624161E-3"/>
        <n v="1.2392947139039157E-2"/>
        <n v="-6.2931257367825344E-3"/>
        <n v="1.8131518626623322E-2"/>
        <n v="-2.6414512386784272E-3"/>
        <n v="-1.9478976605616594E-2"/>
        <n v="-1.7164813121811839E-2"/>
        <n v="2.677310477873962E-2"/>
        <n v="1.2087844710690687E-2"/>
        <n v="2.3118894714285299E-2"/>
        <n v="1.3257600678476589E-2"/>
        <n v="8.7228914920680634E-3"/>
        <n v="1.8355282345442481E-2"/>
        <n v="4.3260138571632467E-3"/>
        <n v="-2.6561301187324249E-2"/>
        <n v="4.0945111554924196E-4"/>
        <n v="8.6004175451581677E-3"/>
        <n v="3.8167580907688681E-3"/>
        <n v="3.8023116449117378E-3"/>
        <n v="-3.006129817234382E-2"/>
        <n v="2.5758942903972848E-3"/>
        <n v="-2.5692761067435121E-3"/>
        <n v="-2.8250283030026857E-3"/>
        <n v="5.8311772843944176E-4"/>
        <n v="5.1633729068636391E-3"/>
        <n v="-3.5625427694510048E-3"/>
        <n v="-5.6540850795134823E-3"/>
        <n v="-8.3608707440130381E-4"/>
        <n v="-4.9377359078842664E-3"/>
        <n v="-1.362482693943956E-2"/>
        <n v="-5.0305735831838172E-3"/>
        <n v="7.7112315949423582E-4"/>
        <n v="-1.5670464353422009E-2"/>
        <n v="3.1839874322431072E-2"/>
        <n v="2.9509629497750378E-3"/>
        <n v="1.7148634973770838E-2"/>
        <n v="1.2396506148271147E-3"/>
        <n v="-3.302761139201138E-4"/>
        <n v="-5.2843502580482982E-3"/>
        <n v="-9.9615104736983096E-4"/>
        <n v="9.3060948615264483E-3"/>
        <n v="6.6416945736613719E-4"/>
        <n v="-1.0368300459872137E-2"/>
        <n v="8.3813669019894288E-3"/>
        <n v="-1.3963913970519437E-2"/>
        <n v="1.4246067146516106E-2"/>
        <n v="1.338098180218128E-2"/>
        <n v="-1.1481765815118949E-3"/>
        <n v="-1.4943784511556202E-2"/>
        <n v="-1.6670785774451136E-2"/>
        <n v="-2.62778235426675E-3"/>
        <n v="2.5496776748816785E-3"/>
        <n v="-9.3245179146261847E-4"/>
        <n v="-1.5274907951425831E-3"/>
        <n v="-2.8809330357602136E-2"/>
        <n v="4.3752412726034695E-3"/>
        <n v="-1.0541913867613939E-2"/>
        <n v="-5.8994883307077473E-3"/>
        <n v="-2.0372416171559049E-3"/>
        <n v="-6.6566066995141782E-3"/>
        <n v="-8.9352884710469649E-4"/>
        <n v="-8.7641253490641224E-3"/>
        <n v="-2.1381992941965189E-2"/>
        <n v="-4.2408880337424515E-3"/>
        <n v="-1.472077570611896E-2"/>
        <n v="-8.5510784998572564E-3"/>
        <n v="3.4119736417006497E-3"/>
        <n v="4.0615465746898227E-3"/>
        <n v="9.407690443494765E-4"/>
        <n v="8.4578260520751236E-4"/>
        <n v="-9.3719647183743149E-5"/>
        <n v="-6.7618584840104523E-3"/>
        <n v="1.7114135891762139E-2"/>
        <n v="-2.4168963133180954E-3"/>
        <n v="5.1252659846812154E-3"/>
        <n v="-1.1125949200773144E-3"/>
        <n v="9.3744339189085757E-3"/>
        <n v="-1.6735665059086524E-2"/>
        <n v="-3.6472693165725545E-3"/>
        <n v="2.5811998329741126E-2"/>
        <n v="3.9345226103459918E-3"/>
        <n v="1.6314165317208751E-2"/>
        <n v="-1.7038383283239922E-3"/>
        <n v="8.9831577931172024E-3"/>
        <n v="-7.5676950774998808E-3"/>
        <n v="-1.7403857358649577E-2"/>
        <n v="5.6606143240127693E-3"/>
        <n v="-1.3526965082502507E-2"/>
        <n v="1.3896445950312586E-2"/>
        <n v="-1.9333638958744959E-2"/>
        <n v="5.8310553206473159E-3"/>
        <n v="8.2820420187121879E-3"/>
        <n v="-2.5006822184492017E-2"/>
        <n v="2.4337886535574782E-3"/>
        <n v="2.6799720642401992E-2"/>
        <n v="-7.2749119141335417E-4"/>
        <n v="-1.319615751859371E-2"/>
        <n v="4.2423037463885649E-3"/>
        <n v="1.9101894503797734E-2"/>
        <n v="6.3079563162338204E-3"/>
        <n v="-3.0086674511006328E-2"/>
        <n v="7.2659424163894482E-3"/>
        <n v="1.0172982861895719E-3"/>
        <n v="1.7553537654496187E-2"/>
        <n v="1.452795156826836E-3"/>
        <n v="1.5412450205564809E-2"/>
        <n v="-1.1696302669203629E-2"/>
        <n v="5.2396178043843111E-3"/>
        <n v="-1.3840052853232976E-2"/>
        <n v="-2.4606152172053086E-3"/>
        <n v="6.3036525855846293E-3"/>
        <n v="1.0712683397823719E-2"/>
        <n v="-3.2066767301640153E-2"/>
        <n v="-2.0416565312305623E-3"/>
        <n v="-1.9527585215360577E-2"/>
        <n v="2.0675283276665901E-2"/>
        <n v="1.3008687418052389E-2"/>
        <n v="2.5499969229954456E-2"/>
        <n v="-2.3613622448687477E-2"/>
        <n v="-2.7485373305513594E-4"/>
        <n v="-4.215094072789638E-3"/>
        <n v="2.9722977557652186E-2"/>
        <n v="1.6622021081863059E-2"/>
        <n v="-1.054888653610031E-3"/>
        <n v="1.5575528463974697E-2"/>
        <n v="4.2456998915985089E-3"/>
        <n v="-3.4511401147016008E-3"/>
        <n v="2.5973187971175538E-3"/>
        <n v="6.8219911311560022E-3"/>
        <n v="1.4409555744230529E-2"/>
        <n v="-3.2130191609424097E-3"/>
        <n v="-1.3572216278001648E-3"/>
        <n v="1.0192826556760348E-2"/>
        <n v="9.2491773839720182E-4"/>
        <n v="-3.1082670593284289E-3"/>
        <n v="-5.2582725023364252E-2"/>
        <n v="-7.1955955633296265E-2"/>
        <n v="-1.3417626350432421E-2"/>
        <n v="-2.1080147222183432E-2"/>
        <n v="4.9915590713438984E-2"/>
        <n v="-5.5481959969661543E-2"/>
        <n v="3.2122531408219857E-2"/>
        <n v="2.4236953845739873E-3"/>
        <n v="-2.8048621839298349E-3"/>
        <n v="1.0572269488358543E-2"/>
        <n v="2.6202094988724722E-2"/>
        <n v="-1.4683816009169237E-2"/>
        <n v="2.8001947103486247E-2"/>
        <n v="-8.587313435205024E-3"/>
        <n v="1.1735042321284084E-2"/>
        <n v="-5.5224228993722146E-4"/>
        <n v="5.5254742999522044E-4"/>
        <n v="-2.4853847554184849E-3"/>
        <n v="-2.5193910287868437E-2"/>
        <n v="1.4201191495031296E-3"/>
        <n v="4.0650234415622322E-3"/>
        <n v="-2.7681023931133031E-2"/>
        <n v="1.3943969829479208E-2"/>
        <n v="-9.5491165883443418E-4"/>
        <n v="1.3956534298799728E-2"/>
        <n v="1.1690395076956683E-2"/>
        <n v="1.723985297267161E-2"/>
        <n v="2.7482443095130371E-3"/>
        <n v="-8.9529735843008051E-3"/>
        <n v="1.0140381063907355E-2"/>
        <n v="-3.5918030413421009E-3"/>
        <n v="-1.5897887566349578E-2"/>
        <n v="-1.4276410641527404E-2"/>
        <n v="-1.2291457111154425E-2"/>
        <n v="-6.6563765789899865E-3"/>
        <n v="5.8259026975004957E-4"/>
        <n v="4.7559090676276838E-3"/>
        <n v="-1.3620467724668184E-2"/>
        <n v="5.6801207181820246E-3"/>
        <n v="-3.7978181141418155E-3"/>
        <n v="7.3313513832122812E-3"/>
        <n v="7.2779938529115018E-3"/>
        <n v="-1.4450814764795483E-2"/>
        <n v="-4.5943517442263992E-3"/>
        <n v="2.3961415973934974E-2"/>
        <n v="6.7133367078342499E-3"/>
        <n v="2.1434770291657745E-2"/>
        <n v="1.9492550317641077E-2"/>
        <n v="3.8423248533550058E-3"/>
        <n v="2.1780746750510671E-2"/>
        <n v="3.2108395977354931E-3"/>
        <n v="1.3513527792749169E-2"/>
        <n v="-7.1052152360457921E-3"/>
        <n v="1.3340348502516752E-2"/>
        <n v="-2.5806511334361959E-2"/>
        <n v="-3.0427732230226767E-2"/>
        <n v="2.7689333865299481E-4"/>
        <n v="1.4948832416302071E-2"/>
        <n v="-5.5459203429054638E-3"/>
        <n v="-1.4445042482862491E-2"/>
        <n v="1.3357897858762957E-2"/>
        <n v="1.6569206930234781E-2"/>
        <n v="1.035557654236241E-2"/>
        <n v="-9.7147028566999527E-3"/>
        <n v="2.7720287767157181E-2"/>
        <n v="-3.4153422558744762E-3"/>
        <n v="9.9295930573408686E-3"/>
        <n v="4.3504126314879432E-3"/>
        <n v="-1.3081471475740569E-2"/>
        <n v="-8.8658121798831369E-3"/>
        <n v="-6.0225000940355988E-3"/>
        <n v="-5.0788346518332306E-3"/>
        <n v="-3.4837933403864429E-2"/>
        <n v="2.5981534861856392E-3"/>
        <n v="4.5348760125003551E-3"/>
        <n v="1.2806408584492113E-2"/>
        <n v="7.8231613927342014E-3"/>
        <n v="-3.5201547094406704E-3"/>
        <n v="9.4202160033072246E-3"/>
        <n v="1.29217989312429E-2"/>
        <n v="-8.6818085779205578E-3"/>
        <n v="-2.3235381338110317E-3"/>
        <n v="-1.7914685242619188E-2"/>
        <n v="-2.0704111950948456E-2"/>
        <n v="-1.210784729013592E-3"/>
        <n v="-6.8070708301398719E-3"/>
        <n v="-5.2579269136404649E-3"/>
        <n v="8.0228085072266975E-3"/>
        <n v="-9.0824992382468883E-3"/>
        <n v="2.8346799329577177E-3"/>
        <n v="1.3851050218008476E-2"/>
        <n v="-2.0446631427415429E-3"/>
        <n v="9.3993666016412014E-4"/>
        <n v="2.159868452820346E-3"/>
        <n v="6.5591374673543701E-3"/>
        <n v="1.0333345075244749E-2"/>
        <n v="6.4498927308487275E-3"/>
        <n v="1.8767710014375494E-2"/>
        <n v="4.1336543051868624E-3"/>
        <n v="-2.2373335620901047E-3"/>
        <n v="1.1301601169894981E-2"/>
        <n v="5.3213603537693999E-3"/>
        <n v="8.2930112823713653E-3"/>
        <n v="3.4997948246915378E-3"/>
        <n v="-2.423919174949174E-2"/>
        <n v="4.3784277603613475E-3"/>
        <n v="-2.820276567218416E-2"/>
        <n v="5.6760447839392381E-3"/>
        <n v="7.2826477610168361E-3"/>
        <n v="1.6719432674190626E-2"/>
        <n v="-3.2000790494473019E-3"/>
        <n v="1.7844625466922892E-4"/>
        <n v="1.6939220528477961E-3"/>
        <n v="2.0738775737513482E-2"/>
        <n v="5.3191551263254144E-3"/>
        <n v="-1.1796336576201938E-2"/>
        <n v="-9.7427555865234883E-3"/>
        <n v="-7.0910003477134831E-3"/>
        <n v="1.7229013573919927E-2"/>
        <n v="5.3532315014612752E-3"/>
        <n v="8.9908819309527654E-3"/>
        <n v="1.4101655583306449E-2"/>
        <n v="-2.559286555507978E-2"/>
        <n v="-1.2869840023946089E-2"/>
        <n v="-6.7407193521680231E-3"/>
        <n v="-6.2504793097322153E-3"/>
        <n v="1.770143228682608E-2"/>
        <n v="8.2994624206327305E-3"/>
        <n v="5.2540707189807634E-4"/>
        <n v="-2.1004559496164976E-3"/>
        <n v="-9.7350654315154772E-3"/>
        <n v="-1.9307426241771508E-2"/>
        <n v="1.3636697500597261E-2"/>
        <n v="4.4554331139101677E-4"/>
        <n v="-6.0557816498466588E-3"/>
        <n v="-8.6910636367896199E-3"/>
        <n v="1.446136764438144E-2"/>
        <n v="4.0983689687545954E-3"/>
        <n v="8.8744952717823011E-5"/>
        <n v="1.774469910886789E-2"/>
        <n v="1.1071340310945033E-2"/>
        <n v="-5.0870633489452644E-3"/>
        <n v="4.7665055221319808E-3"/>
        <n v="-7.8489570238844397E-3"/>
        <n v="1.2344547451220489E-2"/>
        <n v="-1.5113708429093875E-2"/>
        <n v="-2.877289998729049E-3"/>
        <n v="-5.2466507285751085E-3"/>
        <n v="3.3403334219184178E-3"/>
        <n v="-4.0300779143352949E-3"/>
        <n v="7.2132474813333403E-3"/>
        <n v="2.3755451736784172E-2"/>
        <n v="8.5309551850263343E-3"/>
        <n v="1.3195797696841538E-2"/>
        <n v="-1.3858733605464524E-2"/>
        <n v="5.6720829809728812E-3"/>
        <n v="1.299257290639777E-2"/>
        <n v="-1.349653003036011E-2"/>
        <n v="1.1471765623020103E-2"/>
        <n v="-1.4114058882831126E-2"/>
        <n v="-2.8121584403648647E-3"/>
        <n v="5.1275554229879283E-4"/>
        <n v="-9.4806507395085449E-3"/>
        <n v="-1.2589548949040963E-2"/>
        <n v="2.2705765520512067E-3"/>
        <n v="1.002000841781614E-2"/>
        <n v="6.1249833082255289E-3"/>
        <n v="-1.0717660464799383E-2"/>
        <n v="2.0974154633768727E-2"/>
        <n v="-5.602765899492379E-3"/>
        <n v="-5.1219705997094245E-3"/>
        <n v="-4.805295641744145E-3"/>
        <n v="1.9572400327428907E-2"/>
        <n v="1.090904615591981E-2"/>
        <n v="-6.0230943442118878E-3"/>
        <n v="-8.9209929855160741E-3"/>
        <n v="-2.6154922462371721E-2"/>
        <n v="2.3805473078393424E-2"/>
        <n v="-7.4099924966130049E-3"/>
        <n v="1.2871017565661003E-3"/>
        <n v="1.251180221852688E-2"/>
        <n v="1.0748995247867432E-2"/>
        <n v="-1.6747701760962963E-3"/>
        <n v="-9.2263948002657692E-4"/>
        <n v="1.1921756863249255E-2"/>
        <n v="3.8164520742349772E-3"/>
        <n v="-5.3723249332583434E-3"/>
        <n v="1.9195684254685874E-2"/>
        <n v="2.2095352551392056E-2"/>
        <n v="-3.4381010388036537E-2"/>
        <n v="-2.1148319834118467E-2"/>
        <n v="3.7302798527607761E-2"/>
        <n v="1.3831235874492753E-2"/>
        <n v="-4.6545402674221803E-3"/>
        <n v="2.0236992170055812E-2"/>
        <n v="2.8923586461251372E-2"/>
        <n v="-8.218011771576883E-3"/>
        <n v="5.8855003642612758E-3"/>
        <n v="4.388462712117347E-3"/>
        <n v="2.4145322560718885E-2"/>
        <n v="2.2448574474753791E-4"/>
        <n v="9.9520253398821534E-3"/>
        <n v="-9.6327725997957803E-4"/>
        <n v="1.4758366706737025E-2"/>
        <n v="5.4812119615434973E-3"/>
        <n v="2.1296680530785705E-2"/>
        <n v="6.3340721237907793E-3"/>
        <n v="-2.1216355508276274E-2"/>
        <n v="3.8511632112572913E-2"/>
        <n v="2.6855796007145161E-2"/>
        <n v="-1.0231023519974958E-2"/>
        <n v="2.0331425192257058E-2"/>
        <n v="1.4491794102781563E-2"/>
        <n v="2.5129662801572916E-3"/>
        <n v="2.6189142115693675E-2"/>
        <n v="-2.9767800390803179E-2"/>
        <n v="-9.8712139626542239E-3"/>
        <n v="-1.5223940851543327E-2"/>
        <n v="3.0713399703180322E-2"/>
        <n v="1.9246224431745951E-3"/>
        <n v="-2.4441921810266276E-2"/>
        <n v="2.3628423901084661E-2"/>
        <n v="-9.9495798250380796E-3"/>
        <n v="-1.3399356022909537E-3"/>
        <n v="-3.4886106695141139E-3"/>
        <n v="2.6659638371742345E-2"/>
        <n v="1.1278619340691298E-2"/>
        <n v="-1.5497322652886059E-2"/>
        <n v="-1.3238435323404629E-2"/>
        <n v="6.2741055730701767E-3"/>
        <n v="2.9849867626785542E-3"/>
        <n v="-5.0923522483152794E-3"/>
        <n v="-1.5354839982790969E-2"/>
        <n v="2.3290235123560432E-2"/>
        <n v="1.286449242188703E-2"/>
        <n v="1.6869640337443093E-2"/>
        <n v="7.1099467749324852E-3"/>
        <n v="1.0048960990123534E-2"/>
        <n v="-7.6821380068481382E-3"/>
        <n v="3.6169833877786051E-3"/>
        <n v="9.5473093324314195E-3"/>
        <n v="9.1439489014903952E-3"/>
        <n v="2.6376175290493409E-2"/>
        <n v="-1.2818977381954477E-2"/>
        <n v="1.3291624462953289E-2"/>
        <n v="3.3609365142416525E-2"/>
        <n v="2.807164762685499E-3"/>
        <n v="-1.0555741360441018E-2"/>
        <n v="-5.2339930265919654E-2"/>
        <n v="-5.5979173939346705E-4"/>
        <n v="1.6678070516687349E-2"/>
        <n v="3.3054076469103411E-3"/>
        <n v="-4.6916010498687655E-2"/>
        <n v="-7.553453772372043E-3"/>
        <n v="-1.6318494569759867E-2"/>
        <n v="8.5252477203412447E-4"/>
        <n v="-2.2274599039794341E-2"/>
        <n v="-1.5412100674709883E-3"/>
        <n v="1.9931557451895232E-2"/>
        <n v="-3.645219844291081E-2"/>
        <n v="8.4675808335790137E-3"/>
        <n v="4.6046275983873119E-3"/>
        <n v="7.6840175249375253E-3"/>
        <n v="6.8896679905234848E-3"/>
        <n v="-1.0761960218731548E-2"/>
        <n v="-4.8351058212842135E-3"/>
        <n v="1.5992910032473162E-2"/>
        <n v="2.7298101458409274E-2"/>
        <n v="-2.198265119970344E-3"/>
        <n v="-1.0237790407773395E-2"/>
        <n v="6.1538595464434298E-3"/>
        <n v="7.7428875223957139E-3"/>
        <n v="-3.9966456771913572E-2"/>
        <n v="-1.4190589922575381E-2"/>
        <n v="-1.371259158244742E-2"/>
        <n v="3.5346169814682638E-2"/>
        <n v="6.3469121221972902E-3"/>
        <n v="6.2404697982099133E-3"/>
        <n v="7.9829845402101807E-3"/>
        <n v="4.0659011248336041E-2"/>
        <n v="1.6274068445146783E-2"/>
        <n v="1.2835727831585375E-2"/>
        <n v="-3.8572827673179821E-2"/>
        <n v="-6.3347613234731037E-3"/>
        <n v="-2.3826074796587937E-3"/>
        <n v="-3.2984820152507255E-2"/>
        <n v="-1.2749436584141738E-2"/>
        <n v="-6.3555925309976002E-3"/>
        <n v="-1.1567831782125393E-2"/>
        <n v="2.8363017700243409E-2"/>
        <n v="1.2049201041330893E-3"/>
        <n v="1.9858282163609076E-2"/>
        <n v="-3.2125789476651345E-3"/>
        <n v="-1.3943651856582862E-2"/>
        <n v="1.220647889196691E-2"/>
        <n v="-1.8714909039534655E-2"/>
        <n v="1.1483385934793811E-2"/>
        <n v="-2.668960279181487E-2"/>
        <n v="2.796631973456698E-3"/>
        <n v="-4.1425697709597031E-2"/>
        <n v="6.6703952672637623E-3"/>
        <n v="-7.8950972299280942E-3"/>
        <n v="-2.0818517978170914E-2"/>
        <n v="4.7892596483922745E-3"/>
        <n v="9.0993200381350725E-3"/>
        <n v="-2.025327224001594E-2"/>
        <n v="4.7479526389369031E-3"/>
        <n v="-7.3428384046325679E-3"/>
        <n v="-3.5153524193102248E-3"/>
        <n v="4.8507460159543658E-3"/>
        <n v="-3.2182199098965691E-3"/>
        <n v="5.9435729074859278E-3"/>
        <n v="-4.7413725984646327E-3"/>
        <n v="3.8478513271587023E-2"/>
        <n v="-3.9522847032361641E-3"/>
        <n v="-2.6004418912178084E-2"/>
        <n v="1.0330343522494845E-2"/>
        <n v="4.053848880111155E-2"/>
        <n v="4.0135273491823664E-3"/>
        <n v="-3.9974833404675669E-3"/>
        <n v="9.9647405575409298E-3"/>
        <n v="9.6608145069108087E-3"/>
        <n v="6.7861674115141657E-3"/>
        <n v="2.2580193365284495E-2"/>
        <n v="1.8060734309716109E-2"/>
        <n v="1.5797985764024025E-2"/>
        <n v="3.1872216687212074E-4"/>
        <n v="-1.3826921289160965E-2"/>
        <n v="-1.1177889672220553E-2"/>
        <n v="2.4241994865281891E-2"/>
        <n v="1.4035908647260786E-3"/>
        <n v="-9.747085511364606E-3"/>
        <n v="-2.4447261583624424E-3"/>
        <n v="-7.0939476370097676E-3"/>
        <n v="-1.5133850240548363E-2"/>
        <n v="2.1169937932562055E-2"/>
        <n v="-1.162491532198473E-2"/>
        <n v="4.4106112690845967E-2"/>
        <n v="6.2568322974909663E-5"/>
        <n v="-3.129181472054654E-4"/>
        <n v="-7.1361132610672229E-3"/>
        <n v="9.3941676395272733E-3"/>
        <n v="1.5024827306238331E-2"/>
        <n v="2.5393228503900689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1">
  <r>
    <x v="0"/>
    <x v="0"/>
    <x v="0"/>
    <x v="0"/>
    <x v="0"/>
    <x v="0"/>
    <x v="0"/>
    <x v="0"/>
  </r>
  <r>
    <x v="1"/>
    <x v="1"/>
    <x v="1"/>
    <x v="1"/>
    <x v="1"/>
    <x v="1"/>
    <x v="1"/>
    <x v="1"/>
  </r>
  <r>
    <x v="2"/>
    <x v="2"/>
    <x v="2"/>
    <x v="2"/>
    <x v="2"/>
    <x v="2"/>
    <x v="2"/>
    <x v="2"/>
  </r>
  <r>
    <x v="3"/>
    <x v="3"/>
    <x v="3"/>
    <x v="3"/>
    <x v="3"/>
    <x v="3"/>
    <x v="3"/>
    <x v="3"/>
  </r>
  <r>
    <x v="4"/>
    <x v="4"/>
    <x v="4"/>
    <x v="4"/>
    <x v="4"/>
    <x v="4"/>
    <x v="4"/>
    <x v="4"/>
  </r>
  <r>
    <x v="5"/>
    <x v="5"/>
    <x v="5"/>
    <x v="5"/>
    <x v="5"/>
    <x v="5"/>
    <x v="5"/>
    <x v="5"/>
  </r>
  <r>
    <x v="6"/>
    <x v="6"/>
    <x v="6"/>
    <x v="6"/>
    <x v="6"/>
    <x v="6"/>
    <x v="6"/>
    <x v="6"/>
  </r>
  <r>
    <x v="7"/>
    <x v="7"/>
    <x v="7"/>
    <x v="7"/>
    <x v="7"/>
    <x v="7"/>
    <x v="7"/>
    <x v="7"/>
  </r>
  <r>
    <x v="8"/>
    <x v="8"/>
    <x v="8"/>
    <x v="8"/>
    <x v="8"/>
    <x v="8"/>
    <x v="8"/>
    <x v="8"/>
  </r>
  <r>
    <x v="9"/>
    <x v="9"/>
    <x v="9"/>
    <x v="9"/>
    <x v="9"/>
    <x v="9"/>
    <x v="9"/>
    <x v="9"/>
  </r>
  <r>
    <x v="10"/>
    <x v="10"/>
    <x v="10"/>
    <x v="10"/>
    <x v="10"/>
    <x v="10"/>
    <x v="10"/>
    <x v="10"/>
  </r>
  <r>
    <x v="11"/>
    <x v="11"/>
    <x v="11"/>
    <x v="11"/>
    <x v="11"/>
    <x v="11"/>
    <x v="11"/>
    <x v="11"/>
  </r>
  <r>
    <x v="12"/>
    <x v="12"/>
    <x v="12"/>
    <x v="12"/>
    <x v="12"/>
    <x v="12"/>
    <x v="12"/>
    <x v="12"/>
  </r>
  <r>
    <x v="13"/>
    <x v="13"/>
    <x v="13"/>
    <x v="13"/>
    <x v="13"/>
    <x v="13"/>
    <x v="13"/>
    <x v="13"/>
  </r>
  <r>
    <x v="14"/>
    <x v="14"/>
    <x v="14"/>
    <x v="14"/>
    <x v="14"/>
    <x v="14"/>
    <x v="14"/>
    <x v="14"/>
  </r>
  <r>
    <x v="15"/>
    <x v="15"/>
    <x v="15"/>
    <x v="15"/>
    <x v="15"/>
    <x v="15"/>
    <x v="15"/>
    <x v="15"/>
  </r>
  <r>
    <x v="16"/>
    <x v="16"/>
    <x v="16"/>
    <x v="16"/>
    <x v="16"/>
    <x v="16"/>
    <x v="16"/>
    <x v="16"/>
  </r>
  <r>
    <x v="17"/>
    <x v="17"/>
    <x v="17"/>
    <x v="17"/>
    <x v="17"/>
    <x v="17"/>
    <x v="17"/>
    <x v="17"/>
  </r>
  <r>
    <x v="18"/>
    <x v="18"/>
    <x v="18"/>
    <x v="18"/>
    <x v="18"/>
    <x v="18"/>
    <x v="18"/>
    <x v="18"/>
  </r>
  <r>
    <x v="19"/>
    <x v="19"/>
    <x v="19"/>
    <x v="19"/>
    <x v="19"/>
    <x v="19"/>
    <x v="19"/>
    <x v="19"/>
  </r>
  <r>
    <x v="20"/>
    <x v="20"/>
    <x v="20"/>
    <x v="20"/>
    <x v="20"/>
    <x v="20"/>
    <x v="20"/>
    <x v="20"/>
  </r>
  <r>
    <x v="21"/>
    <x v="21"/>
    <x v="21"/>
    <x v="21"/>
    <x v="21"/>
    <x v="21"/>
    <x v="21"/>
    <x v="21"/>
  </r>
  <r>
    <x v="22"/>
    <x v="22"/>
    <x v="22"/>
    <x v="22"/>
    <x v="22"/>
    <x v="22"/>
    <x v="22"/>
    <x v="22"/>
  </r>
  <r>
    <x v="23"/>
    <x v="23"/>
    <x v="23"/>
    <x v="23"/>
    <x v="23"/>
    <x v="23"/>
    <x v="23"/>
    <x v="23"/>
  </r>
  <r>
    <x v="24"/>
    <x v="24"/>
    <x v="24"/>
    <x v="24"/>
    <x v="24"/>
    <x v="24"/>
    <x v="24"/>
    <x v="24"/>
  </r>
  <r>
    <x v="25"/>
    <x v="25"/>
    <x v="25"/>
    <x v="25"/>
    <x v="25"/>
    <x v="25"/>
    <x v="25"/>
    <x v="25"/>
  </r>
  <r>
    <x v="26"/>
    <x v="26"/>
    <x v="26"/>
    <x v="26"/>
    <x v="26"/>
    <x v="26"/>
    <x v="26"/>
    <x v="26"/>
  </r>
  <r>
    <x v="27"/>
    <x v="27"/>
    <x v="27"/>
    <x v="27"/>
    <x v="27"/>
    <x v="27"/>
    <x v="27"/>
    <x v="27"/>
  </r>
  <r>
    <x v="28"/>
    <x v="28"/>
    <x v="28"/>
    <x v="28"/>
    <x v="28"/>
    <x v="28"/>
    <x v="28"/>
    <x v="28"/>
  </r>
  <r>
    <x v="29"/>
    <x v="29"/>
    <x v="29"/>
    <x v="29"/>
    <x v="29"/>
    <x v="29"/>
    <x v="29"/>
    <x v="29"/>
  </r>
  <r>
    <x v="30"/>
    <x v="30"/>
    <x v="30"/>
    <x v="30"/>
    <x v="30"/>
    <x v="30"/>
    <x v="30"/>
    <x v="30"/>
  </r>
  <r>
    <x v="31"/>
    <x v="31"/>
    <x v="31"/>
    <x v="31"/>
    <x v="31"/>
    <x v="31"/>
    <x v="31"/>
    <x v="31"/>
  </r>
  <r>
    <x v="32"/>
    <x v="32"/>
    <x v="32"/>
    <x v="32"/>
    <x v="32"/>
    <x v="32"/>
    <x v="32"/>
    <x v="32"/>
  </r>
  <r>
    <x v="33"/>
    <x v="33"/>
    <x v="33"/>
    <x v="33"/>
    <x v="33"/>
    <x v="33"/>
    <x v="33"/>
    <x v="33"/>
  </r>
  <r>
    <x v="34"/>
    <x v="34"/>
    <x v="34"/>
    <x v="34"/>
    <x v="34"/>
    <x v="34"/>
    <x v="34"/>
    <x v="34"/>
  </r>
  <r>
    <x v="35"/>
    <x v="35"/>
    <x v="35"/>
    <x v="35"/>
    <x v="35"/>
    <x v="35"/>
    <x v="35"/>
    <x v="35"/>
  </r>
  <r>
    <x v="36"/>
    <x v="36"/>
    <x v="36"/>
    <x v="36"/>
    <x v="36"/>
    <x v="36"/>
    <x v="36"/>
    <x v="36"/>
  </r>
  <r>
    <x v="37"/>
    <x v="37"/>
    <x v="37"/>
    <x v="37"/>
    <x v="37"/>
    <x v="37"/>
    <x v="37"/>
    <x v="37"/>
  </r>
  <r>
    <x v="38"/>
    <x v="38"/>
    <x v="38"/>
    <x v="38"/>
    <x v="38"/>
    <x v="38"/>
    <x v="38"/>
    <x v="38"/>
  </r>
  <r>
    <x v="39"/>
    <x v="39"/>
    <x v="39"/>
    <x v="39"/>
    <x v="39"/>
    <x v="39"/>
    <x v="39"/>
    <x v="39"/>
  </r>
  <r>
    <x v="40"/>
    <x v="40"/>
    <x v="40"/>
    <x v="40"/>
    <x v="40"/>
    <x v="40"/>
    <x v="40"/>
    <x v="40"/>
  </r>
  <r>
    <x v="41"/>
    <x v="41"/>
    <x v="41"/>
    <x v="41"/>
    <x v="41"/>
    <x v="41"/>
    <x v="41"/>
    <x v="41"/>
  </r>
  <r>
    <x v="42"/>
    <x v="42"/>
    <x v="42"/>
    <x v="42"/>
    <x v="42"/>
    <x v="42"/>
    <x v="42"/>
    <x v="42"/>
  </r>
  <r>
    <x v="43"/>
    <x v="43"/>
    <x v="43"/>
    <x v="43"/>
    <x v="43"/>
    <x v="43"/>
    <x v="43"/>
    <x v="43"/>
  </r>
  <r>
    <x v="44"/>
    <x v="44"/>
    <x v="44"/>
    <x v="44"/>
    <x v="44"/>
    <x v="44"/>
    <x v="44"/>
    <x v="44"/>
  </r>
  <r>
    <x v="45"/>
    <x v="45"/>
    <x v="45"/>
    <x v="45"/>
    <x v="45"/>
    <x v="45"/>
    <x v="45"/>
    <x v="45"/>
  </r>
  <r>
    <x v="46"/>
    <x v="46"/>
    <x v="46"/>
    <x v="46"/>
    <x v="46"/>
    <x v="46"/>
    <x v="46"/>
    <x v="46"/>
  </r>
  <r>
    <x v="47"/>
    <x v="47"/>
    <x v="47"/>
    <x v="47"/>
    <x v="47"/>
    <x v="47"/>
    <x v="47"/>
    <x v="47"/>
  </r>
  <r>
    <x v="48"/>
    <x v="48"/>
    <x v="48"/>
    <x v="48"/>
    <x v="48"/>
    <x v="48"/>
    <x v="48"/>
    <x v="48"/>
  </r>
  <r>
    <x v="49"/>
    <x v="49"/>
    <x v="49"/>
    <x v="49"/>
    <x v="49"/>
    <x v="49"/>
    <x v="49"/>
    <x v="49"/>
  </r>
  <r>
    <x v="50"/>
    <x v="50"/>
    <x v="50"/>
    <x v="50"/>
    <x v="50"/>
    <x v="50"/>
    <x v="50"/>
    <x v="50"/>
  </r>
  <r>
    <x v="51"/>
    <x v="51"/>
    <x v="51"/>
    <x v="51"/>
    <x v="51"/>
    <x v="51"/>
    <x v="51"/>
    <x v="51"/>
  </r>
  <r>
    <x v="52"/>
    <x v="52"/>
    <x v="52"/>
    <x v="52"/>
    <x v="52"/>
    <x v="52"/>
    <x v="52"/>
    <x v="52"/>
  </r>
  <r>
    <x v="53"/>
    <x v="53"/>
    <x v="53"/>
    <x v="53"/>
    <x v="53"/>
    <x v="53"/>
    <x v="53"/>
    <x v="53"/>
  </r>
  <r>
    <x v="54"/>
    <x v="54"/>
    <x v="54"/>
    <x v="54"/>
    <x v="54"/>
    <x v="54"/>
    <x v="54"/>
    <x v="54"/>
  </r>
  <r>
    <x v="55"/>
    <x v="55"/>
    <x v="55"/>
    <x v="55"/>
    <x v="55"/>
    <x v="55"/>
    <x v="55"/>
    <x v="55"/>
  </r>
  <r>
    <x v="56"/>
    <x v="56"/>
    <x v="56"/>
    <x v="56"/>
    <x v="56"/>
    <x v="56"/>
    <x v="56"/>
    <x v="56"/>
  </r>
  <r>
    <x v="57"/>
    <x v="57"/>
    <x v="57"/>
    <x v="57"/>
    <x v="57"/>
    <x v="57"/>
    <x v="57"/>
    <x v="57"/>
  </r>
  <r>
    <x v="58"/>
    <x v="58"/>
    <x v="58"/>
    <x v="58"/>
    <x v="58"/>
    <x v="58"/>
    <x v="58"/>
    <x v="58"/>
  </r>
  <r>
    <x v="59"/>
    <x v="59"/>
    <x v="59"/>
    <x v="59"/>
    <x v="59"/>
    <x v="59"/>
    <x v="59"/>
    <x v="59"/>
  </r>
  <r>
    <x v="60"/>
    <x v="60"/>
    <x v="60"/>
    <x v="60"/>
    <x v="60"/>
    <x v="60"/>
    <x v="60"/>
    <x v="60"/>
  </r>
  <r>
    <x v="61"/>
    <x v="61"/>
    <x v="61"/>
    <x v="61"/>
    <x v="61"/>
    <x v="61"/>
    <x v="61"/>
    <x v="61"/>
  </r>
  <r>
    <x v="62"/>
    <x v="62"/>
    <x v="62"/>
    <x v="62"/>
    <x v="62"/>
    <x v="62"/>
    <x v="62"/>
    <x v="62"/>
  </r>
  <r>
    <x v="63"/>
    <x v="63"/>
    <x v="63"/>
    <x v="63"/>
    <x v="63"/>
    <x v="63"/>
    <x v="63"/>
    <x v="63"/>
  </r>
  <r>
    <x v="64"/>
    <x v="64"/>
    <x v="64"/>
    <x v="64"/>
    <x v="64"/>
    <x v="64"/>
    <x v="64"/>
    <x v="64"/>
  </r>
  <r>
    <x v="65"/>
    <x v="65"/>
    <x v="65"/>
    <x v="65"/>
    <x v="65"/>
    <x v="65"/>
    <x v="65"/>
    <x v="65"/>
  </r>
  <r>
    <x v="66"/>
    <x v="66"/>
    <x v="66"/>
    <x v="66"/>
    <x v="66"/>
    <x v="66"/>
    <x v="66"/>
    <x v="66"/>
  </r>
  <r>
    <x v="67"/>
    <x v="67"/>
    <x v="67"/>
    <x v="67"/>
    <x v="67"/>
    <x v="67"/>
    <x v="67"/>
    <x v="67"/>
  </r>
  <r>
    <x v="68"/>
    <x v="68"/>
    <x v="68"/>
    <x v="68"/>
    <x v="68"/>
    <x v="68"/>
    <x v="68"/>
    <x v="68"/>
  </r>
  <r>
    <x v="69"/>
    <x v="69"/>
    <x v="69"/>
    <x v="69"/>
    <x v="69"/>
    <x v="69"/>
    <x v="69"/>
    <x v="69"/>
  </r>
  <r>
    <x v="70"/>
    <x v="70"/>
    <x v="70"/>
    <x v="70"/>
    <x v="70"/>
    <x v="70"/>
    <x v="70"/>
    <x v="70"/>
  </r>
  <r>
    <x v="71"/>
    <x v="71"/>
    <x v="71"/>
    <x v="71"/>
    <x v="71"/>
    <x v="71"/>
    <x v="71"/>
    <x v="71"/>
  </r>
  <r>
    <x v="72"/>
    <x v="72"/>
    <x v="72"/>
    <x v="72"/>
    <x v="72"/>
    <x v="72"/>
    <x v="72"/>
    <x v="72"/>
  </r>
  <r>
    <x v="73"/>
    <x v="73"/>
    <x v="73"/>
    <x v="73"/>
    <x v="73"/>
    <x v="73"/>
    <x v="73"/>
    <x v="73"/>
  </r>
  <r>
    <x v="74"/>
    <x v="74"/>
    <x v="74"/>
    <x v="74"/>
    <x v="74"/>
    <x v="74"/>
    <x v="74"/>
    <x v="74"/>
  </r>
  <r>
    <x v="75"/>
    <x v="75"/>
    <x v="75"/>
    <x v="75"/>
    <x v="75"/>
    <x v="75"/>
    <x v="75"/>
    <x v="75"/>
  </r>
  <r>
    <x v="76"/>
    <x v="76"/>
    <x v="76"/>
    <x v="76"/>
    <x v="76"/>
    <x v="76"/>
    <x v="76"/>
    <x v="76"/>
  </r>
  <r>
    <x v="77"/>
    <x v="77"/>
    <x v="77"/>
    <x v="77"/>
    <x v="77"/>
    <x v="77"/>
    <x v="77"/>
    <x v="77"/>
  </r>
  <r>
    <x v="78"/>
    <x v="78"/>
    <x v="78"/>
    <x v="78"/>
    <x v="78"/>
    <x v="78"/>
    <x v="78"/>
    <x v="78"/>
  </r>
  <r>
    <x v="79"/>
    <x v="79"/>
    <x v="79"/>
    <x v="79"/>
    <x v="79"/>
    <x v="79"/>
    <x v="79"/>
    <x v="79"/>
  </r>
  <r>
    <x v="80"/>
    <x v="80"/>
    <x v="80"/>
    <x v="80"/>
    <x v="80"/>
    <x v="80"/>
    <x v="80"/>
    <x v="80"/>
  </r>
  <r>
    <x v="81"/>
    <x v="81"/>
    <x v="81"/>
    <x v="81"/>
    <x v="81"/>
    <x v="81"/>
    <x v="81"/>
    <x v="81"/>
  </r>
  <r>
    <x v="82"/>
    <x v="82"/>
    <x v="82"/>
    <x v="82"/>
    <x v="82"/>
    <x v="82"/>
    <x v="82"/>
    <x v="82"/>
  </r>
  <r>
    <x v="83"/>
    <x v="83"/>
    <x v="83"/>
    <x v="83"/>
    <x v="83"/>
    <x v="83"/>
    <x v="83"/>
    <x v="83"/>
  </r>
  <r>
    <x v="84"/>
    <x v="84"/>
    <x v="84"/>
    <x v="84"/>
    <x v="84"/>
    <x v="84"/>
    <x v="84"/>
    <x v="84"/>
  </r>
  <r>
    <x v="85"/>
    <x v="85"/>
    <x v="85"/>
    <x v="85"/>
    <x v="85"/>
    <x v="85"/>
    <x v="85"/>
    <x v="85"/>
  </r>
  <r>
    <x v="86"/>
    <x v="86"/>
    <x v="86"/>
    <x v="86"/>
    <x v="86"/>
    <x v="86"/>
    <x v="86"/>
    <x v="86"/>
  </r>
  <r>
    <x v="87"/>
    <x v="87"/>
    <x v="87"/>
    <x v="87"/>
    <x v="87"/>
    <x v="87"/>
    <x v="87"/>
    <x v="87"/>
  </r>
  <r>
    <x v="88"/>
    <x v="88"/>
    <x v="88"/>
    <x v="88"/>
    <x v="88"/>
    <x v="88"/>
    <x v="88"/>
    <x v="88"/>
  </r>
  <r>
    <x v="89"/>
    <x v="89"/>
    <x v="89"/>
    <x v="89"/>
    <x v="89"/>
    <x v="89"/>
    <x v="89"/>
    <x v="89"/>
  </r>
  <r>
    <x v="90"/>
    <x v="90"/>
    <x v="90"/>
    <x v="90"/>
    <x v="90"/>
    <x v="90"/>
    <x v="90"/>
    <x v="90"/>
  </r>
  <r>
    <x v="91"/>
    <x v="91"/>
    <x v="91"/>
    <x v="91"/>
    <x v="91"/>
    <x v="91"/>
    <x v="91"/>
    <x v="91"/>
  </r>
  <r>
    <x v="92"/>
    <x v="92"/>
    <x v="92"/>
    <x v="92"/>
    <x v="92"/>
    <x v="92"/>
    <x v="92"/>
    <x v="92"/>
  </r>
  <r>
    <x v="93"/>
    <x v="93"/>
    <x v="93"/>
    <x v="93"/>
    <x v="93"/>
    <x v="93"/>
    <x v="93"/>
    <x v="93"/>
  </r>
  <r>
    <x v="94"/>
    <x v="94"/>
    <x v="94"/>
    <x v="94"/>
    <x v="94"/>
    <x v="94"/>
    <x v="94"/>
    <x v="94"/>
  </r>
  <r>
    <x v="95"/>
    <x v="95"/>
    <x v="95"/>
    <x v="95"/>
    <x v="95"/>
    <x v="95"/>
    <x v="95"/>
    <x v="95"/>
  </r>
  <r>
    <x v="96"/>
    <x v="96"/>
    <x v="96"/>
    <x v="96"/>
    <x v="96"/>
    <x v="96"/>
    <x v="96"/>
    <x v="96"/>
  </r>
  <r>
    <x v="97"/>
    <x v="97"/>
    <x v="97"/>
    <x v="97"/>
    <x v="97"/>
    <x v="97"/>
    <x v="97"/>
    <x v="97"/>
  </r>
  <r>
    <x v="98"/>
    <x v="98"/>
    <x v="98"/>
    <x v="98"/>
    <x v="98"/>
    <x v="98"/>
    <x v="98"/>
    <x v="98"/>
  </r>
  <r>
    <x v="99"/>
    <x v="99"/>
    <x v="99"/>
    <x v="99"/>
    <x v="99"/>
    <x v="99"/>
    <x v="99"/>
    <x v="99"/>
  </r>
  <r>
    <x v="100"/>
    <x v="100"/>
    <x v="100"/>
    <x v="100"/>
    <x v="100"/>
    <x v="100"/>
    <x v="100"/>
    <x v="100"/>
  </r>
  <r>
    <x v="101"/>
    <x v="101"/>
    <x v="101"/>
    <x v="101"/>
    <x v="101"/>
    <x v="101"/>
    <x v="101"/>
    <x v="101"/>
  </r>
  <r>
    <x v="102"/>
    <x v="102"/>
    <x v="102"/>
    <x v="102"/>
    <x v="102"/>
    <x v="102"/>
    <x v="102"/>
    <x v="102"/>
  </r>
  <r>
    <x v="103"/>
    <x v="103"/>
    <x v="103"/>
    <x v="103"/>
    <x v="103"/>
    <x v="103"/>
    <x v="103"/>
    <x v="103"/>
  </r>
  <r>
    <x v="104"/>
    <x v="104"/>
    <x v="104"/>
    <x v="104"/>
    <x v="104"/>
    <x v="104"/>
    <x v="104"/>
    <x v="104"/>
  </r>
  <r>
    <x v="105"/>
    <x v="105"/>
    <x v="105"/>
    <x v="105"/>
    <x v="105"/>
    <x v="105"/>
    <x v="105"/>
    <x v="105"/>
  </r>
  <r>
    <x v="106"/>
    <x v="106"/>
    <x v="106"/>
    <x v="106"/>
    <x v="106"/>
    <x v="106"/>
    <x v="106"/>
    <x v="106"/>
  </r>
  <r>
    <x v="107"/>
    <x v="107"/>
    <x v="107"/>
    <x v="107"/>
    <x v="107"/>
    <x v="107"/>
    <x v="107"/>
    <x v="107"/>
  </r>
  <r>
    <x v="108"/>
    <x v="108"/>
    <x v="108"/>
    <x v="108"/>
    <x v="108"/>
    <x v="108"/>
    <x v="108"/>
    <x v="108"/>
  </r>
  <r>
    <x v="109"/>
    <x v="109"/>
    <x v="109"/>
    <x v="109"/>
    <x v="109"/>
    <x v="109"/>
    <x v="109"/>
    <x v="109"/>
  </r>
  <r>
    <x v="110"/>
    <x v="110"/>
    <x v="110"/>
    <x v="110"/>
    <x v="110"/>
    <x v="110"/>
    <x v="110"/>
    <x v="110"/>
  </r>
  <r>
    <x v="111"/>
    <x v="111"/>
    <x v="111"/>
    <x v="111"/>
    <x v="111"/>
    <x v="111"/>
    <x v="111"/>
    <x v="111"/>
  </r>
  <r>
    <x v="112"/>
    <x v="112"/>
    <x v="112"/>
    <x v="112"/>
    <x v="112"/>
    <x v="112"/>
    <x v="112"/>
    <x v="112"/>
  </r>
  <r>
    <x v="113"/>
    <x v="113"/>
    <x v="113"/>
    <x v="113"/>
    <x v="113"/>
    <x v="113"/>
    <x v="113"/>
    <x v="113"/>
  </r>
  <r>
    <x v="114"/>
    <x v="114"/>
    <x v="114"/>
    <x v="114"/>
    <x v="114"/>
    <x v="114"/>
    <x v="114"/>
    <x v="114"/>
  </r>
  <r>
    <x v="115"/>
    <x v="115"/>
    <x v="115"/>
    <x v="115"/>
    <x v="115"/>
    <x v="115"/>
    <x v="115"/>
    <x v="115"/>
  </r>
  <r>
    <x v="116"/>
    <x v="116"/>
    <x v="116"/>
    <x v="116"/>
    <x v="116"/>
    <x v="116"/>
    <x v="116"/>
    <x v="116"/>
  </r>
  <r>
    <x v="117"/>
    <x v="117"/>
    <x v="117"/>
    <x v="117"/>
    <x v="117"/>
    <x v="117"/>
    <x v="117"/>
    <x v="117"/>
  </r>
  <r>
    <x v="118"/>
    <x v="118"/>
    <x v="118"/>
    <x v="118"/>
    <x v="118"/>
    <x v="118"/>
    <x v="118"/>
    <x v="118"/>
  </r>
  <r>
    <x v="119"/>
    <x v="119"/>
    <x v="119"/>
    <x v="119"/>
    <x v="119"/>
    <x v="119"/>
    <x v="119"/>
    <x v="119"/>
  </r>
  <r>
    <x v="120"/>
    <x v="120"/>
    <x v="120"/>
    <x v="120"/>
    <x v="120"/>
    <x v="120"/>
    <x v="120"/>
    <x v="120"/>
  </r>
  <r>
    <x v="121"/>
    <x v="121"/>
    <x v="121"/>
    <x v="121"/>
    <x v="121"/>
    <x v="121"/>
    <x v="121"/>
    <x v="121"/>
  </r>
  <r>
    <x v="122"/>
    <x v="122"/>
    <x v="122"/>
    <x v="122"/>
    <x v="122"/>
    <x v="122"/>
    <x v="122"/>
    <x v="122"/>
  </r>
  <r>
    <x v="123"/>
    <x v="123"/>
    <x v="123"/>
    <x v="123"/>
    <x v="123"/>
    <x v="123"/>
    <x v="123"/>
    <x v="123"/>
  </r>
  <r>
    <x v="124"/>
    <x v="124"/>
    <x v="124"/>
    <x v="124"/>
    <x v="124"/>
    <x v="124"/>
    <x v="124"/>
    <x v="124"/>
  </r>
  <r>
    <x v="125"/>
    <x v="125"/>
    <x v="125"/>
    <x v="125"/>
    <x v="125"/>
    <x v="125"/>
    <x v="125"/>
    <x v="125"/>
  </r>
  <r>
    <x v="126"/>
    <x v="126"/>
    <x v="126"/>
    <x v="126"/>
    <x v="126"/>
    <x v="126"/>
    <x v="126"/>
    <x v="126"/>
  </r>
  <r>
    <x v="127"/>
    <x v="127"/>
    <x v="127"/>
    <x v="127"/>
    <x v="127"/>
    <x v="127"/>
    <x v="127"/>
    <x v="127"/>
  </r>
  <r>
    <x v="128"/>
    <x v="128"/>
    <x v="128"/>
    <x v="128"/>
    <x v="128"/>
    <x v="128"/>
    <x v="128"/>
    <x v="128"/>
  </r>
  <r>
    <x v="129"/>
    <x v="129"/>
    <x v="129"/>
    <x v="129"/>
    <x v="129"/>
    <x v="129"/>
    <x v="129"/>
    <x v="129"/>
  </r>
  <r>
    <x v="130"/>
    <x v="130"/>
    <x v="130"/>
    <x v="130"/>
    <x v="130"/>
    <x v="130"/>
    <x v="130"/>
    <x v="130"/>
  </r>
  <r>
    <x v="131"/>
    <x v="131"/>
    <x v="131"/>
    <x v="131"/>
    <x v="131"/>
    <x v="131"/>
    <x v="131"/>
    <x v="131"/>
  </r>
  <r>
    <x v="132"/>
    <x v="132"/>
    <x v="132"/>
    <x v="132"/>
    <x v="132"/>
    <x v="132"/>
    <x v="132"/>
    <x v="132"/>
  </r>
  <r>
    <x v="133"/>
    <x v="133"/>
    <x v="133"/>
    <x v="133"/>
    <x v="133"/>
    <x v="133"/>
    <x v="133"/>
    <x v="133"/>
  </r>
  <r>
    <x v="134"/>
    <x v="134"/>
    <x v="134"/>
    <x v="134"/>
    <x v="134"/>
    <x v="134"/>
    <x v="134"/>
    <x v="134"/>
  </r>
  <r>
    <x v="135"/>
    <x v="135"/>
    <x v="135"/>
    <x v="135"/>
    <x v="135"/>
    <x v="135"/>
    <x v="135"/>
    <x v="135"/>
  </r>
  <r>
    <x v="136"/>
    <x v="136"/>
    <x v="136"/>
    <x v="136"/>
    <x v="136"/>
    <x v="136"/>
    <x v="136"/>
    <x v="136"/>
  </r>
  <r>
    <x v="137"/>
    <x v="137"/>
    <x v="137"/>
    <x v="137"/>
    <x v="137"/>
    <x v="137"/>
    <x v="137"/>
    <x v="137"/>
  </r>
  <r>
    <x v="138"/>
    <x v="138"/>
    <x v="138"/>
    <x v="138"/>
    <x v="138"/>
    <x v="138"/>
    <x v="138"/>
    <x v="138"/>
  </r>
  <r>
    <x v="139"/>
    <x v="139"/>
    <x v="139"/>
    <x v="139"/>
    <x v="139"/>
    <x v="139"/>
    <x v="139"/>
    <x v="139"/>
  </r>
  <r>
    <x v="140"/>
    <x v="140"/>
    <x v="140"/>
    <x v="140"/>
    <x v="140"/>
    <x v="140"/>
    <x v="140"/>
    <x v="140"/>
  </r>
  <r>
    <x v="141"/>
    <x v="141"/>
    <x v="141"/>
    <x v="141"/>
    <x v="141"/>
    <x v="141"/>
    <x v="141"/>
    <x v="141"/>
  </r>
  <r>
    <x v="142"/>
    <x v="142"/>
    <x v="142"/>
    <x v="142"/>
    <x v="142"/>
    <x v="142"/>
    <x v="142"/>
    <x v="142"/>
  </r>
  <r>
    <x v="143"/>
    <x v="143"/>
    <x v="143"/>
    <x v="143"/>
    <x v="143"/>
    <x v="143"/>
    <x v="143"/>
    <x v="143"/>
  </r>
  <r>
    <x v="144"/>
    <x v="144"/>
    <x v="144"/>
    <x v="144"/>
    <x v="144"/>
    <x v="144"/>
    <x v="144"/>
    <x v="144"/>
  </r>
  <r>
    <x v="145"/>
    <x v="145"/>
    <x v="145"/>
    <x v="145"/>
    <x v="145"/>
    <x v="145"/>
    <x v="145"/>
    <x v="145"/>
  </r>
  <r>
    <x v="146"/>
    <x v="146"/>
    <x v="146"/>
    <x v="146"/>
    <x v="146"/>
    <x v="146"/>
    <x v="146"/>
    <x v="146"/>
  </r>
  <r>
    <x v="147"/>
    <x v="147"/>
    <x v="147"/>
    <x v="147"/>
    <x v="147"/>
    <x v="147"/>
    <x v="147"/>
    <x v="147"/>
  </r>
  <r>
    <x v="148"/>
    <x v="148"/>
    <x v="148"/>
    <x v="148"/>
    <x v="148"/>
    <x v="148"/>
    <x v="148"/>
    <x v="148"/>
  </r>
  <r>
    <x v="149"/>
    <x v="149"/>
    <x v="149"/>
    <x v="149"/>
    <x v="149"/>
    <x v="149"/>
    <x v="149"/>
    <x v="149"/>
  </r>
  <r>
    <x v="150"/>
    <x v="150"/>
    <x v="150"/>
    <x v="150"/>
    <x v="150"/>
    <x v="150"/>
    <x v="150"/>
    <x v="150"/>
  </r>
  <r>
    <x v="151"/>
    <x v="151"/>
    <x v="151"/>
    <x v="151"/>
    <x v="151"/>
    <x v="151"/>
    <x v="151"/>
    <x v="151"/>
  </r>
  <r>
    <x v="152"/>
    <x v="152"/>
    <x v="152"/>
    <x v="152"/>
    <x v="152"/>
    <x v="152"/>
    <x v="152"/>
    <x v="152"/>
  </r>
  <r>
    <x v="153"/>
    <x v="153"/>
    <x v="153"/>
    <x v="153"/>
    <x v="153"/>
    <x v="153"/>
    <x v="153"/>
    <x v="153"/>
  </r>
  <r>
    <x v="154"/>
    <x v="154"/>
    <x v="154"/>
    <x v="154"/>
    <x v="154"/>
    <x v="154"/>
    <x v="154"/>
    <x v="154"/>
  </r>
  <r>
    <x v="155"/>
    <x v="155"/>
    <x v="155"/>
    <x v="155"/>
    <x v="155"/>
    <x v="155"/>
    <x v="155"/>
    <x v="155"/>
  </r>
  <r>
    <x v="156"/>
    <x v="156"/>
    <x v="156"/>
    <x v="156"/>
    <x v="156"/>
    <x v="156"/>
    <x v="156"/>
    <x v="156"/>
  </r>
  <r>
    <x v="157"/>
    <x v="157"/>
    <x v="157"/>
    <x v="157"/>
    <x v="157"/>
    <x v="157"/>
    <x v="157"/>
    <x v="157"/>
  </r>
  <r>
    <x v="158"/>
    <x v="158"/>
    <x v="158"/>
    <x v="158"/>
    <x v="158"/>
    <x v="158"/>
    <x v="158"/>
    <x v="158"/>
  </r>
  <r>
    <x v="159"/>
    <x v="159"/>
    <x v="159"/>
    <x v="159"/>
    <x v="159"/>
    <x v="159"/>
    <x v="159"/>
    <x v="159"/>
  </r>
  <r>
    <x v="160"/>
    <x v="160"/>
    <x v="160"/>
    <x v="160"/>
    <x v="160"/>
    <x v="160"/>
    <x v="160"/>
    <x v="160"/>
  </r>
  <r>
    <x v="161"/>
    <x v="161"/>
    <x v="161"/>
    <x v="161"/>
    <x v="161"/>
    <x v="161"/>
    <x v="161"/>
    <x v="161"/>
  </r>
  <r>
    <x v="162"/>
    <x v="162"/>
    <x v="162"/>
    <x v="162"/>
    <x v="162"/>
    <x v="162"/>
    <x v="162"/>
    <x v="162"/>
  </r>
  <r>
    <x v="163"/>
    <x v="163"/>
    <x v="163"/>
    <x v="163"/>
    <x v="163"/>
    <x v="163"/>
    <x v="163"/>
    <x v="163"/>
  </r>
  <r>
    <x v="164"/>
    <x v="164"/>
    <x v="164"/>
    <x v="164"/>
    <x v="164"/>
    <x v="164"/>
    <x v="164"/>
    <x v="164"/>
  </r>
  <r>
    <x v="165"/>
    <x v="165"/>
    <x v="165"/>
    <x v="165"/>
    <x v="165"/>
    <x v="165"/>
    <x v="165"/>
    <x v="165"/>
  </r>
  <r>
    <x v="166"/>
    <x v="166"/>
    <x v="166"/>
    <x v="166"/>
    <x v="166"/>
    <x v="166"/>
    <x v="166"/>
    <x v="166"/>
  </r>
  <r>
    <x v="167"/>
    <x v="167"/>
    <x v="167"/>
    <x v="167"/>
    <x v="167"/>
    <x v="167"/>
    <x v="167"/>
    <x v="167"/>
  </r>
  <r>
    <x v="168"/>
    <x v="168"/>
    <x v="168"/>
    <x v="168"/>
    <x v="168"/>
    <x v="168"/>
    <x v="168"/>
    <x v="168"/>
  </r>
  <r>
    <x v="169"/>
    <x v="169"/>
    <x v="169"/>
    <x v="169"/>
    <x v="169"/>
    <x v="169"/>
    <x v="169"/>
    <x v="169"/>
  </r>
  <r>
    <x v="170"/>
    <x v="170"/>
    <x v="170"/>
    <x v="170"/>
    <x v="170"/>
    <x v="170"/>
    <x v="170"/>
    <x v="170"/>
  </r>
  <r>
    <x v="171"/>
    <x v="171"/>
    <x v="171"/>
    <x v="171"/>
    <x v="171"/>
    <x v="171"/>
    <x v="171"/>
    <x v="171"/>
  </r>
  <r>
    <x v="172"/>
    <x v="172"/>
    <x v="172"/>
    <x v="172"/>
    <x v="172"/>
    <x v="172"/>
    <x v="172"/>
    <x v="172"/>
  </r>
  <r>
    <x v="173"/>
    <x v="173"/>
    <x v="173"/>
    <x v="173"/>
    <x v="173"/>
    <x v="173"/>
    <x v="173"/>
    <x v="173"/>
  </r>
  <r>
    <x v="174"/>
    <x v="174"/>
    <x v="174"/>
    <x v="174"/>
    <x v="174"/>
    <x v="174"/>
    <x v="174"/>
    <x v="174"/>
  </r>
  <r>
    <x v="175"/>
    <x v="175"/>
    <x v="175"/>
    <x v="175"/>
    <x v="175"/>
    <x v="175"/>
    <x v="175"/>
    <x v="175"/>
  </r>
  <r>
    <x v="176"/>
    <x v="176"/>
    <x v="176"/>
    <x v="176"/>
    <x v="176"/>
    <x v="176"/>
    <x v="176"/>
    <x v="176"/>
  </r>
  <r>
    <x v="177"/>
    <x v="177"/>
    <x v="177"/>
    <x v="177"/>
    <x v="177"/>
    <x v="177"/>
    <x v="177"/>
    <x v="177"/>
  </r>
  <r>
    <x v="178"/>
    <x v="178"/>
    <x v="178"/>
    <x v="178"/>
    <x v="178"/>
    <x v="178"/>
    <x v="178"/>
    <x v="178"/>
  </r>
  <r>
    <x v="179"/>
    <x v="179"/>
    <x v="179"/>
    <x v="179"/>
    <x v="179"/>
    <x v="179"/>
    <x v="179"/>
    <x v="179"/>
  </r>
  <r>
    <x v="180"/>
    <x v="180"/>
    <x v="180"/>
    <x v="180"/>
    <x v="180"/>
    <x v="180"/>
    <x v="180"/>
    <x v="180"/>
  </r>
  <r>
    <x v="181"/>
    <x v="181"/>
    <x v="181"/>
    <x v="181"/>
    <x v="181"/>
    <x v="181"/>
    <x v="181"/>
    <x v="181"/>
  </r>
  <r>
    <x v="182"/>
    <x v="182"/>
    <x v="182"/>
    <x v="182"/>
    <x v="182"/>
    <x v="182"/>
    <x v="182"/>
    <x v="182"/>
  </r>
  <r>
    <x v="183"/>
    <x v="183"/>
    <x v="183"/>
    <x v="183"/>
    <x v="183"/>
    <x v="183"/>
    <x v="183"/>
    <x v="183"/>
  </r>
  <r>
    <x v="184"/>
    <x v="184"/>
    <x v="184"/>
    <x v="184"/>
    <x v="184"/>
    <x v="184"/>
    <x v="184"/>
    <x v="184"/>
  </r>
  <r>
    <x v="185"/>
    <x v="185"/>
    <x v="185"/>
    <x v="185"/>
    <x v="185"/>
    <x v="185"/>
    <x v="185"/>
    <x v="185"/>
  </r>
  <r>
    <x v="186"/>
    <x v="186"/>
    <x v="186"/>
    <x v="186"/>
    <x v="186"/>
    <x v="186"/>
    <x v="186"/>
    <x v="186"/>
  </r>
  <r>
    <x v="187"/>
    <x v="187"/>
    <x v="187"/>
    <x v="187"/>
    <x v="187"/>
    <x v="187"/>
    <x v="187"/>
    <x v="187"/>
  </r>
  <r>
    <x v="188"/>
    <x v="188"/>
    <x v="188"/>
    <x v="188"/>
    <x v="188"/>
    <x v="188"/>
    <x v="188"/>
    <x v="188"/>
  </r>
  <r>
    <x v="189"/>
    <x v="189"/>
    <x v="189"/>
    <x v="189"/>
    <x v="189"/>
    <x v="189"/>
    <x v="189"/>
    <x v="189"/>
  </r>
  <r>
    <x v="190"/>
    <x v="190"/>
    <x v="190"/>
    <x v="190"/>
    <x v="190"/>
    <x v="190"/>
    <x v="190"/>
    <x v="190"/>
  </r>
  <r>
    <x v="191"/>
    <x v="191"/>
    <x v="191"/>
    <x v="191"/>
    <x v="191"/>
    <x v="191"/>
    <x v="191"/>
    <x v="191"/>
  </r>
  <r>
    <x v="192"/>
    <x v="192"/>
    <x v="192"/>
    <x v="192"/>
    <x v="192"/>
    <x v="192"/>
    <x v="192"/>
    <x v="192"/>
  </r>
  <r>
    <x v="193"/>
    <x v="193"/>
    <x v="193"/>
    <x v="193"/>
    <x v="193"/>
    <x v="193"/>
    <x v="193"/>
    <x v="193"/>
  </r>
  <r>
    <x v="194"/>
    <x v="194"/>
    <x v="194"/>
    <x v="194"/>
    <x v="194"/>
    <x v="194"/>
    <x v="194"/>
    <x v="194"/>
  </r>
  <r>
    <x v="195"/>
    <x v="195"/>
    <x v="195"/>
    <x v="195"/>
    <x v="195"/>
    <x v="195"/>
    <x v="195"/>
    <x v="195"/>
  </r>
  <r>
    <x v="196"/>
    <x v="196"/>
    <x v="196"/>
    <x v="196"/>
    <x v="196"/>
    <x v="196"/>
    <x v="196"/>
    <x v="196"/>
  </r>
  <r>
    <x v="197"/>
    <x v="197"/>
    <x v="197"/>
    <x v="197"/>
    <x v="197"/>
    <x v="197"/>
    <x v="197"/>
    <x v="197"/>
  </r>
  <r>
    <x v="198"/>
    <x v="198"/>
    <x v="198"/>
    <x v="198"/>
    <x v="198"/>
    <x v="198"/>
    <x v="198"/>
    <x v="198"/>
  </r>
  <r>
    <x v="199"/>
    <x v="199"/>
    <x v="199"/>
    <x v="199"/>
    <x v="199"/>
    <x v="199"/>
    <x v="199"/>
    <x v="199"/>
  </r>
  <r>
    <x v="200"/>
    <x v="200"/>
    <x v="200"/>
    <x v="200"/>
    <x v="200"/>
    <x v="200"/>
    <x v="200"/>
    <x v="200"/>
  </r>
  <r>
    <x v="201"/>
    <x v="201"/>
    <x v="201"/>
    <x v="201"/>
    <x v="201"/>
    <x v="201"/>
    <x v="201"/>
    <x v="201"/>
  </r>
  <r>
    <x v="202"/>
    <x v="202"/>
    <x v="202"/>
    <x v="202"/>
    <x v="202"/>
    <x v="202"/>
    <x v="202"/>
    <x v="202"/>
  </r>
  <r>
    <x v="203"/>
    <x v="203"/>
    <x v="203"/>
    <x v="203"/>
    <x v="203"/>
    <x v="203"/>
    <x v="203"/>
    <x v="203"/>
  </r>
  <r>
    <x v="204"/>
    <x v="204"/>
    <x v="204"/>
    <x v="204"/>
    <x v="204"/>
    <x v="204"/>
    <x v="204"/>
    <x v="204"/>
  </r>
  <r>
    <x v="205"/>
    <x v="205"/>
    <x v="205"/>
    <x v="205"/>
    <x v="205"/>
    <x v="205"/>
    <x v="205"/>
    <x v="205"/>
  </r>
  <r>
    <x v="206"/>
    <x v="206"/>
    <x v="206"/>
    <x v="206"/>
    <x v="206"/>
    <x v="206"/>
    <x v="206"/>
    <x v="206"/>
  </r>
  <r>
    <x v="207"/>
    <x v="207"/>
    <x v="207"/>
    <x v="207"/>
    <x v="207"/>
    <x v="207"/>
    <x v="207"/>
    <x v="207"/>
  </r>
  <r>
    <x v="208"/>
    <x v="208"/>
    <x v="208"/>
    <x v="208"/>
    <x v="208"/>
    <x v="208"/>
    <x v="208"/>
    <x v="208"/>
  </r>
  <r>
    <x v="209"/>
    <x v="209"/>
    <x v="209"/>
    <x v="209"/>
    <x v="209"/>
    <x v="209"/>
    <x v="209"/>
    <x v="209"/>
  </r>
  <r>
    <x v="210"/>
    <x v="210"/>
    <x v="210"/>
    <x v="210"/>
    <x v="210"/>
    <x v="210"/>
    <x v="210"/>
    <x v="210"/>
  </r>
  <r>
    <x v="211"/>
    <x v="211"/>
    <x v="211"/>
    <x v="211"/>
    <x v="211"/>
    <x v="211"/>
    <x v="211"/>
    <x v="211"/>
  </r>
  <r>
    <x v="212"/>
    <x v="212"/>
    <x v="212"/>
    <x v="212"/>
    <x v="212"/>
    <x v="212"/>
    <x v="212"/>
    <x v="212"/>
  </r>
  <r>
    <x v="213"/>
    <x v="213"/>
    <x v="213"/>
    <x v="213"/>
    <x v="213"/>
    <x v="213"/>
    <x v="213"/>
    <x v="213"/>
  </r>
  <r>
    <x v="214"/>
    <x v="214"/>
    <x v="214"/>
    <x v="214"/>
    <x v="214"/>
    <x v="214"/>
    <x v="214"/>
    <x v="214"/>
  </r>
  <r>
    <x v="215"/>
    <x v="215"/>
    <x v="215"/>
    <x v="215"/>
    <x v="215"/>
    <x v="215"/>
    <x v="215"/>
    <x v="215"/>
  </r>
  <r>
    <x v="216"/>
    <x v="216"/>
    <x v="216"/>
    <x v="216"/>
    <x v="216"/>
    <x v="216"/>
    <x v="216"/>
    <x v="216"/>
  </r>
  <r>
    <x v="217"/>
    <x v="217"/>
    <x v="217"/>
    <x v="217"/>
    <x v="217"/>
    <x v="217"/>
    <x v="217"/>
    <x v="217"/>
  </r>
  <r>
    <x v="218"/>
    <x v="218"/>
    <x v="218"/>
    <x v="218"/>
    <x v="218"/>
    <x v="218"/>
    <x v="218"/>
    <x v="218"/>
  </r>
  <r>
    <x v="219"/>
    <x v="219"/>
    <x v="219"/>
    <x v="219"/>
    <x v="219"/>
    <x v="219"/>
    <x v="219"/>
    <x v="219"/>
  </r>
  <r>
    <x v="220"/>
    <x v="220"/>
    <x v="220"/>
    <x v="220"/>
    <x v="220"/>
    <x v="220"/>
    <x v="220"/>
    <x v="220"/>
  </r>
  <r>
    <x v="221"/>
    <x v="221"/>
    <x v="221"/>
    <x v="221"/>
    <x v="221"/>
    <x v="221"/>
    <x v="221"/>
    <x v="221"/>
  </r>
  <r>
    <x v="222"/>
    <x v="222"/>
    <x v="222"/>
    <x v="222"/>
    <x v="222"/>
    <x v="222"/>
    <x v="222"/>
    <x v="222"/>
  </r>
  <r>
    <x v="223"/>
    <x v="223"/>
    <x v="223"/>
    <x v="223"/>
    <x v="223"/>
    <x v="223"/>
    <x v="223"/>
    <x v="223"/>
  </r>
  <r>
    <x v="224"/>
    <x v="224"/>
    <x v="224"/>
    <x v="224"/>
    <x v="224"/>
    <x v="224"/>
    <x v="224"/>
    <x v="224"/>
  </r>
  <r>
    <x v="225"/>
    <x v="225"/>
    <x v="225"/>
    <x v="225"/>
    <x v="225"/>
    <x v="225"/>
    <x v="225"/>
    <x v="225"/>
  </r>
  <r>
    <x v="226"/>
    <x v="226"/>
    <x v="226"/>
    <x v="226"/>
    <x v="226"/>
    <x v="226"/>
    <x v="226"/>
    <x v="226"/>
  </r>
  <r>
    <x v="227"/>
    <x v="227"/>
    <x v="227"/>
    <x v="227"/>
    <x v="227"/>
    <x v="227"/>
    <x v="227"/>
    <x v="227"/>
  </r>
  <r>
    <x v="228"/>
    <x v="228"/>
    <x v="228"/>
    <x v="228"/>
    <x v="228"/>
    <x v="228"/>
    <x v="228"/>
    <x v="228"/>
  </r>
  <r>
    <x v="229"/>
    <x v="229"/>
    <x v="229"/>
    <x v="229"/>
    <x v="229"/>
    <x v="229"/>
    <x v="229"/>
    <x v="229"/>
  </r>
  <r>
    <x v="230"/>
    <x v="230"/>
    <x v="230"/>
    <x v="230"/>
    <x v="230"/>
    <x v="230"/>
    <x v="230"/>
    <x v="230"/>
  </r>
  <r>
    <x v="231"/>
    <x v="231"/>
    <x v="231"/>
    <x v="231"/>
    <x v="231"/>
    <x v="231"/>
    <x v="231"/>
    <x v="231"/>
  </r>
  <r>
    <x v="232"/>
    <x v="232"/>
    <x v="232"/>
    <x v="232"/>
    <x v="232"/>
    <x v="232"/>
    <x v="232"/>
    <x v="232"/>
  </r>
  <r>
    <x v="233"/>
    <x v="233"/>
    <x v="233"/>
    <x v="233"/>
    <x v="233"/>
    <x v="233"/>
    <x v="233"/>
    <x v="233"/>
  </r>
  <r>
    <x v="234"/>
    <x v="234"/>
    <x v="234"/>
    <x v="234"/>
    <x v="234"/>
    <x v="234"/>
    <x v="234"/>
    <x v="234"/>
  </r>
  <r>
    <x v="235"/>
    <x v="235"/>
    <x v="235"/>
    <x v="235"/>
    <x v="235"/>
    <x v="235"/>
    <x v="235"/>
    <x v="235"/>
  </r>
  <r>
    <x v="236"/>
    <x v="236"/>
    <x v="236"/>
    <x v="236"/>
    <x v="236"/>
    <x v="236"/>
    <x v="236"/>
    <x v="236"/>
  </r>
  <r>
    <x v="237"/>
    <x v="237"/>
    <x v="237"/>
    <x v="237"/>
    <x v="237"/>
    <x v="237"/>
    <x v="237"/>
    <x v="237"/>
  </r>
  <r>
    <x v="238"/>
    <x v="238"/>
    <x v="238"/>
    <x v="238"/>
    <x v="238"/>
    <x v="238"/>
    <x v="238"/>
    <x v="238"/>
  </r>
  <r>
    <x v="239"/>
    <x v="239"/>
    <x v="239"/>
    <x v="239"/>
    <x v="239"/>
    <x v="239"/>
    <x v="239"/>
    <x v="239"/>
  </r>
  <r>
    <x v="240"/>
    <x v="240"/>
    <x v="240"/>
    <x v="240"/>
    <x v="240"/>
    <x v="240"/>
    <x v="240"/>
    <x v="240"/>
  </r>
  <r>
    <x v="241"/>
    <x v="241"/>
    <x v="241"/>
    <x v="241"/>
    <x v="241"/>
    <x v="241"/>
    <x v="241"/>
    <x v="241"/>
  </r>
  <r>
    <x v="242"/>
    <x v="242"/>
    <x v="242"/>
    <x v="242"/>
    <x v="242"/>
    <x v="242"/>
    <x v="242"/>
    <x v="242"/>
  </r>
  <r>
    <x v="243"/>
    <x v="243"/>
    <x v="243"/>
    <x v="243"/>
    <x v="243"/>
    <x v="243"/>
    <x v="243"/>
    <x v="243"/>
  </r>
  <r>
    <x v="244"/>
    <x v="244"/>
    <x v="244"/>
    <x v="244"/>
    <x v="244"/>
    <x v="244"/>
    <x v="244"/>
    <x v="244"/>
  </r>
  <r>
    <x v="245"/>
    <x v="245"/>
    <x v="245"/>
    <x v="245"/>
    <x v="245"/>
    <x v="245"/>
    <x v="245"/>
    <x v="245"/>
  </r>
  <r>
    <x v="246"/>
    <x v="246"/>
    <x v="246"/>
    <x v="246"/>
    <x v="246"/>
    <x v="246"/>
    <x v="246"/>
    <x v="246"/>
  </r>
  <r>
    <x v="247"/>
    <x v="247"/>
    <x v="247"/>
    <x v="247"/>
    <x v="247"/>
    <x v="247"/>
    <x v="247"/>
    <x v="247"/>
  </r>
  <r>
    <x v="248"/>
    <x v="248"/>
    <x v="248"/>
    <x v="248"/>
    <x v="248"/>
    <x v="248"/>
    <x v="248"/>
    <x v="248"/>
  </r>
  <r>
    <x v="249"/>
    <x v="249"/>
    <x v="249"/>
    <x v="249"/>
    <x v="249"/>
    <x v="249"/>
    <x v="249"/>
    <x v="249"/>
  </r>
  <r>
    <x v="250"/>
    <x v="250"/>
    <x v="250"/>
    <x v="250"/>
    <x v="250"/>
    <x v="250"/>
    <x v="250"/>
    <x v="250"/>
  </r>
  <r>
    <x v="251"/>
    <x v="251"/>
    <x v="251"/>
    <x v="251"/>
    <x v="251"/>
    <x v="251"/>
    <x v="251"/>
    <x v="251"/>
  </r>
  <r>
    <x v="252"/>
    <x v="252"/>
    <x v="252"/>
    <x v="252"/>
    <x v="252"/>
    <x v="252"/>
    <x v="252"/>
    <x v="252"/>
  </r>
  <r>
    <x v="253"/>
    <x v="253"/>
    <x v="253"/>
    <x v="253"/>
    <x v="253"/>
    <x v="253"/>
    <x v="253"/>
    <x v="253"/>
  </r>
  <r>
    <x v="254"/>
    <x v="254"/>
    <x v="254"/>
    <x v="254"/>
    <x v="254"/>
    <x v="254"/>
    <x v="254"/>
    <x v="254"/>
  </r>
  <r>
    <x v="255"/>
    <x v="255"/>
    <x v="255"/>
    <x v="255"/>
    <x v="255"/>
    <x v="255"/>
    <x v="255"/>
    <x v="255"/>
  </r>
  <r>
    <x v="256"/>
    <x v="256"/>
    <x v="256"/>
    <x v="256"/>
    <x v="256"/>
    <x v="256"/>
    <x v="256"/>
    <x v="256"/>
  </r>
  <r>
    <x v="257"/>
    <x v="257"/>
    <x v="257"/>
    <x v="257"/>
    <x v="257"/>
    <x v="257"/>
    <x v="257"/>
    <x v="257"/>
  </r>
  <r>
    <x v="258"/>
    <x v="258"/>
    <x v="258"/>
    <x v="258"/>
    <x v="258"/>
    <x v="258"/>
    <x v="258"/>
    <x v="258"/>
  </r>
  <r>
    <x v="259"/>
    <x v="259"/>
    <x v="259"/>
    <x v="259"/>
    <x v="259"/>
    <x v="259"/>
    <x v="259"/>
    <x v="259"/>
  </r>
  <r>
    <x v="260"/>
    <x v="260"/>
    <x v="260"/>
    <x v="260"/>
    <x v="260"/>
    <x v="260"/>
    <x v="260"/>
    <x v="260"/>
  </r>
  <r>
    <x v="261"/>
    <x v="261"/>
    <x v="261"/>
    <x v="261"/>
    <x v="261"/>
    <x v="261"/>
    <x v="261"/>
    <x v="261"/>
  </r>
  <r>
    <x v="262"/>
    <x v="262"/>
    <x v="262"/>
    <x v="262"/>
    <x v="262"/>
    <x v="262"/>
    <x v="262"/>
    <x v="262"/>
  </r>
  <r>
    <x v="263"/>
    <x v="263"/>
    <x v="263"/>
    <x v="263"/>
    <x v="263"/>
    <x v="263"/>
    <x v="263"/>
    <x v="263"/>
  </r>
  <r>
    <x v="264"/>
    <x v="264"/>
    <x v="264"/>
    <x v="264"/>
    <x v="264"/>
    <x v="264"/>
    <x v="264"/>
    <x v="264"/>
  </r>
  <r>
    <x v="265"/>
    <x v="265"/>
    <x v="265"/>
    <x v="265"/>
    <x v="265"/>
    <x v="265"/>
    <x v="265"/>
    <x v="265"/>
  </r>
  <r>
    <x v="266"/>
    <x v="266"/>
    <x v="266"/>
    <x v="266"/>
    <x v="266"/>
    <x v="266"/>
    <x v="266"/>
    <x v="266"/>
  </r>
  <r>
    <x v="267"/>
    <x v="267"/>
    <x v="267"/>
    <x v="267"/>
    <x v="267"/>
    <x v="267"/>
    <x v="267"/>
    <x v="267"/>
  </r>
  <r>
    <x v="268"/>
    <x v="268"/>
    <x v="268"/>
    <x v="268"/>
    <x v="268"/>
    <x v="268"/>
    <x v="268"/>
    <x v="268"/>
  </r>
  <r>
    <x v="269"/>
    <x v="269"/>
    <x v="269"/>
    <x v="269"/>
    <x v="269"/>
    <x v="269"/>
    <x v="269"/>
    <x v="269"/>
  </r>
  <r>
    <x v="270"/>
    <x v="270"/>
    <x v="270"/>
    <x v="270"/>
    <x v="270"/>
    <x v="270"/>
    <x v="270"/>
    <x v="270"/>
  </r>
  <r>
    <x v="271"/>
    <x v="271"/>
    <x v="271"/>
    <x v="271"/>
    <x v="271"/>
    <x v="271"/>
    <x v="271"/>
    <x v="271"/>
  </r>
  <r>
    <x v="272"/>
    <x v="272"/>
    <x v="272"/>
    <x v="272"/>
    <x v="272"/>
    <x v="272"/>
    <x v="272"/>
    <x v="272"/>
  </r>
  <r>
    <x v="273"/>
    <x v="273"/>
    <x v="273"/>
    <x v="273"/>
    <x v="273"/>
    <x v="273"/>
    <x v="273"/>
    <x v="273"/>
  </r>
  <r>
    <x v="274"/>
    <x v="274"/>
    <x v="274"/>
    <x v="274"/>
    <x v="274"/>
    <x v="274"/>
    <x v="274"/>
    <x v="274"/>
  </r>
  <r>
    <x v="275"/>
    <x v="275"/>
    <x v="275"/>
    <x v="275"/>
    <x v="275"/>
    <x v="275"/>
    <x v="275"/>
    <x v="275"/>
  </r>
  <r>
    <x v="276"/>
    <x v="276"/>
    <x v="276"/>
    <x v="276"/>
    <x v="276"/>
    <x v="276"/>
    <x v="276"/>
    <x v="276"/>
  </r>
  <r>
    <x v="277"/>
    <x v="277"/>
    <x v="277"/>
    <x v="277"/>
    <x v="277"/>
    <x v="277"/>
    <x v="277"/>
    <x v="277"/>
  </r>
  <r>
    <x v="278"/>
    <x v="278"/>
    <x v="278"/>
    <x v="278"/>
    <x v="278"/>
    <x v="278"/>
    <x v="278"/>
    <x v="278"/>
  </r>
  <r>
    <x v="279"/>
    <x v="279"/>
    <x v="279"/>
    <x v="279"/>
    <x v="279"/>
    <x v="279"/>
    <x v="279"/>
    <x v="279"/>
  </r>
  <r>
    <x v="280"/>
    <x v="280"/>
    <x v="280"/>
    <x v="280"/>
    <x v="280"/>
    <x v="280"/>
    <x v="280"/>
    <x v="280"/>
  </r>
  <r>
    <x v="281"/>
    <x v="281"/>
    <x v="281"/>
    <x v="281"/>
    <x v="281"/>
    <x v="281"/>
    <x v="281"/>
    <x v="281"/>
  </r>
  <r>
    <x v="282"/>
    <x v="282"/>
    <x v="282"/>
    <x v="282"/>
    <x v="282"/>
    <x v="282"/>
    <x v="282"/>
    <x v="282"/>
  </r>
  <r>
    <x v="283"/>
    <x v="283"/>
    <x v="283"/>
    <x v="283"/>
    <x v="283"/>
    <x v="283"/>
    <x v="283"/>
    <x v="283"/>
  </r>
  <r>
    <x v="284"/>
    <x v="284"/>
    <x v="284"/>
    <x v="284"/>
    <x v="284"/>
    <x v="284"/>
    <x v="284"/>
    <x v="284"/>
  </r>
  <r>
    <x v="285"/>
    <x v="285"/>
    <x v="285"/>
    <x v="285"/>
    <x v="285"/>
    <x v="285"/>
    <x v="285"/>
    <x v="285"/>
  </r>
  <r>
    <x v="286"/>
    <x v="286"/>
    <x v="286"/>
    <x v="286"/>
    <x v="286"/>
    <x v="286"/>
    <x v="286"/>
    <x v="286"/>
  </r>
  <r>
    <x v="287"/>
    <x v="287"/>
    <x v="287"/>
    <x v="287"/>
    <x v="287"/>
    <x v="287"/>
    <x v="287"/>
    <x v="287"/>
  </r>
  <r>
    <x v="288"/>
    <x v="288"/>
    <x v="288"/>
    <x v="288"/>
    <x v="288"/>
    <x v="288"/>
    <x v="288"/>
    <x v="288"/>
  </r>
  <r>
    <x v="289"/>
    <x v="289"/>
    <x v="289"/>
    <x v="289"/>
    <x v="289"/>
    <x v="289"/>
    <x v="289"/>
    <x v="289"/>
  </r>
  <r>
    <x v="290"/>
    <x v="290"/>
    <x v="290"/>
    <x v="290"/>
    <x v="290"/>
    <x v="290"/>
    <x v="290"/>
    <x v="290"/>
  </r>
  <r>
    <x v="291"/>
    <x v="291"/>
    <x v="291"/>
    <x v="291"/>
    <x v="291"/>
    <x v="291"/>
    <x v="291"/>
    <x v="291"/>
  </r>
  <r>
    <x v="292"/>
    <x v="292"/>
    <x v="292"/>
    <x v="292"/>
    <x v="292"/>
    <x v="292"/>
    <x v="292"/>
    <x v="292"/>
  </r>
  <r>
    <x v="293"/>
    <x v="293"/>
    <x v="293"/>
    <x v="293"/>
    <x v="293"/>
    <x v="293"/>
    <x v="293"/>
    <x v="293"/>
  </r>
  <r>
    <x v="294"/>
    <x v="294"/>
    <x v="294"/>
    <x v="294"/>
    <x v="294"/>
    <x v="294"/>
    <x v="294"/>
    <x v="294"/>
  </r>
  <r>
    <x v="295"/>
    <x v="295"/>
    <x v="295"/>
    <x v="295"/>
    <x v="295"/>
    <x v="295"/>
    <x v="295"/>
    <x v="295"/>
  </r>
  <r>
    <x v="296"/>
    <x v="296"/>
    <x v="296"/>
    <x v="296"/>
    <x v="296"/>
    <x v="296"/>
    <x v="296"/>
    <x v="296"/>
  </r>
  <r>
    <x v="297"/>
    <x v="297"/>
    <x v="297"/>
    <x v="297"/>
    <x v="297"/>
    <x v="297"/>
    <x v="297"/>
    <x v="297"/>
  </r>
  <r>
    <x v="298"/>
    <x v="298"/>
    <x v="298"/>
    <x v="298"/>
    <x v="298"/>
    <x v="298"/>
    <x v="298"/>
    <x v="298"/>
  </r>
  <r>
    <x v="299"/>
    <x v="299"/>
    <x v="299"/>
    <x v="299"/>
    <x v="299"/>
    <x v="299"/>
    <x v="299"/>
    <x v="299"/>
  </r>
  <r>
    <x v="300"/>
    <x v="300"/>
    <x v="300"/>
    <x v="300"/>
    <x v="300"/>
    <x v="300"/>
    <x v="300"/>
    <x v="300"/>
  </r>
  <r>
    <x v="301"/>
    <x v="301"/>
    <x v="301"/>
    <x v="301"/>
    <x v="301"/>
    <x v="301"/>
    <x v="301"/>
    <x v="301"/>
  </r>
  <r>
    <x v="302"/>
    <x v="302"/>
    <x v="302"/>
    <x v="302"/>
    <x v="302"/>
    <x v="302"/>
    <x v="302"/>
    <x v="302"/>
  </r>
  <r>
    <x v="303"/>
    <x v="303"/>
    <x v="303"/>
    <x v="303"/>
    <x v="303"/>
    <x v="303"/>
    <x v="303"/>
    <x v="303"/>
  </r>
  <r>
    <x v="304"/>
    <x v="304"/>
    <x v="304"/>
    <x v="304"/>
    <x v="304"/>
    <x v="304"/>
    <x v="304"/>
    <x v="304"/>
  </r>
  <r>
    <x v="305"/>
    <x v="305"/>
    <x v="305"/>
    <x v="305"/>
    <x v="305"/>
    <x v="305"/>
    <x v="305"/>
    <x v="305"/>
  </r>
  <r>
    <x v="306"/>
    <x v="306"/>
    <x v="306"/>
    <x v="306"/>
    <x v="306"/>
    <x v="306"/>
    <x v="306"/>
    <x v="306"/>
  </r>
  <r>
    <x v="307"/>
    <x v="307"/>
    <x v="307"/>
    <x v="307"/>
    <x v="307"/>
    <x v="307"/>
    <x v="307"/>
    <x v="307"/>
  </r>
  <r>
    <x v="308"/>
    <x v="308"/>
    <x v="308"/>
    <x v="308"/>
    <x v="308"/>
    <x v="308"/>
    <x v="308"/>
    <x v="308"/>
  </r>
  <r>
    <x v="309"/>
    <x v="309"/>
    <x v="309"/>
    <x v="309"/>
    <x v="309"/>
    <x v="309"/>
    <x v="309"/>
    <x v="309"/>
  </r>
  <r>
    <x v="310"/>
    <x v="310"/>
    <x v="310"/>
    <x v="310"/>
    <x v="310"/>
    <x v="310"/>
    <x v="310"/>
    <x v="310"/>
  </r>
  <r>
    <x v="311"/>
    <x v="311"/>
    <x v="311"/>
    <x v="311"/>
    <x v="311"/>
    <x v="311"/>
    <x v="311"/>
    <x v="311"/>
  </r>
  <r>
    <x v="312"/>
    <x v="312"/>
    <x v="312"/>
    <x v="312"/>
    <x v="312"/>
    <x v="312"/>
    <x v="312"/>
    <x v="312"/>
  </r>
  <r>
    <x v="313"/>
    <x v="313"/>
    <x v="313"/>
    <x v="313"/>
    <x v="313"/>
    <x v="313"/>
    <x v="313"/>
    <x v="313"/>
  </r>
  <r>
    <x v="314"/>
    <x v="314"/>
    <x v="314"/>
    <x v="314"/>
    <x v="314"/>
    <x v="314"/>
    <x v="314"/>
    <x v="314"/>
  </r>
  <r>
    <x v="315"/>
    <x v="315"/>
    <x v="315"/>
    <x v="315"/>
    <x v="315"/>
    <x v="315"/>
    <x v="315"/>
    <x v="315"/>
  </r>
  <r>
    <x v="316"/>
    <x v="316"/>
    <x v="316"/>
    <x v="316"/>
    <x v="316"/>
    <x v="316"/>
    <x v="316"/>
    <x v="316"/>
  </r>
  <r>
    <x v="317"/>
    <x v="317"/>
    <x v="317"/>
    <x v="317"/>
    <x v="317"/>
    <x v="317"/>
    <x v="317"/>
    <x v="317"/>
  </r>
  <r>
    <x v="318"/>
    <x v="318"/>
    <x v="318"/>
    <x v="318"/>
    <x v="318"/>
    <x v="318"/>
    <x v="318"/>
    <x v="318"/>
  </r>
  <r>
    <x v="319"/>
    <x v="319"/>
    <x v="319"/>
    <x v="319"/>
    <x v="319"/>
    <x v="319"/>
    <x v="319"/>
    <x v="319"/>
  </r>
  <r>
    <x v="320"/>
    <x v="320"/>
    <x v="320"/>
    <x v="320"/>
    <x v="320"/>
    <x v="320"/>
    <x v="320"/>
    <x v="320"/>
  </r>
  <r>
    <x v="321"/>
    <x v="321"/>
    <x v="321"/>
    <x v="321"/>
    <x v="321"/>
    <x v="321"/>
    <x v="321"/>
    <x v="321"/>
  </r>
  <r>
    <x v="322"/>
    <x v="322"/>
    <x v="322"/>
    <x v="322"/>
    <x v="322"/>
    <x v="322"/>
    <x v="322"/>
    <x v="322"/>
  </r>
  <r>
    <x v="323"/>
    <x v="323"/>
    <x v="323"/>
    <x v="323"/>
    <x v="323"/>
    <x v="323"/>
    <x v="323"/>
    <x v="323"/>
  </r>
  <r>
    <x v="324"/>
    <x v="324"/>
    <x v="324"/>
    <x v="324"/>
    <x v="324"/>
    <x v="324"/>
    <x v="324"/>
    <x v="324"/>
  </r>
  <r>
    <x v="325"/>
    <x v="325"/>
    <x v="325"/>
    <x v="325"/>
    <x v="325"/>
    <x v="325"/>
    <x v="325"/>
    <x v="325"/>
  </r>
  <r>
    <x v="326"/>
    <x v="326"/>
    <x v="326"/>
    <x v="326"/>
    <x v="326"/>
    <x v="326"/>
    <x v="326"/>
    <x v="326"/>
  </r>
  <r>
    <x v="327"/>
    <x v="327"/>
    <x v="327"/>
    <x v="327"/>
    <x v="327"/>
    <x v="327"/>
    <x v="327"/>
    <x v="327"/>
  </r>
  <r>
    <x v="328"/>
    <x v="328"/>
    <x v="328"/>
    <x v="328"/>
    <x v="328"/>
    <x v="328"/>
    <x v="328"/>
    <x v="328"/>
  </r>
  <r>
    <x v="329"/>
    <x v="329"/>
    <x v="329"/>
    <x v="329"/>
    <x v="329"/>
    <x v="329"/>
    <x v="329"/>
    <x v="329"/>
  </r>
  <r>
    <x v="330"/>
    <x v="330"/>
    <x v="330"/>
    <x v="330"/>
    <x v="330"/>
    <x v="330"/>
    <x v="330"/>
    <x v="330"/>
  </r>
  <r>
    <x v="331"/>
    <x v="331"/>
    <x v="331"/>
    <x v="331"/>
    <x v="331"/>
    <x v="331"/>
    <x v="331"/>
    <x v="331"/>
  </r>
  <r>
    <x v="332"/>
    <x v="332"/>
    <x v="332"/>
    <x v="332"/>
    <x v="332"/>
    <x v="332"/>
    <x v="332"/>
    <x v="332"/>
  </r>
  <r>
    <x v="333"/>
    <x v="333"/>
    <x v="333"/>
    <x v="333"/>
    <x v="333"/>
    <x v="333"/>
    <x v="333"/>
    <x v="333"/>
  </r>
  <r>
    <x v="334"/>
    <x v="334"/>
    <x v="334"/>
    <x v="334"/>
    <x v="334"/>
    <x v="334"/>
    <x v="334"/>
    <x v="334"/>
  </r>
  <r>
    <x v="335"/>
    <x v="335"/>
    <x v="335"/>
    <x v="335"/>
    <x v="335"/>
    <x v="335"/>
    <x v="335"/>
    <x v="335"/>
  </r>
  <r>
    <x v="336"/>
    <x v="336"/>
    <x v="336"/>
    <x v="336"/>
    <x v="336"/>
    <x v="336"/>
    <x v="336"/>
    <x v="336"/>
  </r>
  <r>
    <x v="337"/>
    <x v="337"/>
    <x v="337"/>
    <x v="337"/>
    <x v="337"/>
    <x v="337"/>
    <x v="337"/>
    <x v="337"/>
  </r>
  <r>
    <x v="338"/>
    <x v="338"/>
    <x v="338"/>
    <x v="338"/>
    <x v="338"/>
    <x v="338"/>
    <x v="338"/>
    <x v="338"/>
  </r>
  <r>
    <x v="339"/>
    <x v="339"/>
    <x v="339"/>
    <x v="339"/>
    <x v="339"/>
    <x v="339"/>
    <x v="339"/>
    <x v="339"/>
  </r>
  <r>
    <x v="340"/>
    <x v="340"/>
    <x v="340"/>
    <x v="340"/>
    <x v="340"/>
    <x v="340"/>
    <x v="340"/>
    <x v="340"/>
  </r>
  <r>
    <x v="341"/>
    <x v="341"/>
    <x v="341"/>
    <x v="341"/>
    <x v="341"/>
    <x v="341"/>
    <x v="341"/>
    <x v="341"/>
  </r>
  <r>
    <x v="342"/>
    <x v="342"/>
    <x v="342"/>
    <x v="342"/>
    <x v="342"/>
    <x v="342"/>
    <x v="342"/>
    <x v="342"/>
  </r>
  <r>
    <x v="343"/>
    <x v="343"/>
    <x v="343"/>
    <x v="343"/>
    <x v="343"/>
    <x v="343"/>
    <x v="343"/>
    <x v="343"/>
  </r>
  <r>
    <x v="344"/>
    <x v="344"/>
    <x v="344"/>
    <x v="344"/>
    <x v="344"/>
    <x v="344"/>
    <x v="344"/>
    <x v="344"/>
  </r>
  <r>
    <x v="345"/>
    <x v="345"/>
    <x v="345"/>
    <x v="345"/>
    <x v="345"/>
    <x v="345"/>
    <x v="345"/>
    <x v="345"/>
  </r>
  <r>
    <x v="346"/>
    <x v="346"/>
    <x v="346"/>
    <x v="346"/>
    <x v="346"/>
    <x v="346"/>
    <x v="346"/>
    <x v="346"/>
  </r>
  <r>
    <x v="347"/>
    <x v="347"/>
    <x v="347"/>
    <x v="347"/>
    <x v="347"/>
    <x v="347"/>
    <x v="347"/>
    <x v="347"/>
  </r>
  <r>
    <x v="348"/>
    <x v="348"/>
    <x v="348"/>
    <x v="348"/>
    <x v="348"/>
    <x v="348"/>
    <x v="348"/>
    <x v="348"/>
  </r>
  <r>
    <x v="349"/>
    <x v="349"/>
    <x v="349"/>
    <x v="349"/>
    <x v="349"/>
    <x v="349"/>
    <x v="349"/>
    <x v="349"/>
  </r>
  <r>
    <x v="350"/>
    <x v="350"/>
    <x v="350"/>
    <x v="350"/>
    <x v="350"/>
    <x v="350"/>
    <x v="350"/>
    <x v="350"/>
  </r>
  <r>
    <x v="351"/>
    <x v="351"/>
    <x v="351"/>
    <x v="351"/>
    <x v="351"/>
    <x v="351"/>
    <x v="351"/>
    <x v="351"/>
  </r>
  <r>
    <x v="352"/>
    <x v="352"/>
    <x v="352"/>
    <x v="352"/>
    <x v="352"/>
    <x v="352"/>
    <x v="352"/>
    <x v="352"/>
  </r>
  <r>
    <x v="353"/>
    <x v="353"/>
    <x v="353"/>
    <x v="353"/>
    <x v="353"/>
    <x v="353"/>
    <x v="353"/>
    <x v="353"/>
  </r>
  <r>
    <x v="354"/>
    <x v="354"/>
    <x v="354"/>
    <x v="354"/>
    <x v="354"/>
    <x v="354"/>
    <x v="354"/>
    <x v="354"/>
  </r>
  <r>
    <x v="355"/>
    <x v="355"/>
    <x v="355"/>
    <x v="355"/>
    <x v="355"/>
    <x v="355"/>
    <x v="355"/>
    <x v="355"/>
  </r>
  <r>
    <x v="356"/>
    <x v="356"/>
    <x v="356"/>
    <x v="356"/>
    <x v="356"/>
    <x v="356"/>
    <x v="356"/>
    <x v="356"/>
  </r>
  <r>
    <x v="357"/>
    <x v="357"/>
    <x v="357"/>
    <x v="357"/>
    <x v="357"/>
    <x v="357"/>
    <x v="357"/>
    <x v="357"/>
  </r>
  <r>
    <x v="358"/>
    <x v="358"/>
    <x v="358"/>
    <x v="358"/>
    <x v="358"/>
    <x v="358"/>
    <x v="358"/>
    <x v="358"/>
  </r>
  <r>
    <x v="359"/>
    <x v="359"/>
    <x v="359"/>
    <x v="359"/>
    <x v="359"/>
    <x v="359"/>
    <x v="359"/>
    <x v="359"/>
  </r>
  <r>
    <x v="360"/>
    <x v="360"/>
    <x v="360"/>
    <x v="360"/>
    <x v="360"/>
    <x v="360"/>
    <x v="360"/>
    <x v="360"/>
  </r>
  <r>
    <x v="361"/>
    <x v="361"/>
    <x v="361"/>
    <x v="361"/>
    <x v="361"/>
    <x v="361"/>
    <x v="361"/>
    <x v="361"/>
  </r>
  <r>
    <x v="362"/>
    <x v="362"/>
    <x v="362"/>
    <x v="362"/>
    <x v="362"/>
    <x v="362"/>
    <x v="362"/>
    <x v="362"/>
  </r>
  <r>
    <x v="363"/>
    <x v="363"/>
    <x v="363"/>
    <x v="363"/>
    <x v="363"/>
    <x v="363"/>
    <x v="363"/>
    <x v="363"/>
  </r>
  <r>
    <x v="364"/>
    <x v="364"/>
    <x v="364"/>
    <x v="364"/>
    <x v="364"/>
    <x v="364"/>
    <x v="364"/>
    <x v="364"/>
  </r>
  <r>
    <x v="365"/>
    <x v="365"/>
    <x v="365"/>
    <x v="365"/>
    <x v="365"/>
    <x v="365"/>
    <x v="365"/>
    <x v="365"/>
  </r>
  <r>
    <x v="366"/>
    <x v="366"/>
    <x v="366"/>
    <x v="366"/>
    <x v="366"/>
    <x v="366"/>
    <x v="366"/>
    <x v="366"/>
  </r>
  <r>
    <x v="367"/>
    <x v="367"/>
    <x v="367"/>
    <x v="367"/>
    <x v="367"/>
    <x v="367"/>
    <x v="367"/>
    <x v="367"/>
  </r>
  <r>
    <x v="368"/>
    <x v="368"/>
    <x v="368"/>
    <x v="368"/>
    <x v="368"/>
    <x v="368"/>
    <x v="368"/>
    <x v="368"/>
  </r>
  <r>
    <x v="369"/>
    <x v="369"/>
    <x v="369"/>
    <x v="369"/>
    <x v="369"/>
    <x v="369"/>
    <x v="369"/>
    <x v="369"/>
  </r>
  <r>
    <x v="370"/>
    <x v="370"/>
    <x v="370"/>
    <x v="370"/>
    <x v="370"/>
    <x v="370"/>
    <x v="370"/>
    <x v="370"/>
  </r>
  <r>
    <x v="371"/>
    <x v="371"/>
    <x v="371"/>
    <x v="371"/>
    <x v="371"/>
    <x v="371"/>
    <x v="371"/>
    <x v="371"/>
  </r>
  <r>
    <x v="372"/>
    <x v="372"/>
    <x v="372"/>
    <x v="372"/>
    <x v="372"/>
    <x v="372"/>
    <x v="372"/>
    <x v="372"/>
  </r>
  <r>
    <x v="373"/>
    <x v="373"/>
    <x v="373"/>
    <x v="373"/>
    <x v="373"/>
    <x v="373"/>
    <x v="373"/>
    <x v="373"/>
  </r>
  <r>
    <x v="374"/>
    <x v="374"/>
    <x v="374"/>
    <x v="374"/>
    <x v="374"/>
    <x v="374"/>
    <x v="374"/>
    <x v="374"/>
  </r>
  <r>
    <x v="375"/>
    <x v="375"/>
    <x v="375"/>
    <x v="375"/>
    <x v="375"/>
    <x v="375"/>
    <x v="375"/>
    <x v="375"/>
  </r>
  <r>
    <x v="376"/>
    <x v="376"/>
    <x v="376"/>
    <x v="376"/>
    <x v="376"/>
    <x v="376"/>
    <x v="376"/>
    <x v="376"/>
  </r>
  <r>
    <x v="377"/>
    <x v="377"/>
    <x v="377"/>
    <x v="377"/>
    <x v="377"/>
    <x v="377"/>
    <x v="377"/>
    <x v="377"/>
  </r>
  <r>
    <x v="378"/>
    <x v="378"/>
    <x v="378"/>
    <x v="378"/>
    <x v="378"/>
    <x v="378"/>
    <x v="378"/>
    <x v="378"/>
  </r>
  <r>
    <x v="379"/>
    <x v="379"/>
    <x v="379"/>
    <x v="379"/>
    <x v="379"/>
    <x v="379"/>
    <x v="379"/>
    <x v="379"/>
  </r>
  <r>
    <x v="380"/>
    <x v="380"/>
    <x v="380"/>
    <x v="380"/>
    <x v="380"/>
    <x v="380"/>
    <x v="380"/>
    <x v="380"/>
  </r>
  <r>
    <x v="381"/>
    <x v="381"/>
    <x v="381"/>
    <x v="381"/>
    <x v="381"/>
    <x v="381"/>
    <x v="381"/>
    <x v="381"/>
  </r>
  <r>
    <x v="382"/>
    <x v="382"/>
    <x v="382"/>
    <x v="382"/>
    <x v="382"/>
    <x v="382"/>
    <x v="382"/>
    <x v="382"/>
  </r>
  <r>
    <x v="383"/>
    <x v="383"/>
    <x v="383"/>
    <x v="383"/>
    <x v="383"/>
    <x v="383"/>
    <x v="383"/>
    <x v="383"/>
  </r>
  <r>
    <x v="384"/>
    <x v="384"/>
    <x v="384"/>
    <x v="384"/>
    <x v="384"/>
    <x v="384"/>
    <x v="384"/>
    <x v="384"/>
  </r>
  <r>
    <x v="385"/>
    <x v="385"/>
    <x v="385"/>
    <x v="385"/>
    <x v="385"/>
    <x v="385"/>
    <x v="385"/>
    <x v="385"/>
  </r>
  <r>
    <x v="386"/>
    <x v="386"/>
    <x v="386"/>
    <x v="386"/>
    <x v="386"/>
    <x v="386"/>
    <x v="386"/>
    <x v="386"/>
  </r>
  <r>
    <x v="387"/>
    <x v="387"/>
    <x v="387"/>
    <x v="387"/>
    <x v="387"/>
    <x v="387"/>
    <x v="387"/>
    <x v="387"/>
  </r>
  <r>
    <x v="388"/>
    <x v="388"/>
    <x v="388"/>
    <x v="388"/>
    <x v="388"/>
    <x v="388"/>
    <x v="388"/>
    <x v="388"/>
  </r>
  <r>
    <x v="389"/>
    <x v="389"/>
    <x v="389"/>
    <x v="389"/>
    <x v="389"/>
    <x v="389"/>
    <x v="389"/>
    <x v="389"/>
  </r>
  <r>
    <x v="390"/>
    <x v="390"/>
    <x v="390"/>
    <x v="390"/>
    <x v="390"/>
    <x v="390"/>
    <x v="390"/>
    <x v="390"/>
  </r>
  <r>
    <x v="391"/>
    <x v="391"/>
    <x v="391"/>
    <x v="391"/>
    <x v="391"/>
    <x v="391"/>
    <x v="391"/>
    <x v="391"/>
  </r>
  <r>
    <x v="392"/>
    <x v="392"/>
    <x v="392"/>
    <x v="392"/>
    <x v="392"/>
    <x v="392"/>
    <x v="392"/>
    <x v="392"/>
  </r>
  <r>
    <x v="393"/>
    <x v="393"/>
    <x v="393"/>
    <x v="393"/>
    <x v="393"/>
    <x v="393"/>
    <x v="393"/>
    <x v="393"/>
  </r>
  <r>
    <x v="394"/>
    <x v="394"/>
    <x v="394"/>
    <x v="394"/>
    <x v="394"/>
    <x v="394"/>
    <x v="394"/>
    <x v="394"/>
  </r>
  <r>
    <x v="395"/>
    <x v="395"/>
    <x v="395"/>
    <x v="395"/>
    <x v="395"/>
    <x v="395"/>
    <x v="395"/>
    <x v="395"/>
  </r>
  <r>
    <x v="396"/>
    <x v="396"/>
    <x v="396"/>
    <x v="396"/>
    <x v="396"/>
    <x v="396"/>
    <x v="396"/>
    <x v="396"/>
  </r>
  <r>
    <x v="397"/>
    <x v="397"/>
    <x v="397"/>
    <x v="397"/>
    <x v="397"/>
    <x v="397"/>
    <x v="397"/>
    <x v="397"/>
  </r>
  <r>
    <x v="398"/>
    <x v="398"/>
    <x v="398"/>
    <x v="398"/>
    <x v="398"/>
    <x v="398"/>
    <x v="398"/>
    <x v="398"/>
  </r>
  <r>
    <x v="399"/>
    <x v="399"/>
    <x v="399"/>
    <x v="399"/>
    <x v="399"/>
    <x v="399"/>
    <x v="399"/>
    <x v="399"/>
  </r>
  <r>
    <x v="400"/>
    <x v="400"/>
    <x v="400"/>
    <x v="400"/>
    <x v="400"/>
    <x v="400"/>
    <x v="400"/>
    <x v="400"/>
  </r>
  <r>
    <x v="401"/>
    <x v="401"/>
    <x v="401"/>
    <x v="401"/>
    <x v="401"/>
    <x v="401"/>
    <x v="401"/>
    <x v="401"/>
  </r>
  <r>
    <x v="402"/>
    <x v="402"/>
    <x v="402"/>
    <x v="402"/>
    <x v="402"/>
    <x v="402"/>
    <x v="402"/>
    <x v="402"/>
  </r>
  <r>
    <x v="403"/>
    <x v="403"/>
    <x v="403"/>
    <x v="403"/>
    <x v="403"/>
    <x v="403"/>
    <x v="403"/>
    <x v="403"/>
  </r>
  <r>
    <x v="404"/>
    <x v="404"/>
    <x v="404"/>
    <x v="404"/>
    <x v="404"/>
    <x v="404"/>
    <x v="404"/>
    <x v="404"/>
  </r>
  <r>
    <x v="405"/>
    <x v="405"/>
    <x v="405"/>
    <x v="405"/>
    <x v="405"/>
    <x v="405"/>
    <x v="405"/>
    <x v="405"/>
  </r>
  <r>
    <x v="406"/>
    <x v="406"/>
    <x v="406"/>
    <x v="406"/>
    <x v="406"/>
    <x v="406"/>
    <x v="406"/>
    <x v="406"/>
  </r>
  <r>
    <x v="407"/>
    <x v="407"/>
    <x v="407"/>
    <x v="407"/>
    <x v="407"/>
    <x v="407"/>
    <x v="407"/>
    <x v="407"/>
  </r>
  <r>
    <x v="408"/>
    <x v="408"/>
    <x v="408"/>
    <x v="408"/>
    <x v="408"/>
    <x v="408"/>
    <x v="408"/>
    <x v="408"/>
  </r>
  <r>
    <x v="409"/>
    <x v="409"/>
    <x v="409"/>
    <x v="409"/>
    <x v="409"/>
    <x v="409"/>
    <x v="409"/>
    <x v="409"/>
  </r>
  <r>
    <x v="410"/>
    <x v="410"/>
    <x v="410"/>
    <x v="410"/>
    <x v="410"/>
    <x v="410"/>
    <x v="410"/>
    <x v="410"/>
  </r>
  <r>
    <x v="411"/>
    <x v="411"/>
    <x v="411"/>
    <x v="411"/>
    <x v="411"/>
    <x v="411"/>
    <x v="411"/>
    <x v="411"/>
  </r>
  <r>
    <x v="412"/>
    <x v="412"/>
    <x v="412"/>
    <x v="412"/>
    <x v="412"/>
    <x v="412"/>
    <x v="412"/>
    <x v="412"/>
  </r>
  <r>
    <x v="413"/>
    <x v="413"/>
    <x v="413"/>
    <x v="413"/>
    <x v="413"/>
    <x v="413"/>
    <x v="413"/>
    <x v="413"/>
  </r>
  <r>
    <x v="414"/>
    <x v="414"/>
    <x v="414"/>
    <x v="414"/>
    <x v="414"/>
    <x v="414"/>
    <x v="414"/>
    <x v="414"/>
  </r>
  <r>
    <x v="415"/>
    <x v="415"/>
    <x v="415"/>
    <x v="415"/>
    <x v="415"/>
    <x v="415"/>
    <x v="415"/>
    <x v="415"/>
  </r>
  <r>
    <x v="416"/>
    <x v="416"/>
    <x v="416"/>
    <x v="416"/>
    <x v="416"/>
    <x v="416"/>
    <x v="416"/>
    <x v="416"/>
  </r>
  <r>
    <x v="417"/>
    <x v="417"/>
    <x v="417"/>
    <x v="417"/>
    <x v="417"/>
    <x v="417"/>
    <x v="417"/>
    <x v="417"/>
  </r>
  <r>
    <x v="418"/>
    <x v="418"/>
    <x v="418"/>
    <x v="418"/>
    <x v="418"/>
    <x v="418"/>
    <x v="418"/>
    <x v="418"/>
  </r>
  <r>
    <x v="419"/>
    <x v="419"/>
    <x v="419"/>
    <x v="419"/>
    <x v="419"/>
    <x v="419"/>
    <x v="419"/>
    <x v="419"/>
  </r>
  <r>
    <x v="420"/>
    <x v="420"/>
    <x v="420"/>
    <x v="420"/>
    <x v="420"/>
    <x v="420"/>
    <x v="420"/>
    <x v="420"/>
  </r>
  <r>
    <x v="421"/>
    <x v="421"/>
    <x v="421"/>
    <x v="421"/>
    <x v="421"/>
    <x v="421"/>
    <x v="421"/>
    <x v="421"/>
  </r>
  <r>
    <x v="422"/>
    <x v="422"/>
    <x v="422"/>
    <x v="422"/>
    <x v="422"/>
    <x v="422"/>
    <x v="422"/>
    <x v="422"/>
  </r>
  <r>
    <x v="423"/>
    <x v="423"/>
    <x v="423"/>
    <x v="423"/>
    <x v="423"/>
    <x v="423"/>
    <x v="423"/>
    <x v="423"/>
  </r>
  <r>
    <x v="424"/>
    <x v="424"/>
    <x v="424"/>
    <x v="424"/>
    <x v="424"/>
    <x v="424"/>
    <x v="424"/>
    <x v="424"/>
  </r>
  <r>
    <x v="425"/>
    <x v="425"/>
    <x v="425"/>
    <x v="425"/>
    <x v="425"/>
    <x v="425"/>
    <x v="425"/>
    <x v="425"/>
  </r>
  <r>
    <x v="426"/>
    <x v="426"/>
    <x v="426"/>
    <x v="426"/>
    <x v="426"/>
    <x v="426"/>
    <x v="426"/>
    <x v="426"/>
  </r>
  <r>
    <x v="427"/>
    <x v="427"/>
    <x v="427"/>
    <x v="427"/>
    <x v="427"/>
    <x v="427"/>
    <x v="427"/>
    <x v="427"/>
  </r>
  <r>
    <x v="428"/>
    <x v="428"/>
    <x v="428"/>
    <x v="428"/>
    <x v="428"/>
    <x v="428"/>
    <x v="428"/>
    <x v="428"/>
  </r>
  <r>
    <x v="429"/>
    <x v="429"/>
    <x v="429"/>
    <x v="429"/>
    <x v="429"/>
    <x v="429"/>
    <x v="429"/>
    <x v="429"/>
  </r>
  <r>
    <x v="430"/>
    <x v="430"/>
    <x v="430"/>
    <x v="430"/>
    <x v="430"/>
    <x v="430"/>
    <x v="430"/>
    <x v="430"/>
  </r>
  <r>
    <x v="431"/>
    <x v="431"/>
    <x v="431"/>
    <x v="431"/>
    <x v="431"/>
    <x v="431"/>
    <x v="431"/>
    <x v="431"/>
  </r>
  <r>
    <x v="432"/>
    <x v="432"/>
    <x v="432"/>
    <x v="432"/>
    <x v="432"/>
    <x v="432"/>
    <x v="432"/>
    <x v="432"/>
  </r>
  <r>
    <x v="433"/>
    <x v="433"/>
    <x v="433"/>
    <x v="433"/>
    <x v="433"/>
    <x v="433"/>
    <x v="433"/>
    <x v="433"/>
  </r>
  <r>
    <x v="434"/>
    <x v="434"/>
    <x v="434"/>
    <x v="434"/>
    <x v="434"/>
    <x v="434"/>
    <x v="434"/>
    <x v="434"/>
  </r>
  <r>
    <x v="435"/>
    <x v="435"/>
    <x v="435"/>
    <x v="435"/>
    <x v="435"/>
    <x v="435"/>
    <x v="435"/>
    <x v="435"/>
  </r>
  <r>
    <x v="436"/>
    <x v="436"/>
    <x v="436"/>
    <x v="436"/>
    <x v="436"/>
    <x v="95"/>
    <x v="436"/>
    <x v="436"/>
  </r>
  <r>
    <x v="437"/>
    <x v="437"/>
    <x v="437"/>
    <x v="437"/>
    <x v="437"/>
    <x v="436"/>
    <x v="437"/>
    <x v="437"/>
  </r>
  <r>
    <x v="438"/>
    <x v="438"/>
    <x v="438"/>
    <x v="438"/>
    <x v="438"/>
    <x v="437"/>
    <x v="438"/>
    <x v="438"/>
  </r>
  <r>
    <x v="439"/>
    <x v="439"/>
    <x v="439"/>
    <x v="439"/>
    <x v="439"/>
    <x v="438"/>
    <x v="439"/>
    <x v="439"/>
  </r>
  <r>
    <x v="440"/>
    <x v="440"/>
    <x v="440"/>
    <x v="440"/>
    <x v="440"/>
    <x v="439"/>
    <x v="440"/>
    <x v="440"/>
  </r>
  <r>
    <x v="441"/>
    <x v="441"/>
    <x v="441"/>
    <x v="441"/>
    <x v="441"/>
    <x v="440"/>
    <x v="441"/>
    <x v="441"/>
  </r>
  <r>
    <x v="442"/>
    <x v="442"/>
    <x v="442"/>
    <x v="442"/>
    <x v="442"/>
    <x v="441"/>
    <x v="442"/>
    <x v="442"/>
  </r>
  <r>
    <x v="443"/>
    <x v="443"/>
    <x v="443"/>
    <x v="443"/>
    <x v="443"/>
    <x v="442"/>
    <x v="443"/>
    <x v="443"/>
  </r>
  <r>
    <x v="444"/>
    <x v="444"/>
    <x v="444"/>
    <x v="444"/>
    <x v="444"/>
    <x v="443"/>
    <x v="444"/>
    <x v="444"/>
  </r>
  <r>
    <x v="445"/>
    <x v="445"/>
    <x v="445"/>
    <x v="445"/>
    <x v="445"/>
    <x v="444"/>
    <x v="445"/>
    <x v="445"/>
  </r>
  <r>
    <x v="446"/>
    <x v="446"/>
    <x v="446"/>
    <x v="446"/>
    <x v="446"/>
    <x v="445"/>
    <x v="446"/>
    <x v="446"/>
  </r>
  <r>
    <x v="447"/>
    <x v="447"/>
    <x v="447"/>
    <x v="447"/>
    <x v="447"/>
    <x v="446"/>
    <x v="447"/>
    <x v="447"/>
  </r>
  <r>
    <x v="448"/>
    <x v="448"/>
    <x v="448"/>
    <x v="448"/>
    <x v="448"/>
    <x v="447"/>
    <x v="448"/>
    <x v="448"/>
  </r>
  <r>
    <x v="449"/>
    <x v="449"/>
    <x v="449"/>
    <x v="449"/>
    <x v="449"/>
    <x v="448"/>
    <x v="449"/>
    <x v="449"/>
  </r>
  <r>
    <x v="450"/>
    <x v="450"/>
    <x v="450"/>
    <x v="450"/>
    <x v="450"/>
    <x v="449"/>
    <x v="450"/>
    <x v="450"/>
  </r>
  <r>
    <x v="451"/>
    <x v="451"/>
    <x v="451"/>
    <x v="451"/>
    <x v="451"/>
    <x v="450"/>
    <x v="451"/>
    <x v="451"/>
  </r>
  <r>
    <x v="452"/>
    <x v="452"/>
    <x v="452"/>
    <x v="452"/>
    <x v="452"/>
    <x v="451"/>
    <x v="452"/>
    <x v="452"/>
  </r>
  <r>
    <x v="453"/>
    <x v="453"/>
    <x v="453"/>
    <x v="453"/>
    <x v="453"/>
    <x v="452"/>
    <x v="453"/>
    <x v="453"/>
  </r>
  <r>
    <x v="454"/>
    <x v="454"/>
    <x v="454"/>
    <x v="454"/>
    <x v="454"/>
    <x v="453"/>
    <x v="454"/>
    <x v="454"/>
  </r>
  <r>
    <x v="455"/>
    <x v="455"/>
    <x v="455"/>
    <x v="455"/>
    <x v="455"/>
    <x v="454"/>
    <x v="455"/>
    <x v="455"/>
  </r>
  <r>
    <x v="456"/>
    <x v="456"/>
    <x v="456"/>
    <x v="456"/>
    <x v="456"/>
    <x v="455"/>
    <x v="456"/>
    <x v="456"/>
  </r>
  <r>
    <x v="457"/>
    <x v="457"/>
    <x v="457"/>
    <x v="457"/>
    <x v="457"/>
    <x v="456"/>
    <x v="457"/>
    <x v="457"/>
  </r>
  <r>
    <x v="458"/>
    <x v="458"/>
    <x v="458"/>
    <x v="458"/>
    <x v="458"/>
    <x v="457"/>
    <x v="458"/>
    <x v="458"/>
  </r>
  <r>
    <x v="459"/>
    <x v="459"/>
    <x v="459"/>
    <x v="459"/>
    <x v="459"/>
    <x v="458"/>
    <x v="459"/>
    <x v="459"/>
  </r>
  <r>
    <x v="460"/>
    <x v="460"/>
    <x v="460"/>
    <x v="460"/>
    <x v="460"/>
    <x v="459"/>
    <x v="460"/>
    <x v="460"/>
  </r>
  <r>
    <x v="461"/>
    <x v="461"/>
    <x v="461"/>
    <x v="461"/>
    <x v="461"/>
    <x v="460"/>
    <x v="461"/>
    <x v="461"/>
  </r>
  <r>
    <x v="462"/>
    <x v="462"/>
    <x v="462"/>
    <x v="462"/>
    <x v="462"/>
    <x v="461"/>
    <x v="462"/>
    <x v="462"/>
  </r>
  <r>
    <x v="463"/>
    <x v="463"/>
    <x v="463"/>
    <x v="463"/>
    <x v="463"/>
    <x v="462"/>
    <x v="463"/>
    <x v="463"/>
  </r>
  <r>
    <x v="464"/>
    <x v="464"/>
    <x v="464"/>
    <x v="464"/>
    <x v="464"/>
    <x v="463"/>
    <x v="464"/>
    <x v="464"/>
  </r>
  <r>
    <x v="465"/>
    <x v="465"/>
    <x v="465"/>
    <x v="465"/>
    <x v="465"/>
    <x v="464"/>
    <x v="465"/>
    <x v="465"/>
  </r>
  <r>
    <x v="466"/>
    <x v="466"/>
    <x v="466"/>
    <x v="466"/>
    <x v="466"/>
    <x v="465"/>
    <x v="466"/>
    <x v="466"/>
  </r>
  <r>
    <x v="467"/>
    <x v="467"/>
    <x v="467"/>
    <x v="467"/>
    <x v="467"/>
    <x v="466"/>
    <x v="467"/>
    <x v="467"/>
  </r>
  <r>
    <x v="468"/>
    <x v="468"/>
    <x v="468"/>
    <x v="468"/>
    <x v="468"/>
    <x v="467"/>
    <x v="468"/>
    <x v="468"/>
  </r>
  <r>
    <x v="469"/>
    <x v="469"/>
    <x v="469"/>
    <x v="469"/>
    <x v="469"/>
    <x v="468"/>
    <x v="469"/>
    <x v="469"/>
  </r>
  <r>
    <x v="470"/>
    <x v="470"/>
    <x v="470"/>
    <x v="470"/>
    <x v="470"/>
    <x v="469"/>
    <x v="470"/>
    <x v="470"/>
  </r>
  <r>
    <x v="471"/>
    <x v="471"/>
    <x v="471"/>
    <x v="471"/>
    <x v="471"/>
    <x v="470"/>
    <x v="471"/>
    <x v="471"/>
  </r>
  <r>
    <x v="472"/>
    <x v="472"/>
    <x v="472"/>
    <x v="472"/>
    <x v="472"/>
    <x v="471"/>
    <x v="472"/>
    <x v="472"/>
  </r>
  <r>
    <x v="473"/>
    <x v="473"/>
    <x v="473"/>
    <x v="473"/>
    <x v="473"/>
    <x v="472"/>
    <x v="473"/>
    <x v="473"/>
  </r>
  <r>
    <x v="474"/>
    <x v="474"/>
    <x v="474"/>
    <x v="474"/>
    <x v="474"/>
    <x v="473"/>
    <x v="474"/>
    <x v="474"/>
  </r>
  <r>
    <x v="475"/>
    <x v="475"/>
    <x v="475"/>
    <x v="475"/>
    <x v="475"/>
    <x v="474"/>
    <x v="475"/>
    <x v="475"/>
  </r>
  <r>
    <x v="476"/>
    <x v="476"/>
    <x v="476"/>
    <x v="476"/>
    <x v="476"/>
    <x v="475"/>
    <x v="476"/>
    <x v="476"/>
  </r>
  <r>
    <x v="477"/>
    <x v="477"/>
    <x v="477"/>
    <x v="477"/>
    <x v="477"/>
    <x v="476"/>
    <x v="477"/>
    <x v="477"/>
  </r>
  <r>
    <x v="478"/>
    <x v="478"/>
    <x v="478"/>
    <x v="478"/>
    <x v="478"/>
    <x v="477"/>
    <x v="478"/>
    <x v="478"/>
  </r>
  <r>
    <x v="479"/>
    <x v="479"/>
    <x v="479"/>
    <x v="479"/>
    <x v="479"/>
    <x v="478"/>
    <x v="479"/>
    <x v="479"/>
  </r>
  <r>
    <x v="480"/>
    <x v="480"/>
    <x v="480"/>
    <x v="480"/>
    <x v="480"/>
    <x v="479"/>
    <x v="480"/>
    <x v="480"/>
  </r>
  <r>
    <x v="481"/>
    <x v="481"/>
    <x v="481"/>
    <x v="481"/>
    <x v="481"/>
    <x v="480"/>
    <x v="481"/>
    <x v="481"/>
  </r>
  <r>
    <x v="482"/>
    <x v="482"/>
    <x v="482"/>
    <x v="482"/>
    <x v="482"/>
    <x v="481"/>
    <x v="482"/>
    <x v="482"/>
  </r>
  <r>
    <x v="483"/>
    <x v="483"/>
    <x v="483"/>
    <x v="483"/>
    <x v="483"/>
    <x v="482"/>
    <x v="483"/>
    <x v="483"/>
  </r>
  <r>
    <x v="484"/>
    <x v="484"/>
    <x v="484"/>
    <x v="484"/>
    <x v="484"/>
    <x v="483"/>
    <x v="484"/>
    <x v="484"/>
  </r>
  <r>
    <x v="485"/>
    <x v="485"/>
    <x v="485"/>
    <x v="485"/>
    <x v="485"/>
    <x v="484"/>
    <x v="485"/>
    <x v="485"/>
  </r>
  <r>
    <x v="486"/>
    <x v="486"/>
    <x v="486"/>
    <x v="486"/>
    <x v="486"/>
    <x v="485"/>
    <x v="486"/>
    <x v="486"/>
  </r>
  <r>
    <x v="487"/>
    <x v="487"/>
    <x v="487"/>
    <x v="487"/>
    <x v="487"/>
    <x v="486"/>
    <x v="487"/>
    <x v="487"/>
  </r>
  <r>
    <x v="488"/>
    <x v="488"/>
    <x v="488"/>
    <x v="488"/>
    <x v="488"/>
    <x v="487"/>
    <x v="488"/>
    <x v="488"/>
  </r>
  <r>
    <x v="489"/>
    <x v="489"/>
    <x v="489"/>
    <x v="489"/>
    <x v="489"/>
    <x v="488"/>
    <x v="489"/>
    <x v="489"/>
  </r>
  <r>
    <x v="490"/>
    <x v="490"/>
    <x v="490"/>
    <x v="490"/>
    <x v="490"/>
    <x v="489"/>
    <x v="490"/>
    <x v="490"/>
  </r>
  <r>
    <x v="491"/>
    <x v="491"/>
    <x v="491"/>
    <x v="491"/>
    <x v="491"/>
    <x v="490"/>
    <x v="491"/>
    <x v="491"/>
  </r>
  <r>
    <x v="492"/>
    <x v="492"/>
    <x v="492"/>
    <x v="492"/>
    <x v="492"/>
    <x v="491"/>
    <x v="492"/>
    <x v="492"/>
  </r>
  <r>
    <x v="493"/>
    <x v="493"/>
    <x v="493"/>
    <x v="493"/>
    <x v="493"/>
    <x v="492"/>
    <x v="493"/>
    <x v="493"/>
  </r>
  <r>
    <x v="494"/>
    <x v="494"/>
    <x v="494"/>
    <x v="494"/>
    <x v="494"/>
    <x v="493"/>
    <x v="494"/>
    <x v="494"/>
  </r>
  <r>
    <x v="495"/>
    <x v="495"/>
    <x v="495"/>
    <x v="495"/>
    <x v="495"/>
    <x v="494"/>
    <x v="495"/>
    <x v="495"/>
  </r>
  <r>
    <x v="496"/>
    <x v="496"/>
    <x v="496"/>
    <x v="496"/>
    <x v="496"/>
    <x v="495"/>
    <x v="496"/>
    <x v="496"/>
  </r>
  <r>
    <x v="497"/>
    <x v="497"/>
    <x v="497"/>
    <x v="497"/>
    <x v="497"/>
    <x v="496"/>
    <x v="497"/>
    <x v="497"/>
  </r>
  <r>
    <x v="498"/>
    <x v="498"/>
    <x v="498"/>
    <x v="498"/>
    <x v="498"/>
    <x v="497"/>
    <x v="498"/>
    <x v="498"/>
  </r>
  <r>
    <x v="499"/>
    <x v="499"/>
    <x v="499"/>
    <x v="499"/>
    <x v="499"/>
    <x v="498"/>
    <x v="499"/>
    <x v="499"/>
  </r>
  <r>
    <x v="500"/>
    <x v="500"/>
    <x v="500"/>
    <x v="500"/>
    <x v="500"/>
    <x v="499"/>
    <x v="500"/>
    <x v="500"/>
  </r>
  <r>
    <x v="501"/>
    <x v="501"/>
    <x v="501"/>
    <x v="501"/>
    <x v="501"/>
    <x v="500"/>
    <x v="501"/>
    <x v="501"/>
  </r>
  <r>
    <x v="502"/>
    <x v="502"/>
    <x v="502"/>
    <x v="502"/>
    <x v="502"/>
    <x v="501"/>
    <x v="502"/>
    <x v="502"/>
  </r>
  <r>
    <x v="503"/>
    <x v="503"/>
    <x v="503"/>
    <x v="503"/>
    <x v="503"/>
    <x v="502"/>
    <x v="503"/>
    <x v="503"/>
  </r>
  <r>
    <x v="504"/>
    <x v="504"/>
    <x v="504"/>
    <x v="504"/>
    <x v="504"/>
    <x v="503"/>
    <x v="504"/>
    <x v="504"/>
  </r>
  <r>
    <x v="505"/>
    <x v="505"/>
    <x v="505"/>
    <x v="505"/>
    <x v="505"/>
    <x v="504"/>
    <x v="505"/>
    <x v="505"/>
  </r>
  <r>
    <x v="506"/>
    <x v="506"/>
    <x v="506"/>
    <x v="506"/>
    <x v="506"/>
    <x v="505"/>
    <x v="506"/>
    <x v="506"/>
  </r>
  <r>
    <x v="507"/>
    <x v="507"/>
    <x v="507"/>
    <x v="507"/>
    <x v="507"/>
    <x v="506"/>
    <x v="507"/>
    <x v="507"/>
  </r>
  <r>
    <x v="508"/>
    <x v="508"/>
    <x v="508"/>
    <x v="508"/>
    <x v="508"/>
    <x v="507"/>
    <x v="508"/>
    <x v="508"/>
  </r>
  <r>
    <x v="509"/>
    <x v="509"/>
    <x v="509"/>
    <x v="509"/>
    <x v="509"/>
    <x v="508"/>
    <x v="509"/>
    <x v="509"/>
  </r>
  <r>
    <x v="510"/>
    <x v="510"/>
    <x v="510"/>
    <x v="510"/>
    <x v="510"/>
    <x v="509"/>
    <x v="510"/>
    <x v="510"/>
  </r>
  <r>
    <x v="511"/>
    <x v="511"/>
    <x v="511"/>
    <x v="511"/>
    <x v="511"/>
    <x v="510"/>
    <x v="511"/>
    <x v="511"/>
  </r>
  <r>
    <x v="512"/>
    <x v="512"/>
    <x v="512"/>
    <x v="512"/>
    <x v="512"/>
    <x v="511"/>
    <x v="512"/>
    <x v="512"/>
  </r>
  <r>
    <x v="513"/>
    <x v="513"/>
    <x v="513"/>
    <x v="513"/>
    <x v="513"/>
    <x v="512"/>
    <x v="513"/>
    <x v="513"/>
  </r>
  <r>
    <x v="514"/>
    <x v="514"/>
    <x v="514"/>
    <x v="514"/>
    <x v="514"/>
    <x v="513"/>
    <x v="514"/>
    <x v="514"/>
  </r>
  <r>
    <x v="515"/>
    <x v="515"/>
    <x v="515"/>
    <x v="515"/>
    <x v="515"/>
    <x v="514"/>
    <x v="515"/>
    <x v="515"/>
  </r>
  <r>
    <x v="516"/>
    <x v="516"/>
    <x v="142"/>
    <x v="516"/>
    <x v="516"/>
    <x v="515"/>
    <x v="516"/>
    <x v="516"/>
  </r>
  <r>
    <x v="517"/>
    <x v="517"/>
    <x v="516"/>
    <x v="517"/>
    <x v="517"/>
    <x v="516"/>
    <x v="517"/>
    <x v="517"/>
  </r>
  <r>
    <x v="518"/>
    <x v="518"/>
    <x v="517"/>
    <x v="518"/>
    <x v="518"/>
    <x v="517"/>
    <x v="518"/>
    <x v="518"/>
  </r>
  <r>
    <x v="519"/>
    <x v="519"/>
    <x v="518"/>
    <x v="519"/>
    <x v="519"/>
    <x v="518"/>
    <x v="519"/>
    <x v="519"/>
  </r>
  <r>
    <x v="520"/>
    <x v="520"/>
    <x v="519"/>
    <x v="520"/>
    <x v="520"/>
    <x v="519"/>
    <x v="520"/>
    <x v="520"/>
  </r>
  <r>
    <x v="521"/>
    <x v="521"/>
    <x v="520"/>
    <x v="521"/>
    <x v="521"/>
    <x v="520"/>
    <x v="521"/>
    <x v="521"/>
  </r>
  <r>
    <x v="522"/>
    <x v="522"/>
    <x v="521"/>
    <x v="522"/>
    <x v="522"/>
    <x v="521"/>
    <x v="522"/>
    <x v="522"/>
  </r>
  <r>
    <x v="523"/>
    <x v="523"/>
    <x v="522"/>
    <x v="523"/>
    <x v="523"/>
    <x v="522"/>
    <x v="523"/>
    <x v="523"/>
  </r>
  <r>
    <x v="524"/>
    <x v="524"/>
    <x v="523"/>
    <x v="524"/>
    <x v="524"/>
    <x v="523"/>
    <x v="524"/>
    <x v="524"/>
  </r>
  <r>
    <x v="525"/>
    <x v="525"/>
    <x v="524"/>
    <x v="525"/>
    <x v="525"/>
    <x v="524"/>
    <x v="525"/>
    <x v="525"/>
  </r>
  <r>
    <x v="526"/>
    <x v="526"/>
    <x v="525"/>
    <x v="526"/>
    <x v="526"/>
    <x v="525"/>
    <x v="526"/>
    <x v="526"/>
  </r>
  <r>
    <x v="527"/>
    <x v="527"/>
    <x v="526"/>
    <x v="527"/>
    <x v="527"/>
    <x v="526"/>
    <x v="527"/>
    <x v="527"/>
  </r>
  <r>
    <x v="528"/>
    <x v="528"/>
    <x v="527"/>
    <x v="528"/>
    <x v="528"/>
    <x v="527"/>
    <x v="528"/>
    <x v="528"/>
  </r>
  <r>
    <x v="529"/>
    <x v="529"/>
    <x v="528"/>
    <x v="529"/>
    <x v="529"/>
    <x v="528"/>
    <x v="529"/>
    <x v="529"/>
  </r>
  <r>
    <x v="530"/>
    <x v="530"/>
    <x v="529"/>
    <x v="530"/>
    <x v="530"/>
    <x v="529"/>
    <x v="530"/>
    <x v="530"/>
  </r>
  <r>
    <x v="531"/>
    <x v="531"/>
    <x v="530"/>
    <x v="531"/>
    <x v="531"/>
    <x v="530"/>
    <x v="531"/>
    <x v="531"/>
  </r>
  <r>
    <x v="532"/>
    <x v="532"/>
    <x v="531"/>
    <x v="532"/>
    <x v="532"/>
    <x v="531"/>
    <x v="532"/>
    <x v="532"/>
  </r>
  <r>
    <x v="533"/>
    <x v="533"/>
    <x v="532"/>
    <x v="533"/>
    <x v="533"/>
    <x v="532"/>
    <x v="533"/>
    <x v="533"/>
  </r>
  <r>
    <x v="534"/>
    <x v="534"/>
    <x v="533"/>
    <x v="534"/>
    <x v="534"/>
    <x v="533"/>
    <x v="534"/>
    <x v="534"/>
  </r>
  <r>
    <x v="535"/>
    <x v="535"/>
    <x v="534"/>
    <x v="535"/>
    <x v="535"/>
    <x v="534"/>
    <x v="535"/>
    <x v="535"/>
  </r>
  <r>
    <x v="536"/>
    <x v="536"/>
    <x v="535"/>
    <x v="536"/>
    <x v="536"/>
    <x v="535"/>
    <x v="536"/>
    <x v="536"/>
  </r>
  <r>
    <x v="537"/>
    <x v="537"/>
    <x v="536"/>
    <x v="537"/>
    <x v="537"/>
    <x v="536"/>
    <x v="537"/>
    <x v="537"/>
  </r>
  <r>
    <x v="538"/>
    <x v="538"/>
    <x v="537"/>
    <x v="538"/>
    <x v="538"/>
    <x v="537"/>
    <x v="538"/>
    <x v="538"/>
  </r>
  <r>
    <x v="539"/>
    <x v="539"/>
    <x v="538"/>
    <x v="539"/>
    <x v="539"/>
    <x v="538"/>
    <x v="539"/>
    <x v="539"/>
  </r>
  <r>
    <x v="540"/>
    <x v="540"/>
    <x v="539"/>
    <x v="540"/>
    <x v="540"/>
    <x v="539"/>
    <x v="540"/>
    <x v="540"/>
  </r>
  <r>
    <x v="541"/>
    <x v="541"/>
    <x v="540"/>
    <x v="541"/>
    <x v="541"/>
    <x v="540"/>
    <x v="541"/>
    <x v="541"/>
  </r>
  <r>
    <x v="542"/>
    <x v="542"/>
    <x v="541"/>
    <x v="542"/>
    <x v="542"/>
    <x v="541"/>
    <x v="542"/>
    <x v="542"/>
  </r>
  <r>
    <x v="543"/>
    <x v="543"/>
    <x v="542"/>
    <x v="543"/>
    <x v="543"/>
    <x v="542"/>
    <x v="543"/>
    <x v="543"/>
  </r>
  <r>
    <x v="544"/>
    <x v="544"/>
    <x v="543"/>
    <x v="544"/>
    <x v="544"/>
    <x v="543"/>
    <x v="544"/>
    <x v="544"/>
  </r>
  <r>
    <x v="545"/>
    <x v="545"/>
    <x v="544"/>
    <x v="545"/>
    <x v="545"/>
    <x v="544"/>
    <x v="545"/>
    <x v="545"/>
  </r>
  <r>
    <x v="546"/>
    <x v="546"/>
    <x v="545"/>
    <x v="546"/>
    <x v="546"/>
    <x v="545"/>
    <x v="546"/>
    <x v="546"/>
  </r>
  <r>
    <x v="547"/>
    <x v="547"/>
    <x v="546"/>
    <x v="547"/>
    <x v="547"/>
    <x v="546"/>
    <x v="547"/>
    <x v="547"/>
  </r>
  <r>
    <x v="548"/>
    <x v="548"/>
    <x v="547"/>
    <x v="548"/>
    <x v="548"/>
    <x v="547"/>
    <x v="548"/>
    <x v="548"/>
  </r>
  <r>
    <x v="549"/>
    <x v="549"/>
    <x v="548"/>
    <x v="549"/>
    <x v="549"/>
    <x v="548"/>
    <x v="549"/>
    <x v="549"/>
  </r>
  <r>
    <x v="550"/>
    <x v="550"/>
    <x v="549"/>
    <x v="550"/>
    <x v="550"/>
    <x v="549"/>
    <x v="550"/>
    <x v="550"/>
  </r>
  <r>
    <x v="551"/>
    <x v="551"/>
    <x v="550"/>
    <x v="551"/>
    <x v="551"/>
    <x v="550"/>
    <x v="551"/>
    <x v="551"/>
  </r>
  <r>
    <x v="552"/>
    <x v="552"/>
    <x v="551"/>
    <x v="552"/>
    <x v="552"/>
    <x v="551"/>
    <x v="552"/>
    <x v="552"/>
  </r>
  <r>
    <x v="553"/>
    <x v="553"/>
    <x v="552"/>
    <x v="553"/>
    <x v="553"/>
    <x v="552"/>
    <x v="553"/>
    <x v="553"/>
  </r>
  <r>
    <x v="554"/>
    <x v="554"/>
    <x v="553"/>
    <x v="554"/>
    <x v="554"/>
    <x v="553"/>
    <x v="554"/>
    <x v="554"/>
  </r>
  <r>
    <x v="555"/>
    <x v="555"/>
    <x v="142"/>
    <x v="555"/>
    <x v="555"/>
    <x v="554"/>
    <x v="555"/>
    <x v="555"/>
  </r>
  <r>
    <x v="556"/>
    <x v="556"/>
    <x v="554"/>
    <x v="556"/>
    <x v="556"/>
    <x v="555"/>
    <x v="556"/>
    <x v="556"/>
  </r>
  <r>
    <x v="557"/>
    <x v="557"/>
    <x v="555"/>
    <x v="557"/>
    <x v="557"/>
    <x v="556"/>
    <x v="557"/>
    <x v="557"/>
  </r>
  <r>
    <x v="558"/>
    <x v="558"/>
    <x v="556"/>
    <x v="558"/>
    <x v="558"/>
    <x v="557"/>
    <x v="558"/>
    <x v="558"/>
  </r>
  <r>
    <x v="559"/>
    <x v="559"/>
    <x v="557"/>
    <x v="559"/>
    <x v="559"/>
    <x v="558"/>
    <x v="559"/>
    <x v="559"/>
  </r>
  <r>
    <x v="560"/>
    <x v="560"/>
    <x v="558"/>
    <x v="560"/>
    <x v="560"/>
    <x v="559"/>
    <x v="560"/>
    <x v="560"/>
  </r>
  <r>
    <x v="561"/>
    <x v="561"/>
    <x v="559"/>
    <x v="561"/>
    <x v="561"/>
    <x v="560"/>
    <x v="561"/>
    <x v="561"/>
  </r>
  <r>
    <x v="562"/>
    <x v="562"/>
    <x v="560"/>
    <x v="562"/>
    <x v="562"/>
    <x v="561"/>
    <x v="562"/>
    <x v="562"/>
  </r>
  <r>
    <x v="563"/>
    <x v="563"/>
    <x v="561"/>
    <x v="563"/>
    <x v="563"/>
    <x v="562"/>
    <x v="563"/>
    <x v="563"/>
  </r>
  <r>
    <x v="564"/>
    <x v="564"/>
    <x v="562"/>
    <x v="564"/>
    <x v="564"/>
    <x v="563"/>
    <x v="564"/>
    <x v="564"/>
  </r>
  <r>
    <x v="565"/>
    <x v="565"/>
    <x v="563"/>
    <x v="565"/>
    <x v="565"/>
    <x v="564"/>
    <x v="565"/>
    <x v="565"/>
  </r>
  <r>
    <x v="566"/>
    <x v="566"/>
    <x v="564"/>
    <x v="566"/>
    <x v="566"/>
    <x v="565"/>
    <x v="566"/>
    <x v="566"/>
  </r>
  <r>
    <x v="567"/>
    <x v="567"/>
    <x v="565"/>
    <x v="567"/>
    <x v="567"/>
    <x v="566"/>
    <x v="567"/>
    <x v="567"/>
  </r>
  <r>
    <x v="568"/>
    <x v="568"/>
    <x v="566"/>
    <x v="568"/>
    <x v="568"/>
    <x v="567"/>
    <x v="568"/>
    <x v="568"/>
  </r>
  <r>
    <x v="569"/>
    <x v="569"/>
    <x v="567"/>
    <x v="569"/>
    <x v="569"/>
    <x v="568"/>
    <x v="569"/>
    <x v="569"/>
  </r>
  <r>
    <x v="570"/>
    <x v="570"/>
    <x v="568"/>
    <x v="570"/>
    <x v="570"/>
    <x v="569"/>
    <x v="570"/>
    <x v="570"/>
  </r>
  <r>
    <x v="571"/>
    <x v="571"/>
    <x v="569"/>
    <x v="571"/>
    <x v="571"/>
    <x v="570"/>
    <x v="571"/>
    <x v="571"/>
  </r>
  <r>
    <x v="572"/>
    <x v="572"/>
    <x v="570"/>
    <x v="572"/>
    <x v="572"/>
    <x v="571"/>
    <x v="572"/>
    <x v="572"/>
  </r>
  <r>
    <x v="573"/>
    <x v="573"/>
    <x v="571"/>
    <x v="573"/>
    <x v="573"/>
    <x v="572"/>
    <x v="573"/>
    <x v="573"/>
  </r>
  <r>
    <x v="574"/>
    <x v="574"/>
    <x v="572"/>
    <x v="574"/>
    <x v="574"/>
    <x v="573"/>
    <x v="574"/>
    <x v="574"/>
  </r>
  <r>
    <x v="575"/>
    <x v="575"/>
    <x v="573"/>
    <x v="575"/>
    <x v="575"/>
    <x v="574"/>
    <x v="575"/>
    <x v="575"/>
  </r>
  <r>
    <x v="576"/>
    <x v="576"/>
    <x v="574"/>
    <x v="576"/>
    <x v="576"/>
    <x v="575"/>
    <x v="576"/>
    <x v="576"/>
  </r>
  <r>
    <x v="577"/>
    <x v="577"/>
    <x v="575"/>
    <x v="577"/>
    <x v="577"/>
    <x v="576"/>
    <x v="577"/>
    <x v="577"/>
  </r>
  <r>
    <x v="578"/>
    <x v="578"/>
    <x v="576"/>
    <x v="578"/>
    <x v="578"/>
    <x v="577"/>
    <x v="578"/>
    <x v="578"/>
  </r>
  <r>
    <x v="579"/>
    <x v="579"/>
    <x v="577"/>
    <x v="579"/>
    <x v="579"/>
    <x v="578"/>
    <x v="579"/>
    <x v="579"/>
  </r>
  <r>
    <x v="580"/>
    <x v="580"/>
    <x v="578"/>
    <x v="580"/>
    <x v="580"/>
    <x v="579"/>
    <x v="580"/>
    <x v="580"/>
  </r>
  <r>
    <x v="581"/>
    <x v="581"/>
    <x v="579"/>
    <x v="581"/>
    <x v="581"/>
    <x v="580"/>
    <x v="581"/>
    <x v="581"/>
  </r>
  <r>
    <x v="582"/>
    <x v="582"/>
    <x v="580"/>
    <x v="582"/>
    <x v="582"/>
    <x v="581"/>
    <x v="582"/>
    <x v="582"/>
  </r>
  <r>
    <x v="583"/>
    <x v="583"/>
    <x v="581"/>
    <x v="583"/>
    <x v="583"/>
    <x v="582"/>
    <x v="583"/>
    <x v="583"/>
  </r>
  <r>
    <x v="584"/>
    <x v="584"/>
    <x v="582"/>
    <x v="584"/>
    <x v="584"/>
    <x v="583"/>
    <x v="584"/>
    <x v="584"/>
  </r>
  <r>
    <x v="585"/>
    <x v="585"/>
    <x v="583"/>
    <x v="585"/>
    <x v="585"/>
    <x v="584"/>
    <x v="585"/>
    <x v="585"/>
  </r>
  <r>
    <x v="586"/>
    <x v="586"/>
    <x v="584"/>
    <x v="586"/>
    <x v="586"/>
    <x v="585"/>
    <x v="586"/>
    <x v="586"/>
  </r>
  <r>
    <x v="587"/>
    <x v="587"/>
    <x v="585"/>
    <x v="587"/>
    <x v="587"/>
    <x v="586"/>
    <x v="587"/>
    <x v="587"/>
  </r>
  <r>
    <x v="588"/>
    <x v="588"/>
    <x v="586"/>
    <x v="588"/>
    <x v="588"/>
    <x v="587"/>
    <x v="588"/>
    <x v="588"/>
  </r>
  <r>
    <x v="589"/>
    <x v="589"/>
    <x v="587"/>
    <x v="589"/>
    <x v="589"/>
    <x v="588"/>
    <x v="589"/>
    <x v="589"/>
  </r>
  <r>
    <x v="590"/>
    <x v="590"/>
    <x v="588"/>
    <x v="590"/>
    <x v="590"/>
    <x v="589"/>
    <x v="590"/>
    <x v="590"/>
  </r>
  <r>
    <x v="591"/>
    <x v="591"/>
    <x v="589"/>
    <x v="591"/>
    <x v="591"/>
    <x v="590"/>
    <x v="591"/>
    <x v="591"/>
  </r>
  <r>
    <x v="592"/>
    <x v="592"/>
    <x v="590"/>
    <x v="592"/>
    <x v="592"/>
    <x v="591"/>
    <x v="592"/>
    <x v="592"/>
  </r>
  <r>
    <x v="593"/>
    <x v="593"/>
    <x v="591"/>
    <x v="593"/>
    <x v="593"/>
    <x v="592"/>
    <x v="593"/>
    <x v="593"/>
  </r>
  <r>
    <x v="594"/>
    <x v="371"/>
    <x v="592"/>
    <x v="594"/>
    <x v="594"/>
    <x v="593"/>
    <x v="594"/>
    <x v="594"/>
  </r>
  <r>
    <x v="595"/>
    <x v="594"/>
    <x v="593"/>
    <x v="595"/>
    <x v="595"/>
    <x v="594"/>
    <x v="595"/>
    <x v="595"/>
  </r>
  <r>
    <x v="596"/>
    <x v="595"/>
    <x v="594"/>
    <x v="596"/>
    <x v="596"/>
    <x v="595"/>
    <x v="596"/>
    <x v="596"/>
  </r>
  <r>
    <x v="597"/>
    <x v="596"/>
    <x v="595"/>
    <x v="597"/>
    <x v="597"/>
    <x v="596"/>
    <x v="597"/>
    <x v="597"/>
  </r>
  <r>
    <x v="598"/>
    <x v="597"/>
    <x v="596"/>
    <x v="598"/>
    <x v="598"/>
    <x v="597"/>
    <x v="598"/>
    <x v="598"/>
  </r>
  <r>
    <x v="599"/>
    <x v="598"/>
    <x v="597"/>
    <x v="599"/>
    <x v="599"/>
    <x v="598"/>
    <x v="599"/>
    <x v="599"/>
  </r>
  <r>
    <x v="600"/>
    <x v="599"/>
    <x v="598"/>
    <x v="600"/>
    <x v="600"/>
    <x v="599"/>
    <x v="600"/>
    <x v="600"/>
  </r>
  <r>
    <x v="601"/>
    <x v="600"/>
    <x v="599"/>
    <x v="601"/>
    <x v="601"/>
    <x v="600"/>
    <x v="601"/>
    <x v="601"/>
  </r>
  <r>
    <x v="602"/>
    <x v="601"/>
    <x v="600"/>
    <x v="602"/>
    <x v="602"/>
    <x v="601"/>
    <x v="602"/>
    <x v="602"/>
  </r>
  <r>
    <x v="603"/>
    <x v="602"/>
    <x v="601"/>
    <x v="603"/>
    <x v="603"/>
    <x v="602"/>
    <x v="603"/>
    <x v="603"/>
  </r>
  <r>
    <x v="604"/>
    <x v="603"/>
    <x v="602"/>
    <x v="604"/>
    <x v="604"/>
    <x v="603"/>
    <x v="604"/>
    <x v="604"/>
  </r>
  <r>
    <x v="605"/>
    <x v="604"/>
    <x v="603"/>
    <x v="605"/>
    <x v="605"/>
    <x v="604"/>
    <x v="605"/>
    <x v="605"/>
  </r>
  <r>
    <x v="606"/>
    <x v="605"/>
    <x v="604"/>
    <x v="606"/>
    <x v="606"/>
    <x v="605"/>
    <x v="606"/>
    <x v="606"/>
  </r>
  <r>
    <x v="607"/>
    <x v="606"/>
    <x v="605"/>
    <x v="607"/>
    <x v="607"/>
    <x v="606"/>
    <x v="607"/>
    <x v="607"/>
  </r>
  <r>
    <x v="608"/>
    <x v="607"/>
    <x v="606"/>
    <x v="608"/>
    <x v="608"/>
    <x v="607"/>
    <x v="608"/>
    <x v="608"/>
  </r>
  <r>
    <x v="609"/>
    <x v="608"/>
    <x v="607"/>
    <x v="609"/>
    <x v="609"/>
    <x v="608"/>
    <x v="609"/>
    <x v="609"/>
  </r>
  <r>
    <x v="610"/>
    <x v="609"/>
    <x v="608"/>
    <x v="610"/>
    <x v="610"/>
    <x v="609"/>
    <x v="610"/>
    <x v="610"/>
  </r>
  <r>
    <x v="611"/>
    <x v="610"/>
    <x v="609"/>
    <x v="611"/>
    <x v="611"/>
    <x v="610"/>
    <x v="611"/>
    <x v="611"/>
  </r>
  <r>
    <x v="612"/>
    <x v="611"/>
    <x v="610"/>
    <x v="612"/>
    <x v="612"/>
    <x v="611"/>
    <x v="612"/>
    <x v="612"/>
  </r>
  <r>
    <x v="613"/>
    <x v="612"/>
    <x v="611"/>
    <x v="613"/>
    <x v="613"/>
    <x v="612"/>
    <x v="613"/>
    <x v="613"/>
  </r>
  <r>
    <x v="614"/>
    <x v="613"/>
    <x v="612"/>
    <x v="614"/>
    <x v="614"/>
    <x v="613"/>
    <x v="614"/>
    <x v="614"/>
  </r>
  <r>
    <x v="615"/>
    <x v="614"/>
    <x v="613"/>
    <x v="615"/>
    <x v="615"/>
    <x v="614"/>
    <x v="615"/>
    <x v="615"/>
  </r>
  <r>
    <x v="616"/>
    <x v="615"/>
    <x v="614"/>
    <x v="616"/>
    <x v="616"/>
    <x v="615"/>
    <x v="616"/>
    <x v="616"/>
  </r>
  <r>
    <x v="617"/>
    <x v="616"/>
    <x v="615"/>
    <x v="617"/>
    <x v="617"/>
    <x v="616"/>
    <x v="617"/>
    <x v="617"/>
  </r>
  <r>
    <x v="618"/>
    <x v="617"/>
    <x v="616"/>
    <x v="618"/>
    <x v="618"/>
    <x v="617"/>
    <x v="618"/>
    <x v="618"/>
  </r>
  <r>
    <x v="619"/>
    <x v="618"/>
    <x v="617"/>
    <x v="619"/>
    <x v="619"/>
    <x v="618"/>
    <x v="619"/>
    <x v="619"/>
  </r>
  <r>
    <x v="620"/>
    <x v="619"/>
    <x v="618"/>
    <x v="620"/>
    <x v="620"/>
    <x v="619"/>
    <x v="620"/>
    <x v="620"/>
  </r>
  <r>
    <x v="621"/>
    <x v="620"/>
    <x v="619"/>
    <x v="621"/>
    <x v="621"/>
    <x v="620"/>
    <x v="621"/>
    <x v="621"/>
  </r>
  <r>
    <x v="622"/>
    <x v="621"/>
    <x v="620"/>
    <x v="622"/>
    <x v="622"/>
    <x v="621"/>
    <x v="622"/>
    <x v="622"/>
  </r>
  <r>
    <x v="623"/>
    <x v="622"/>
    <x v="621"/>
    <x v="623"/>
    <x v="623"/>
    <x v="622"/>
    <x v="623"/>
    <x v="623"/>
  </r>
  <r>
    <x v="624"/>
    <x v="623"/>
    <x v="622"/>
    <x v="624"/>
    <x v="624"/>
    <x v="623"/>
    <x v="624"/>
    <x v="624"/>
  </r>
  <r>
    <x v="625"/>
    <x v="624"/>
    <x v="623"/>
    <x v="625"/>
    <x v="625"/>
    <x v="624"/>
    <x v="625"/>
    <x v="625"/>
  </r>
  <r>
    <x v="626"/>
    <x v="625"/>
    <x v="624"/>
    <x v="626"/>
    <x v="626"/>
    <x v="625"/>
    <x v="626"/>
    <x v="626"/>
  </r>
  <r>
    <x v="627"/>
    <x v="626"/>
    <x v="625"/>
    <x v="627"/>
    <x v="627"/>
    <x v="626"/>
    <x v="627"/>
    <x v="627"/>
  </r>
  <r>
    <x v="628"/>
    <x v="627"/>
    <x v="626"/>
    <x v="628"/>
    <x v="628"/>
    <x v="627"/>
    <x v="628"/>
    <x v="628"/>
  </r>
  <r>
    <x v="629"/>
    <x v="628"/>
    <x v="627"/>
    <x v="629"/>
    <x v="629"/>
    <x v="628"/>
    <x v="629"/>
    <x v="629"/>
  </r>
  <r>
    <x v="630"/>
    <x v="629"/>
    <x v="628"/>
    <x v="630"/>
    <x v="630"/>
    <x v="629"/>
    <x v="630"/>
    <x v="630"/>
  </r>
  <r>
    <x v="631"/>
    <x v="630"/>
    <x v="629"/>
    <x v="631"/>
    <x v="631"/>
    <x v="630"/>
    <x v="631"/>
    <x v="631"/>
  </r>
  <r>
    <x v="632"/>
    <x v="631"/>
    <x v="630"/>
    <x v="632"/>
    <x v="632"/>
    <x v="631"/>
    <x v="632"/>
    <x v="632"/>
  </r>
  <r>
    <x v="633"/>
    <x v="632"/>
    <x v="631"/>
    <x v="633"/>
    <x v="633"/>
    <x v="632"/>
    <x v="633"/>
    <x v="633"/>
  </r>
  <r>
    <x v="634"/>
    <x v="633"/>
    <x v="632"/>
    <x v="634"/>
    <x v="634"/>
    <x v="633"/>
    <x v="634"/>
    <x v="634"/>
  </r>
  <r>
    <x v="635"/>
    <x v="634"/>
    <x v="633"/>
    <x v="635"/>
    <x v="635"/>
    <x v="634"/>
    <x v="635"/>
    <x v="635"/>
  </r>
  <r>
    <x v="636"/>
    <x v="635"/>
    <x v="634"/>
    <x v="636"/>
    <x v="636"/>
    <x v="635"/>
    <x v="636"/>
    <x v="636"/>
  </r>
  <r>
    <x v="637"/>
    <x v="636"/>
    <x v="635"/>
    <x v="637"/>
    <x v="637"/>
    <x v="636"/>
    <x v="637"/>
    <x v="637"/>
  </r>
  <r>
    <x v="638"/>
    <x v="637"/>
    <x v="636"/>
    <x v="638"/>
    <x v="638"/>
    <x v="637"/>
    <x v="638"/>
    <x v="638"/>
  </r>
  <r>
    <x v="639"/>
    <x v="638"/>
    <x v="637"/>
    <x v="639"/>
    <x v="639"/>
    <x v="638"/>
    <x v="403"/>
    <x v="639"/>
  </r>
  <r>
    <x v="640"/>
    <x v="639"/>
    <x v="638"/>
    <x v="640"/>
    <x v="640"/>
    <x v="639"/>
    <x v="639"/>
    <x v="640"/>
  </r>
  <r>
    <x v="641"/>
    <x v="640"/>
    <x v="639"/>
    <x v="641"/>
    <x v="641"/>
    <x v="640"/>
    <x v="640"/>
    <x v="641"/>
  </r>
  <r>
    <x v="642"/>
    <x v="641"/>
    <x v="640"/>
    <x v="642"/>
    <x v="642"/>
    <x v="641"/>
    <x v="641"/>
    <x v="642"/>
  </r>
  <r>
    <x v="643"/>
    <x v="642"/>
    <x v="641"/>
    <x v="643"/>
    <x v="643"/>
    <x v="642"/>
    <x v="642"/>
    <x v="643"/>
  </r>
  <r>
    <x v="644"/>
    <x v="643"/>
    <x v="642"/>
    <x v="644"/>
    <x v="644"/>
    <x v="643"/>
    <x v="643"/>
    <x v="644"/>
  </r>
  <r>
    <x v="645"/>
    <x v="644"/>
    <x v="643"/>
    <x v="645"/>
    <x v="645"/>
    <x v="644"/>
    <x v="644"/>
    <x v="645"/>
  </r>
  <r>
    <x v="646"/>
    <x v="645"/>
    <x v="644"/>
    <x v="646"/>
    <x v="646"/>
    <x v="645"/>
    <x v="645"/>
    <x v="646"/>
  </r>
  <r>
    <x v="647"/>
    <x v="646"/>
    <x v="645"/>
    <x v="647"/>
    <x v="647"/>
    <x v="646"/>
    <x v="646"/>
    <x v="647"/>
  </r>
  <r>
    <x v="648"/>
    <x v="647"/>
    <x v="646"/>
    <x v="648"/>
    <x v="648"/>
    <x v="647"/>
    <x v="647"/>
    <x v="648"/>
  </r>
  <r>
    <x v="649"/>
    <x v="648"/>
    <x v="647"/>
    <x v="649"/>
    <x v="649"/>
    <x v="648"/>
    <x v="648"/>
    <x v="649"/>
  </r>
  <r>
    <x v="650"/>
    <x v="649"/>
    <x v="648"/>
    <x v="650"/>
    <x v="650"/>
    <x v="649"/>
    <x v="649"/>
    <x v="650"/>
  </r>
  <r>
    <x v="651"/>
    <x v="650"/>
    <x v="649"/>
    <x v="651"/>
    <x v="651"/>
    <x v="650"/>
    <x v="650"/>
    <x v="651"/>
  </r>
  <r>
    <x v="652"/>
    <x v="651"/>
    <x v="650"/>
    <x v="652"/>
    <x v="652"/>
    <x v="651"/>
    <x v="651"/>
    <x v="652"/>
  </r>
  <r>
    <x v="653"/>
    <x v="652"/>
    <x v="651"/>
    <x v="653"/>
    <x v="653"/>
    <x v="652"/>
    <x v="652"/>
    <x v="653"/>
  </r>
  <r>
    <x v="654"/>
    <x v="653"/>
    <x v="652"/>
    <x v="654"/>
    <x v="654"/>
    <x v="653"/>
    <x v="653"/>
    <x v="654"/>
  </r>
  <r>
    <x v="655"/>
    <x v="654"/>
    <x v="653"/>
    <x v="655"/>
    <x v="655"/>
    <x v="654"/>
    <x v="654"/>
    <x v="655"/>
  </r>
  <r>
    <x v="656"/>
    <x v="655"/>
    <x v="654"/>
    <x v="656"/>
    <x v="656"/>
    <x v="655"/>
    <x v="655"/>
    <x v="656"/>
  </r>
  <r>
    <x v="657"/>
    <x v="656"/>
    <x v="655"/>
    <x v="657"/>
    <x v="657"/>
    <x v="656"/>
    <x v="656"/>
    <x v="657"/>
  </r>
  <r>
    <x v="658"/>
    <x v="657"/>
    <x v="656"/>
    <x v="658"/>
    <x v="658"/>
    <x v="657"/>
    <x v="657"/>
    <x v="658"/>
  </r>
  <r>
    <x v="659"/>
    <x v="658"/>
    <x v="657"/>
    <x v="659"/>
    <x v="659"/>
    <x v="658"/>
    <x v="658"/>
    <x v="659"/>
  </r>
  <r>
    <x v="660"/>
    <x v="659"/>
    <x v="658"/>
    <x v="660"/>
    <x v="660"/>
    <x v="659"/>
    <x v="659"/>
    <x v="660"/>
  </r>
  <r>
    <x v="661"/>
    <x v="660"/>
    <x v="659"/>
    <x v="661"/>
    <x v="661"/>
    <x v="660"/>
    <x v="660"/>
    <x v="661"/>
  </r>
  <r>
    <x v="662"/>
    <x v="661"/>
    <x v="660"/>
    <x v="662"/>
    <x v="662"/>
    <x v="661"/>
    <x v="661"/>
    <x v="662"/>
  </r>
  <r>
    <x v="663"/>
    <x v="662"/>
    <x v="661"/>
    <x v="663"/>
    <x v="663"/>
    <x v="662"/>
    <x v="662"/>
    <x v="663"/>
  </r>
  <r>
    <x v="664"/>
    <x v="663"/>
    <x v="662"/>
    <x v="664"/>
    <x v="664"/>
    <x v="663"/>
    <x v="663"/>
    <x v="664"/>
  </r>
  <r>
    <x v="665"/>
    <x v="664"/>
    <x v="663"/>
    <x v="665"/>
    <x v="665"/>
    <x v="664"/>
    <x v="664"/>
    <x v="665"/>
  </r>
  <r>
    <x v="666"/>
    <x v="665"/>
    <x v="664"/>
    <x v="666"/>
    <x v="666"/>
    <x v="665"/>
    <x v="665"/>
    <x v="666"/>
  </r>
  <r>
    <x v="667"/>
    <x v="666"/>
    <x v="665"/>
    <x v="667"/>
    <x v="667"/>
    <x v="666"/>
    <x v="666"/>
    <x v="667"/>
  </r>
  <r>
    <x v="668"/>
    <x v="667"/>
    <x v="666"/>
    <x v="668"/>
    <x v="668"/>
    <x v="667"/>
    <x v="667"/>
    <x v="668"/>
  </r>
  <r>
    <x v="669"/>
    <x v="668"/>
    <x v="667"/>
    <x v="669"/>
    <x v="669"/>
    <x v="668"/>
    <x v="668"/>
    <x v="669"/>
  </r>
  <r>
    <x v="670"/>
    <x v="669"/>
    <x v="668"/>
    <x v="670"/>
    <x v="670"/>
    <x v="669"/>
    <x v="669"/>
    <x v="670"/>
  </r>
  <r>
    <x v="671"/>
    <x v="670"/>
    <x v="669"/>
    <x v="671"/>
    <x v="671"/>
    <x v="670"/>
    <x v="670"/>
    <x v="671"/>
  </r>
  <r>
    <x v="672"/>
    <x v="671"/>
    <x v="670"/>
    <x v="672"/>
    <x v="672"/>
    <x v="671"/>
    <x v="671"/>
    <x v="672"/>
  </r>
  <r>
    <x v="673"/>
    <x v="672"/>
    <x v="671"/>
    <x v="673"/>
    <x v="673"/>
    <x v="672"/>
    <x v="672"/>
    <x v="673"/>
  </r>
  <r>
    <x v="674"/>
    <x v="673"/>
    <x v="672"/>
    <x v="674"/>
    <x v="674"/>
    <x v="673"/>
    <x v="673"/>
    <x v="674"/>
  </r>
  <r>
    <x v="675"/>
    <x v="674"/>
    <x v="673"/>
    <x v="675"/>
    <x v="675"/>
    <x v="674"/>
    <x v="674"/>
    <x v="675"/>
  </r>
  <r>
    <x v="676"/>
    <x v="675"/>
    <x v="674"/>
    <x v="676"/>
    <x v="676"/>
    <x v="675"/>
    <x v="675"/>
    <x v="676"/>
  </r>
  <r>
    <x v="677"/>
    <x v="676"/>
    <x v="675"/>
    <x v="677"/>
    <x v="677"/>
    <x v="676"/>
    <x v="676"/>
    <x v="677"/>
  </r>
  <r>
    <x v="678"/>
    <x v="677"/>
    <x v="676"/>
    <x v="678"/>
    <x v="678"/>
    <x v="677"/>
    <x v="677"/>
    <x v="678"/>
  </r>
  <r>
    <x v="679"/>
    <x v="678"/>
    <x v="677"/>
    <x v="679"/>
    <x v="679"/>
    <x v="678"/>
    <x v="678"/>
    <x v="679"/>
  </r>
  <r>
    <x v="680"/>
    <x v="679"/>
    <x v="678"/>
    <x v="680"/>
    <x v="680"/>
    <x v="679"/>
    <x v="679"/>
    <x v="680"/>
  </r>
  <r>
    <x v="681"/>
    <x v="680"/>
    <x v="679"/>
    <x v="681"/>
    <x v="681"/>
    <x v="680"/>
    <x v="680"/>
    <x v="681"/>
  </r>
  <r>
    <x v="682"/>
    <x v="681"/>
    <x v="680"/>
    <x v="682"/>
    <x v="682"/>
    <x v="681"/>
    <x v="681"/>
    <x v="682"/>
  </r>
  <r>
    <x v="683"/>
    <x v="682"/>
    <x v="681"/>
    <x v="683"/>
    <x v="683"/>
    <x v="682"/>
    <x v="682"/>
    <x v="683"/>
  </r>
  <r>
    <x v="684"/>
    <x v="683"/>
    <x v="682"/>
    <x v="684"/>
    <x v="684"/>
    <x v="683"/>
    <x v="683"/>
    <x v="684"/>
  </r>
  <r>
    <x v="685"/>
    <x v="684"/>
    <x v="683"/>
    <x v="685"/>
    <x v="685"/>
    <x v="684"/>
    <x v="684"/>
    <x v="685"/>
  </r>
  <r>
    <x v="686"/>
    <x v="685"/>
    <x v="684"/>
    <x v="686"/>
    <x v="686"/>
    <x v="685"/>
    <x v="685"/>
    <x v="686"/>
  </r>
  <r>
    <x v="687"/>
    <x v="686"/>
    <x v="685"/>
    <x v="687"/>
    <x v="687"/>
    <x v="686"/>
    <x v="686"/>
    <x v="687"/>
  </r>
  <r>
    <x v="688"/>
    <x v="687"/>
    <x v="686"/>
    <x v="688"/>
    <x v="688"/>
    <x v="687"/>
    <x v="687"/>
    <x v="688"/>
  </r>
  <r>
    <x v="689"/>
    <x v="688"/>
    <x v="687"/>
    <x v="689"/>
    <x v="689"/>
    <x v="688"/>
    <x v="688"/>
    <x v="689"/>
  </r>
  <r>
    <x v="690"/>
    <x v="689"/>
    <x v="688"/>
    <x v="690"/>
    <x v="690"/>
    <x v="689"/>
    <x v="689"/>
    <x v="690"/>
  </r>
  <r>
    <x v="691"/>
    <x v="690"/>
    <x v="689"/>
    <x v="691"/>
    <x v="691"/>
    <x v="690"/>
    <x v="690"/>
    <x v="691"/>
  </r>
  <r>
    <x v="692"/>
    <x v="691"/>
    <x v="690"/>
    <x v="692"/>
    <x v="692"/>
    <x v="691"/>
    <x v="691"/>
    <x v="692"/>
  </r>
  <r>
    <x v="693"/>
    <x v="692"/>
    <x v="691"/>
    <x v="693"/>
    <x v="693"/>
    <x v="692"/>
    <x v="692"/>
    <x v="693"/>
  </r>
  <r>
    <x v="694"/>
    <x v="693"/>
    <x v="692"/>
    <x v="694"/>
    <x v="694"/>
    <x v="693"/>
    <x v="693"/>
    <x v="694"/>
  </r>
  <r>
    <x v="695"/>
    <x v="694"/>
    <x v="693"/>
    <x v="695"/>
    <x v="695"/>
    <x v="694"/>
    <x v="694"/>
    <x v="695"/>
  </r>
  <r>
    <x v="696"/>
    <x v="695"/>
    <x v="694"/>
    <x v="696"/>
    <x v="696"/>
    <x v="695"/>
    <x v="695"/>
    <x v="696"/>
  </r>
  <r>
    <x v="697"/>
    <x v="696"/>
    <x v="695"/>
    <x v="697"/>
    <x v="697"/>
    <x v="696"/>
    <x v="696"/>
    <x v="697"/>
  </r>
  <r>
    <x v="698"/>
    <x v="697"/>
    <x v="696"/>
    <x v="698"/>
    <x v="698"/>
    <x v="697"/>
    <x v="697"/>
    <x v="698"/>
  </r>
  <r>
    <x v="699"/>
    <x v="698"/>
    <x v="697"/>
    <x v="699"/>
    <x v="699"/>
    <x v="698"/>
    <x v="698"/>
    <x v="699"/>
  </r>
  <r>
    <x v="700"/>
    <x v="699"/>
    <x v="698"/>
    <x v="700"/>
    <x v="700"/>
    <x v="699"/>
    <x v="699"/>
    <x v="700"/>
  </r>
  <r>
    <x v="701"/>
    <x v="700"/>
    <x v="699"/>
    <x v="701"/>
    <x v="701"/>
    <x v="700"/>
    <x v="700"/>
    <x v="701"/>
  </r>
  <r>
    <x v="702"/>
    <x v="701"/>
    <x v="700"/>
    <x v="702"/>
    <x v="702"/>
    <x v="701"/>
    <x v="701"/>
    <x v="702"/>
  </r>
  <r>
    <x v="703"/>
    <x v="702"/>
    <x v="701"/>
    <x v="703"/>
    <x v="703"/>
    <x v="702"/>
    <x v="702"/>
    <x v="703"/>
  </r>
  <r>
    <x v="704"/>
    <x v="703"/>
    <x v="702"/>
    <x v="704"/>
    <x v="704"/>
    <x v="703"/>
    <x v="703"/>
    <x v="704"/>
  </r>
  <r>
    <x v="705"/>
    <x v="704"/>
    <x v="703"/>
    <x v="705"/>
    <x v="705"/>
    <x v="704"/>
    <x v="704"/>
    <x v="705"/>
  </r>
  <r>
    <x v="706"/>
    <x v="705"/>
    <x v="704"/>
    <x v="706"/>
    <x v="706"/>
    <x v="705"/>
    <x v="705"/>
    <x v="706"/>
  </r>
  <r>
    <x v="707"/>
    <x v="706"/>
    <x v="705"/>
    <x v="707"/>
    <x v="707"/>
    <x v="706"/>
    <x v="706"/>
    <x v="707"/>
  </r>
  <r>
    <x v="708"/>
    <x v="707"/>
    <x v="706"/>
    <x v="708"/>
    <x v="708"/>
    <x v="707"/>
    <x v="707"/>
    <x v="708"/>
  </r>
  <r>
    <x v="709"/>
    <x v="708"/>
    <x v="707"/>
    <x v="709"/>
    <x v="709"/>
    <x v="708"/>
    <x v="708"/>
    <x v="709"/>
  </r>
  <r>
    <x v="710"/>
    <x v="709"/>
    <x v="708"/>
    <x v="710"/>
    <x v="710"/>
    <x v="709"/>
    <x v="709"/>
    <x v="710"/>
  </r>
  <r>
    <x v="711"/>
    <x v="710"/>
    <x v="709"/>
    <x v="711"/>
    <x v="711"/>
    <x v="710"/>
    <x v="710"/>
    <x v="711"/>
  </r>
  <r>
    <x v="712"/>
    <x v="711"/>
    <x v="710"/>
    <x v="712"/>
    <x v="712"/>
    <x v="711"/>
    <x v="711"/>
    <x v="712"/>
  </r>
  <r>
    <x v="713"/>
    <x v="712"/>
    <x v="711"/>
    <x v="713"/>
    <x v="713"/>
    <x v="712"/>
    <x v="712"/>
    <x v="713"/>
  </r>
  <r>
    <x v="714"/>
    <x v="713"/>
    <x v="712"/>
    <x v="714"/>
    <x v="714"/>
    <x v="713"/>
    <x v="713"/>
    <x v="714"/>
  </r>
  <r>
    <x v="715"/>
    <x v="714"/>
    <x v="713"/>
    <x v="715"/>
    <x v="715"/>
    <x v="714"/>
    <x v="714"/>
    <x v="715"/>
  </r>
  <r>
    <x v="716"/>
    <x v="715"/>
    <x v="714"/>
    <x v="716"/>
    <x v="716"/>
    <x v="715"/>
    <x v="715"/>
    <x v="716"/>
  </r>
  <r>
    <x v="717"/>
    <x v="716"/>
    <x v="715"/>
    <x v="717"/>
    <x v="717"/>
    <x v="716"/>
    <x v="716"/>
    <x v="717"/>
  </r>
  <r>
    <x v="718"/>
    <x v="717"/>
    <x v="716"/>
    <x v="718"/>
    <x v="718"/>
    <x v="717"/>
    <x v="717"/>
    <x v="718"/>
  </r>
  <r>
    <x v="719"/>
    <x v="718"/>
    <x v="717"/>
    <x v="719"/>
    <x v="719"/>
    <x v="718"/>
    <x v="718"/>
    <x v="719"/>
  </r>
  <r>
    <x v="720"/>
    <x v="719"/>
    <x v="718"/>
    <x v="720"/>
    <x v="720"/>
    <x v="719"/>
    <x v="719"/>
    <x v="720"/>
  </r>
  <r>
    <x v="721"/>
    <x v="720"/>
    <x v="719"/>
    <x v="721"/>
    <x v="721"/>
    <x v="720"/>
    <x v="720"/>
    <x v="721"/>
  </r>
  <r>
    <x v="722"/>
    <x v="721"/>
    <x v="720"/>
    <x v="722"/>
    <x v="722"/>
    <x v="721"/>
    <x v="721"/>
    <x v="722"/>
  </r>
  <r>
    <x v="723"/>
    <x v="722"/>
    <x v="721"/>
    <x v="723"/>
    <x v="723"/>
    <x v="722"/>
    <x v="722"/>
    <x v="723"/>
  </r>
  <r>
    <x v="724"/>
    <x v="723"/>
    <x v="722"/>
    <x v="724"/>
    <x v="724"/>
    <x v="723"/>
    <x v="723"/>
    <x v="724"/>
  </r>
  <r>
    <x v="725"/>
    <x v="724"/>
    <x v="723"/>
    <x v="725"/>
    <x v="725"/>
    <x v="724"/>
    <x v="724"/>
    <x v="725"/>
  </r>
  <r>
    <x v="726"/>
    <x v="725"/>
    <x v="724"/>
    <x v="726"/>
    <x v="726"/>
    <x v="725"/>
    <x v="725"/>
    <x v="726"/>
  </r>
  <r>
    <x v="727"/>
    <x v="726"/>
    <x v="725"/>
    <x v="727"/>
    <x v="727"/>
    <x v="726"/>
    <x v="726"/>
    <x v="727"/>
  </r>
  <r>
    <x v="728"/>
    <x v="727"/>
    <x v="726"/>
    <x v="728"/>
    <x v="728"/>
    <x v="727"/>
    <x v="727"/>
    <x v="728"/>
  </r>
  <r>
    <x v="729"/>
    <x v="728"/>
    <x v="727"/>
    <x v="729"/>
    <x v="729"/>
    <x v="728"/>
    <x v="728"/>
    <x v="729"/>
  </r>
  <r>
    <x v="730"/>
    <x v="729"/>
    <x v="728"/>
    <x v="730"/>
    <x v="730"/>
    <x v="729"/>
    <x v="729"/>
    <x v="730"/>
  </r>
  <r>
    <x v="731"/>
    <x v="730"/>
    <x v="729"/>
    <x v="731"/>
    <x v="731"/>
    <x v="730"/>
    <x v="730"/>
    <x v="731"/>
  </r>
  <r>
    <x v="732"/>
    <x v="731"/>
    <x v="730"/>
    <x v="732"/>
    <x v="732"/>
    <x v="731"/>
    <x v="731"/>
    <x v="732"/>
  </r>
  <r>
    <x v="733"/>
    <x v="732"/>
    <x v="731"/>
    <x v="733"/>
    <x v="733"/>
    <x v="732"/>
    <x v="732"/>
    <x v="733"/>
  </r>
  <r>
    <x v="734"/>
    <x v="733"/>
    <x v="732"/>
    <x v="734"/>
    <x v="734"/>
    <x v="733"/>
    <x v="733"/>
    <x v="734"/>
  </r>
  <r>
    <x v="735"/>
    <x v="734"/>
    <x v="733"/>
    <x v="735"/>
    <x v="735"/>
    <x v="734"/>
    <x v="734"/>
    <x v="735"/>
  </r>
  <r>
    <x v="736"/>
    <x v="735"/>
    <x v="734"/>
    <x v="736"/>
    <x v="736"/>
    <x v="735"/>
    <x v="735"/>
    <x v="736"/>
  </r>
  <r>
    <x v="737"/>
    <x v="736"/>
    <x v="735"/>
    <x v="737"/>
    <x v="737"/>
    <x v="736"/>
    <x v="736"/>
    <x v="737"/>
  </r>
  <r>
    <x v="738"/>
    <x v="737"/>
    <x v="736"/>
    <x v="738"/>
    <x v="738"/>
    <x v="737"/>
    <x v="737"/>
    <x v="738"/>
  </r>
  <r>
    <x v="739"/>
    <x v="738"/>
    <x v="737"/>
    <x v="739"/>
    <x v="739"/>
    <x v="738"/>
    <x v="738"/>
    <x v="739"/>
  </r>
  <r>
    <x v="740"/>
    <x v="739"/>
    <x v="738"/>
    <x v="740"/>
    <x v="740"/>
    <x v="739"/>
    <x v="739"/>
    <x v="740"/>
  </r>
  <r>
    <x v="741"/>
    <x v="740"/>
    <x v="739"/>
    <x v="741"/>
    <x v="741"/>
    <x v="740"/>
    <x v="740"/>
    <x v="741"/>
  </r>
  <r>
    <x v="742"/>
    <x v="741"/>
    <x v="740"/>
    <x v="742"/>
    <x v="742"/>
    <x v="741"/>
    <x v="741"/>
    <x v="742"/>
  </r>
  <r>
    <x v="743"/>
    <x v="742"/>
    <x v="741"/>
    <x v="743"/>
    <x v="743"/>
    <x v="742"/>
    <x v="742"/>
    <x v="743"/>
  </r>
  <r>
    <x v="744"/>
    <x v="743"/>
    <x v="742"/>
    <x v="744"/>
    <x v="744"/>
    <x v="95"/>
    <x v="743"/>
    <x v="744"/>
  </r>
  <r>
    <x v="745"/>
    <x v="744"/>
    <x v="743"/>
    <x v="745"/>
    <x v="745"/>
    <x v="743"/>
    <x v="744"/>
    <x v="745"/>
  </r>
  <r>
    <x v="746"/>
    <x v="745"/>
    <x v="744"/>
    <x v="746"/>
    <x v="746"/>
    <x v="744"/>
    <x v="745"/>
    <x v="746"/>
  </r>
  <r>
    <x v="747"/>
    <x v="746"/>
    <x v="745"/>
    <x v="747"/>
    <x v="747"/>
    <x v="745"/>
    <x v="746"/>
    <x v="747"/>
  </r>
  <r>
    <x v="748"/>
    <x v="747"/>
    <x v="746"/>
    <x v="748"/>
    <x v="748"/>
    <x v="746"/>
    <x v="747"/>
    <x v="748"/>
  </r>
  <r>
    <x v="749"/>
    <x v="748"/>
    <x v="747"/>
    <x v="749"/>
    <x v="749"/>
    <x v="747"/>
    <x v="748"/>
    <x v="749"/>
  </r>
  <r>
    <x v="750"/>
    <x v="749"/>
    <x v="748"/>
    <x v="750"/>
    <x v="750"/>
    <x v="748"/>
    <x v="749"/>
    <x v="750"/>
  </r>
  <r>
    <x v="751"/>
    <x v="750"/>
    <x v="749"/>
    <x v="751"/>
    <x v="217"/>
    <x v="749"/>
    <x v="750"/>
    <x v="751"/>
  </r>
  <r>
    <x v="752"/>
    <x v="751"/>
    <x v="750"/>
    <x v="752"/>
    <x v="751"/>
    <x v="750"/>
    <x v="751"/>
    <x v="752"/>
  </r>
  <r>
    <x v="753"/>
    <x v="752"/>
    <x v="751"/>
    <x v="753"/>
    <x v="752"/>
    <x v="751"/>
    <x v="752"/>
    <x v="753"/>
  </r>
  <r>
    <x v="754"/>
    <x v="753"/>
    <x v="752"/>
    <x v="754"/>
    <x v="753"/>
    <x v="752"/>
    <x v="753"/>
    <x v="754"/>
  </r>
  <r>
    <x v="755"/>
    <x v="754"/>
    <x v="753"/>
    <x v="755"/>
    <x v="754"/>
    <x v="753"/>
    <x v="754"/>
    <x v="755"/>
  </r>
  <r>
    <x v="756"/>
    <x v="755"/>
    <x v="754"/>
    <x v="756"/>
    <x v="755"/>
    <x v="754"/>
    <x v="755"/>
    <x v="756"/>
  </r>
  <r>
    <x v="757"/>
    <x v="756"/>
    <x v="755"/>
    <x v="757"/>
    <x v="756"/>
    <x v="755"/>
    <x v="756"/>
    <x v="757"/>
  </r>
  <r>
    <x v="758"/>
    <x v="757"/>
    <x v="756"/>
    <x v="758"/>
    <x v="757"/>
    <x v="756"/>
    <x v="757"/>
    <x v="758"/>
  </r>
  <r>
    <x v="759"/>
    <x v="758"/>
    <x v="757"/>
    <x v="759"/>
    <x v="758"/>
    <x v="757"/>
    <x v="758"/>
    <x v="759"/>
  </r>
  <r>
    <x v="760"/>
    <x v="759"/>
    <x v="758"/>
    <x v="760"/>
    <x v="759"/>
    <x v="758"/>
    <x v="759"/>
    <x v="760"/>
  </r>
  <r>
    <x v="761"/>
    <x v="760"/>
    <x v="759"/>
    <x v="761"/>
    <x v="760"/>
    <x v="759"/>
    <x v="760"/>
    <x v="761"/>
  </r>
  <r>
    <x v="762"/>
    <x v="761"/>
    <x v="760"/>
    <x v="762"/>
    <x v="761"/>
    <x v="760"/>
    <x v="761"/>
    <x v="762"/>
  </r>
  <r>
    <x v="763"/>
    <x v="762"/>
    <x v="761"/>
    <x v="763"/>
    <x v="762"/>
    <x v="761"/>
    <x v="762"/>
    <x v="763"/>
  </r>
  <r>
    <x v="764"/>
    <x v="763"/>
    <x v="762"/>
    <x v="764"/>
    <x v="763"/>
    <x v="762"/>
    <x v="763"/>
    <x v="764"/>
  </r>
  <r>
    <x v="765"/>
    <x v="764"/>
    <x v="763"/>
    <x v="765"/>
    <x v="764"/>
    <x v="763"/>
    <x v="764"/>
    <x v="765"/>
  </r>
  <r>
    <x v="766"/>
    <x v="765"/>
    <x v="764"/>
    <x v="766"/>
    <x v="765"/>
    <x v="764"/>
    <x v="765"/>
    <x v="766"/>
  </r>
  <r>
    <x v="767"/>
    <x v="766"/>
    <x v="765"/>
    <x v="767"/>
    <x v="766"/>
    <x v="765"/>
    <x v="766"/>
    <x v="767"/>
  </r>
  <r>
    <x v="768"/>
    <x v="767"/>
    <x v="766"/>
    <x v="768"/>
    <x v="767"/>
    <x v="766"/>
    <x v="767"/>
    <x v="768"/>
  </r>
  <r>
    <x v="769"/>
    <x v="768"/>
    <x v="767"/>
    <x v="769"/>
    <x v="768"/>
    <x v="767"/>
    <x v="768"/>
    <x v="769"/>
  </r>
  <r>
    <x v="770"/>
    <x v="769"/>
    <x v="768"/>
    <x v="770"/>
    <x v="769"/>
    <x v="768"/>
    <x v="769"/>
    <x v="770"/>
  </r>
  <r>
    <x v="771"/>
    <x v="770"/>
    <x v="769"/>
    <x v="771"/>
    <x v="770"/>
    <x v="769"/>
    <x v="770"/>
    <x v="771"/>
  </r>
  <r>
    <x v="772"/>
    <x v="771"/>
    <x v="770"/>
    <x v="772"/>
    <x v="771"/>
    <x v="770"/>
    <x v="771"/>
    <x v="772"/>
  </r>
  <r>
    <x v="773"/>
    <x v="772"/>
    <x v="771"/>
    <x v="773"/>
    <x v="772"/>
    <x v="771"/>
    <x v="772"/>
    <x v="773"/>
  </r>
  <r>
    <x v="774"/>
    <x v="773"/>
    <x v="772"/>
    <x v="774"/>
    <x v="773"/>
    <x v="772"/>
    <x v="773"/>
    <x v="774"/>
  </r>
  <r>
    <x v="775"/>
    <x v="774"/>
    <x v="773"/>
    <x v="775"/>
    <x v="774"/>
    <x v="773"/>
    <x v="774"/>
    <x v="775"/>
  </r>
  <r>
    <x v="776"/>
    <x v="775"/>
    <x v="774"/>
    <x v="776"/>
    <x v="775"/>
    <x v="774"/>
    <x v="775"/>
    <x v="776"/>
  </r>
  <r>
    <x v="777"/>
    <x v="776"/>
    <x v="775"/>
    <x v="777"/>
    <x v="776"/>
    <x v="775"/>
    <x v="776"/>
    <x v="777"/>
  </r>
  <r>
    <x v="778"/>
    <x v="777"/>
    <x v="776"/>
    <x v="778"/>
    <x v="777"/>
    <x v="776"/>
    <x v="777"/>
    <x v="778"/>
  </r>
  <r>
    <x v="779"/>
    <x v="778"/>
    <x v="777"/>
    <x v="779"/>
    <x v="778"/>
    <x v="777"/>
    <x v="778"/>
    <x v="779"/>
  </r>
  <r>
    <x v="780"/>
    <x v="779"/>
    <x v="778"/>
    <x v="780"/>
    <x v="779"/>
    <x v="778"/>
    <x v="779"/>
    <x v="780"/>
  </r>
  <r>
    <x v="781"/>
    <x v="780"/>
    <x v="779"/>
    <x v="781"/>
    <x v="780"/>
    <x v="779"/>
    <x v="780"/>
    <x v="781"/>
  </r>
  <r>
    <x v="782"/>
    <x v="781"/>
    <x v="780"/>
    <x v="782"/>
    <x v="781"/>
    <x v="780"/>
    <x v="781"/>
    <x v="782"/>
  </r>
  <r>
    <x v="783"/>
    <x v="782"/>
    <x v="781"/>
    <x v="783"/>
    <x v="782"/>
    <x v="781"/>
    <x v="782"/>
    <x v="783"/>
  </r>
  <r>
    <x v="784"/>
    <x v="783"/>
    <x v="782"/>
    <x v="784"/>
    <x v="783"/>
    <x v="782"/>
    <x v="783"/>
    <x v="784"/>
  </r>
  <r>
    <x v="785"/>
    <x v="784"/>
    <x v="783"/>
    <x v="785"/>
    <x v="784"/>
    <x v="783"/>
    <x v="784"/>
    <x v="785"/>
  </r>
  <r>
    <x v="786"/>
    <x v="785"/>
    <x v="784"/>
    <x v="786"/>
    <x v="785"/>
    <x v="784"/>
    <x v="785"/>
    <x v="786"/>
  </r>
  <r>
    <x v="787"/>
    <x v="786"/>
    <x v="785"/>
    <x v="787"/>
    <x v="786"/>
    <x v="785"/>
    <x v="786"/>
    <x v="787"/>
  </r>
  <r>
    <x v="788"/>
    <x v="787"/>
    <x v="786"/>
    <x v="788"/>
    <x v="787"/>
    <x v="786"/>
    <x v="787"/>
    <x v="788"/>
  </r>
  <r>
    <x v="789"/>
    <x v="788"/>
    <x v="787"/>
    <x v="789"/>
    <x v="788"/>
    <x v="787"/>
    <x v="788"/>
    <x v="789"/>
  </r>
  <r>
    <x v="790"/>
    <x v="789"/>
    <x v="788"/>
    <x v="790"/>
    <x v="789"/>
    <x v="788"/>
    <x v="789"/>
    <x v="790"/>
  </r>
  <r>
    <x v="791"/>
    <x v="790"/>
    <x v="789"/>
    <x v="791"/>
    <x v="790"/>
    <x v="789"/>
    <x v="790"/>
    <x v="791"/>
  </r>
  <r>
    <x v="792"/>
    <x v="791"/>
    <x v="790"/>
    <x v="792"/>
    <x v="791"/>
    <x v="790"/>
    <x v="791"/>
    <x v="792"/>
  </r>
  <r>
    <x v="793"/>
    <x v="792"/>
    <x v="791"/>
    <x v="793"/>
    <x v="792"/>
    <x v="791"/>
    <x v="792"/>
    <x v="793"/>
  </r>
  <r>
    <x v="794"/>
    <x v="793"/>
    <x v="792"/>
    <x v="794"/>
    <x v="793"/>
    <x v="792"/>
    <x v="793"/>
    <x v="794"/>
  </r>
  <r>
    <x v="795"/>
    <x v="794"/>
    <x v="793"/>
    <x v="795"/>
    <x v="794"/>
    <x v="793"/>
    <x v="794"/>
    <x v="795"/>
  </r>
  <r>
    <x v="796"/>
    <x v="795"/>
    <x v="794"/>
    <x v="796"/>
    <x v="795"/>
    <x v="794"/>
    <x v="795"/>
    <x v="796"/>
  </r>
  <r>
    <x v="797"/>
    <x v="796"/>
    <x v="795"/>
    <x v="797"/>
    <x v="796"/>
    <x v="795"/>
    <x v="796"/>
    <x v="797"/>
  </r>
  <r>
    <x v="798"/>
    <x v="797"/>
    <x v="796"/>
    <x v="798"/>
    <x v="797"/>
    <x v="796"/>
    <x v="797"/>
    <x v="798"/>
  </r>
  <r>
    <x v="799"/>
    <x v="798"/>
    <x v="797"/>
    <x v="799"/>
    <x v="798"/>
    <x v="797"/>
    <x v="798"/>
    <x v="799"/>
  </r>
  <r>
    <x v="800"/>
    <x v="799"/>
    <x v="798"/>
    <x v="800"/>
    <x v="799"/>
    <x v="798"/>
    <x v="799"/>
    <x v="800"/>
  </r>
  <r>
    <x v="801"/>
    <x v="800"/>
    <x v="799"/>
    <x v="801"/>
    <x v="800"/>
    <x v="799"/>
    <x v="800"/>
    <x v="801"/>
  </r>
  <r>
    <x v="802"/>
    <x v="801"/>
    <x v="800"/>
    <x v="802"/>
    <x v="801"/>
    <x v="800"/>
    <x v="801"/>
    <x v="802"/>
  </r>
  <r>
    <x v="803"/>
    <x v="802"/>
    <x v="801"/>
    <x v="803"/>
    <x v="802"/>
    <x v="801"/>
    <x v="802"/>
    <x v="803"/>
  </r>
  <r>
    <x v="804"/>
    <x v="803"/>
    <x v="802"/>
    <x v="804"/>
    <x v="803"/>
    <x v="802"/>
    <x v="803"/>
    <x v="804"/>
  </r>
  <r>
    <x v="805"/>
    <x v="804"/>
    <x v="803"/>
    <x v="805"/>
    <x v="804"/>
    <x v="803"/>
    <x v="804"/>
    <x v="805"/>
  </r>
  <r>
    <x v="806"/>
    <x v="805"/>
    <x v="804"/>
    <x v="806"/>
    <x v="805"/>
    <x v="804"/>
    <x v="805"/>
    <x v="806"/>
  </r>
  <r>
    <x v="807"/>
    <x v="806"/>
    <x v="805"/>
    <x v="807"/>
    <x v="806"/>
    <x v="805"/>
    <x v="806"/>
    <x v="807"/>
  </r>
  <r>
    <x v="808"/>
    <x v="807"/>
    <x v="806"/>
    <x v="808"/>
    <x v="807"/>
    <x v="806"/>
    <x v="807"/>
    <x v="784"/>
  </r>
  <r>
    <x v="809"/>
    <x v="808"/>
    <x v="807"/>
    <x v="809"/>
    <x v="808"/>
    <x v="807"/>
    <x v="808"/>
    <x v="808"/>
  </r>
  <r>
    <x v="810"/>
    <x v="809"/>
    <x v="808"/>
    <x v="810"/>
    <x v="809"/>
    <x v="808"/>
    <x v="809"/>
    <x v="809"/>
  </r>
  <r>
    <x v="811"/>
    <x v="810"/>
    <x v="809"/>
    <x v="811"/>
    <x v="810"/>
    <x v="809"/>
    <x v="810"/>
    <x v="810"/>
  </r>
  <r>
    <x v="812"/>
    <x v="811"/>
    <x v="810"/>
    <x v="812"/>
    <x v="811"/>
    <x v="810"/>
    <x v="811"/>
    <x v="811"/>
  </r>
  <r>
    <x v="813"/>
    <x v="812"/>
    <x v="811"/>
    <x v="813"/>
    <x v="812"/>
    <x v="811"/>
    <x v="812"/>
    <x v="812"/>
  </r>
  <r>
    <x v="814"/>
    <x v="813"/>
    <x v="812"/>
    <x v="814"/>
    <x v="813"/>
    <x v="812"/>
    <x v="813"/>
    <x v="813"/>
  </r>
  <r>
    <x v="815"/>
    <x v="814"/>
    <x v="813"/>
    <x v="815"/>
    <x v="814"/>
    <x v="813"/>
    <x v="814"/>
    <x v="814"/>
  </r>
  <r>
    <x v="816"/>
    <x v="815"/>
    <x v="814"/>
    <x v="816"/>
    <x v="815"/>
    <x v="814"/>
    <x v="815"/>
    <x v="815"/>
  </r>
  <r>
    <x v="817"/>
    <x v="816"/>
    <x v="815"/>
    <x v="817"/>
    <x v="816"/>
    <x v="815"/>
    <x v="816"/>
    <x v="816"/>
  </r>
  <r>
    <x v="818"/>
    <x v="817"/>
    <x v="816"/>
    <x v="818"/>
    <x v="817"/>
    <x v="816"/>
    <x v="817"/>
    <x v="817"/>
  </r>
  <r>
    <x v="819"/>
    <x v="818"/>
    <x v="817"/>
    <x v="819"/>
    <x v="818"/>
    <x v="817"/>
    <x v="818"/>
    <x v="818"/>
  </r>
  <r>
    <x v="820"/>
    <x v="819"/>
    <x v="818"/>
    <x v="820"/>
    <x v="819"/>
    <x v="818"/>
    <x v="819"/>
    <x v="819"/>
  </r>
  <r>
    <x v="821"/>
    <x v="820"/>
    <x v="819"/>
    <x v="821"/>
    <x v="820"/>
    <x v="819"/>
    <x v="820"/>
    <x v="820"/>
  </r>
  <r>
    <x v="822"/>
    <x v="821"/>
    <x v="820"/>
    <x v="822"/>
    <x v="821"/>
    <x v="820"/>
    <x v="821"/>
    <x v="821"/>
  </r>
  <r>
    <x v="823"/>
    <x v="822"/>
    <x v="821"/>
    <x v="823"/>
    <x v="822"/>
    <x v="821"/>
    <x v="822"/>
    <x v="822"/>
  </r>
  <r>
    <x v="824"/>
    <x v="823"/>
    <x v="822"/>
    <x v="824"/>
    <x v="823"/>
    <x v="822"/>
    <x v="823"/>
    <x v="823"/>
  </r>
  <r>
    <x v="825"/>
    <x v="824"/>
    <x v="823"/>
    <x v="825"/>
    <x v="824"/>
    <x v="823"/>
    <x v="824"/>
    <x v="824"/>
  </r>
  <r>
    <x v="826"/>
    <x v="825"/>
    <x v="824"/>
    <x v="826"/>
    <x v="825"/>
    <x v="824"/>
    <x v="825"/>
    <x v="825"/>
  </r>
  <r>
    <x v="827"/>
    <x v="826"/>
    <x v="825"/>
    <x v="827"/>
    <x v="826"/>
    <x v="825"/>
    <x v="826"/>
    <x v="826"/>
  </r>
  <r>
    <x v="828"/>
    <x v="827"/>
    <x v="826"/>
    <x v="828"/>
    <x v="827"/>
    <x v="826"/>
    <x v="827"/>
    <x v="827"/>
  </r>
  <r>
    <x v="829"/>
    <x v="828"/>
    <x v="827"/>
    <x v="829"/>
    <x v="828"/>
    <x v="827"/>
    <x v="828"/>
    <x v="828"/>
  </r>
  <r>
    <x v="830"/>
    <x v="829"/>
    <x v="828"/>
    <x v="830"/>
    <x v="829"/>
    <x v="828"/>
    <x v="829"/>
    <x v="829"/>
  </r>
  <r>
    <x v="831"/>
    <x v="830"/>
    <x v="829"/>
    <x v="831"/>
    <x v="830"/>
    <x v="829"/>
    <x v="830"/>
    <x v="830"/>
  </r>
  <r>
    <x v="832"/>
    <x v="831"/>
    <x v="830"/>
    <x v="832"/>
    <x v="831"/>
    <x v="830"/>
    <x v="831"/>
    <x v="831"/>
  </r>
  <r>
    <x v="833"/>
    <x v="832"/>
    <x v="831"/>
    <x v="833"/>
    <x v="832"/>
    <x v="831"/>
    <x v="832"/>
    <x v="832"/>
  </r>
  <r>
    <x v="834"/>
    <x v="833"/>
    <x v="832"/>
    <x v="834"/>
    <x v="833"/>
    <x v="832"/>
    <x v="833"/>
    <x v="833"/>
  </r>
  <r>
    <x v="835"/>
    <x v="834"/>
    <x v="833"/>
    <x v="835"/>
    <x v="834"/>
    <x v="833"/>
    <x v="834"/>
    <x v="834"/>
  </r>
  <r>
    <x v="836"/>
    <x v="835"/>
    <x v="834"/>
    <x v="836"/>
    <x v="835"/>
    <x v="834"/>
    <x v="835"/>
    <x v="835"/>
  </r>
  <r>
    <x v="837"/>
    <x v="836"/>
    <x v="835"/>
    <x v="837"/>
    <x v="836"/>
    <x v="835"/>
    <x v="836"/>
    <x v="836"/>
  </r>
  <r>
    <x v="838"/>
    <x v="837"/>
    <x v="836"/>
    <x v="838"/>
    <x v="837"/>
    <x v="836"/>
    <x v="837"/>
    <x v="837"/>
  </r>
  <r>
    <x v="839"/>
    <x v="838"/>
    <x v="837"/>
    <x v="839"/>
    <x v="838"/>
    <x v="837"/>
    <x v="838"/>
    <x v="838"/>
  </r>
  <r>
    <x v="840"/>
    <x v="839"/>
    <x v="838"/>
    <x v="840"/>
    <x v="839"/>
    <x v="838"/>
    <x v="839"/>
    <x v="839"/>
  </r>
  <r>
    <x v="841"/>
    <x v="840"/>
    <x v="839"/>
    <x v="841"/>
    <x v="840"/>
    <x v="839"/>
    <x v="840"/>
    <x v="840"/>
  </r>
  <r>
    <x v="842"/>
    <x v="841"/>
    <x v="840"/>
    <x v="842"/>
    <x v="841"/>
    <x v="840"/>
    <x v="841"/>
    <x v="841"/>
  </r>
  <r>
    <x v="843"/>
    <x v="842"/>
    <x v="841"/>
    <x v="843"/>
    <x v="842"/>
    <x v="841"/>
    <x v="842"/>
    <x v="842"/>
  </r>
  <r>
    <x v="844"/>
    <x v="843"/>
    <x v="842"/>
    <x v="844"/>
    <x v="843"/>
    <x v="842"/>
    <x v="843"/>
    <x v="843"/>
  </r>
  <r>
    <x v="845"/>
    <x v="844"/>
    <x v="843"/>
    <x v="845"/>
    <x v="844"/>
    <x v="843"/>
    <x v="844"/>
    <x v="844"/>
  </r>
  <r>
    <x v="846"/>
    <x v="845"/>
    <x v="844"/>
    <x v="846"/>
    <x v="845"/>
    <x v="844"/>
    <x v="845"/>
    <x v="845"/>
  </r>
  <r>
    <x v="847"/>
    <x v="846"/>
    <x v="845"/>
    <x v="847"/>
    <x v="846"/>
    <x v="845"/>
    <x v="846"/>
    <x v="846"/>
  </r>
  <r>
    <x v="848"/>
    <x v="847"/>
    <x v="846"/>
    <x v="848"/>
    <x v="847"/>
    <x v="846"/>
    <x v="847"/>
    <x v="847"/>
  </r>
  <r>
    <x v="849"/>
    <x v="848"/>
    <x v="847"/>
    <x v="849"/>
    <x v="848"/>
    <x v="847"/>
    <x v="848"/>
    <x v="848"/>
  </r>
  <r>
    <x v="850"/>
    <x v="849"/>
    <x v="848"/>
    <x v="850"/>
    <x v="849"/>
    <x v="848"/>
    <x v="849"/>
    <x v="849"/>
  </r>
  <r>
    <x v="851"/>
    <x v="850"/>
    <x v="849"/>
    <x v="851"/>
    <x v="850"/>
    <x v="849"/>
    <x v="850"/>
    <x v="850"/>
  </r>
  <r>
    <x v="852"/>
    <x v="851"/>
    <x v="850"/>
    <x v="852"/>
    <x v="851"/>
    <x v="850"/>
    <x v="851"/>
    <x v="851"/>
  </r>
  <r>
    <x v="853"/>
    <x v="852"/>
    <x v="851"/>
    <x v="853"/>
    <x v="852"/>
    <x v="851"/>
    <x v="852"/>
    <x v="852"/>
  </r>
  <r>
    <x v="854"/>
    <x v="853"/>
    <x v="852"/>
    <x v="854"/>
    <x v="853"/>
    <x v="852"/>
    <x v="853"/>
    <x v="853"/>
  </r>
  <r>
    <x v="855"/>
    <x v="854"/>
    <x v="853"/>
    <x v="855"/>
    <x v="854"/>
    <x v="853"/>
    <x v="854"/>
    <x v="854"/>
  </r>
  <r>
    <x v="856"/>
    <x v="855"/>
    <x v="854"/>
    <x v="856"/>
    <x v="855"/>
    <x v="854"/>
    <x v="855"/>
    <x v="855"/>
  </r>
  <r>
    <x v="857"/>
    <x v="856"/>
    <x v="855"/>
    <x v="857"/>
    <x v="856"/>
    <x v="855"/>
    <x v="856"/>
    <x v="856"/>
  </r>
  <r>
    <x v="858"/>
    <x v="857"/>
    <x v="856"/>
    <x v="858"/>
    <x v="857"/>
    <x v="856"/>
    <x v="857"/>
    <x v="857"/>
  </r>
  <r>
    <x v="859"/>
    <x v="858"/>
    <x v="857"/>
    <x v="859"/>
    <x v="858"/>
    <x v="857"/>
    <x v="858"/>
    <x v="858"/>
  </r>
  <r>
    <x v="860"/>
    <x v="859"/>
    <x v="858"/>
    <x v="860"/>
    <x v="859"/>
    <x v="858"/>
    <x v="859"/>
    <x v="859"/>
  </r>
  <r>
    <x v="861"/>
    <x v="860"/>
    <x v="859"/>
    <x v="861"/>
    <x v="860"/>
    <x v="859"/>
    <x v="860"/>
    <x v="860"/>
  </r>
  <r>
    <x v="862"/>
    <x v="861"/>
    <x v="860"/>
    <x v="862"/>
    <x v="861"/>
    <x v="860"/>
    <x v="861"/>
    <x v="861"/>
  </r>
  <r>
    <x v="863"/>
    <x v="862"/>
    <x v="861"/>
    <x v="863"/>
    <x v="862"/>
    <x v="861"/>
    <x v="862"/>
    <x v="862"/>
  </r>
  <r>
    <x v="864"/>
    <x v="863"/>
    <x v="862"/>
    <x v="864"/>
    <x v="863"/>
    <x v="862"/>
    <x v="863"/>
    <x v="863"/>
  </r>
  <r>
    <x v="865"/>
    <x v="864"/>
    <x v="863"/>
    <x v="865"/>
    <x v="864"/>
    <x v="863"/>
    <x v="864"/>
    <x v="864"/>
  </r>
  <r>
    <x v="866"/>
    <x v="865"/>
    <x v="864"/>
    <x v="866"/>
    <x v="865"/>
    <x v="864"/>
    <x v="865"/>
    <x v="865"/>
  </r>
  <r>
    <x v="867"/>
    <x v="866"/>
    <x v="865"/>
    <x v="867"/>
    <x v="866"/>
    <x v="865"/>
    <x v="866"/>
    <x v="866"/>
  </r>
  <r>
    <x v="868"/>
    <x v="867"/>
    <x v="866"/>
    <x v="868"/>
    <x v="867"/>
    <x v="866"/>
    <x v="867"/>
    <x v="867"/>
  </r>
  <r>
    <x v="869"/>
    <x v="868"/>
    <x v="867"/>
    <x v="869"/>
    <x v="868"/>
    <x v="867"/>
    <x v="868"/>
    <x v="868"/>
  </r>
  <r>
    <x v="870"/>
    <x v="869"/>
    <x v="868"/>
    <x v="870"/>
    <x v="869"/>
    <x v="868"/>
    <x v="869"/>
    <x v="869"/>
  </r>
  <r>
    <x v="871"/>
    <x v="870"/>
    <x v="869"/>
    <x v="871"/>
    <x v="870"/>
    <x v="869"/>
    <x v="870"/>
    <x v="870"/>
  </r>
  <r>
    <x v="872"/>
    <x v="871"/>
    <x v="870"/>
    <x v="872"/>
    <x v="871"/>
    <x v="870"/>
    <x v="871"/>
    <x v="871"/>
  </r>
  <r>
    <x v="873"/>
    <x v="872"/>
    <x v="871"/>
    <x v="873"/>
    <x v="872"/>
    <x v="871"/>
    <x v="872"/>
    <x v="872"/>
  </r>
  <r>
    <x v="874"/>
    <x v="873"/>
    <x v="872"/>
    <x v="874"/>
    <x v="873"/>
    <x v="872"/>
    <x v="873"/>
    <x v="873"/>
  </r>
  <r>
    <x v="875"/>
    <x v="874"/>
    <x v="873"/>
    <x v="875"/>
    <x v="874"/>
    <x v="873"/>
    <x v="874"/>
    <x v="874"/>
  </r>
  <r>
    <x v="876"/>
    <x v="875"/>
    <x v="874"/>
    <x v="876"/>
    <x v="875"/>
    <x v="874"/>
    <x v="875"/>
    <x v="875"/>
  </r>
  <r>
    <x v="877"/>
    <x v="876"/>
    <x v="875"/>
    <x v="877"/>
    <x v="876"/>
    <x v="875"/>
    <x v="876"/>
    <x v="876"/>
  </r>
  <r>
    <x v="878"/>
    <x v="877"/>
    <x v="876"/>
    <x v="878"/>
    <x v="877"/>
    <x v="876"/>
    <x v="877"/>
    <x v="877"/>
  </r>
  <r>
    <x v="879"/>
    <x v="878"/>
    <x v="877"/>
    <x v="879"/>
    <x v="878"/>
    <x v="877"/>
    <x v="878"/>
    <x v="878"/>
  </r>
  <r>
    <x v="880"/>
    <x v="879"/>
    <x v="878"/>
    <x v="880"/>
    <x v="879"/>
    <x v="878"/>
    <x v="879"/>
    <x v="879"/>
  </r>
  <r>
    <x v="881"/>
    <x v="880"/>
    <x v="879"/>
    <x v="881"/>
    <x v="880"/>
    <x v="879"/>
    <x v="880"/>
    <x v="880"/>
  </r>
  <r>
    <x v="882"/>
    <x v="881"/>
    <x v="880"/>
    <x v="882"/>
    <x v="881"/>
    <x v="880"/>
    <x v="881"/>
    <x v="881"/>
  </r>
  <r>
    <x v="883"/>
    <x v="882"/>
    <x v="881"/>
    <x v="883"/>
    <x v="882"/>
    <x v="881"/>
    <x v="882"/>
    <x v="882"/>
  </r>
  <r>
    <x v="884"/>
    <x v="883"/>
    <x v="882"/>
    <x v="884"/>
    <x v="883"/>
    <x v="882"/>
    <x v="883"/>
    <x v="883"/>
  </r>
  <r>
    <x v="885"/>
    <x v="884"/>
    <x v="883"/>
    <x v="885"/>
    <x v="884"/>
    <x v="883"/>
    <x v="884"/>
    <x v="884"/>
  </r>
  <r>
    <x v="886"/>
    <x v="885"/>
    <x v="884"/>
    <x v="886"/>
    <x v="885"/>
    <x v="884"/>
    <x v="885"/>
    <x v="885"/>
  </r>
  <r>
    <x v="887"/>
    <x v="886"/>
    <x v="885"/>
    <x v="887"/>
    <x v="886"/>
    <x v="885"/>
    <x v="886"/>
    <x v="886"/>
  </r>
  <r>
    <x v="888"/>
    <x v="887"/>
    <x v="886"/>
    <x v="888"/>
    <x v="887"/>
    <x v="886"/>
    <x v="887"/>
    <x v="887"/>
  </r>
  <r>
    <x v="889"/>
    <x v="888"/>
    <x v="887"/>
    <x v="889"/>
    <x v="888"/>
    <x v="887"/>
    <x v="888"/>
    <x v="888"/>
  </r>
  <r>
    <x v="890"/>
    <x v="889"/>
    <x v="888"/>
    <x v="890"/>
    <x v="889"/>
    <x v="888"/>
    <x v="889"/>
    <x v="889"/>
  </r>
  <r>
    <x v="891"/>
    <x v="890"/>
    <x v="889"/>
    <x v="891"/>
    <x v="890"/>
    <x v="889"/>
    <x v="890"/>
    <x v="890"/>
  </r>
  <r>
    <x v="892"/>
    <x v="891"/>
    <x v="890"/>
    <x v="892"/>
    <x v="891"/>
    <x v="890"/>
    <x v="891"/>
    <x v="891"/>
  </r>
  <r>
    <x v="893"/>
    <x v="892"/>
    <x v="891"/>
    <x v="893"/>
    <x v="892"/>
    <x v="891"/>
    <x v="892"/>
    <x v="892"/>
  </r>
  <r>
    <x v="894"/>
    <x v="893"/>
    <x v="892"/>
    <x v="894"/>
    <x v="893"/>
    <x v="892"/>
    <x v="893"/>
    <x v="893"/>
  </r>
  <r>
    <x v="895"/>
    <x v="894"/>
    <x v="893"/>
    <x v="895"/>
    <x v="894"/>
    <x v="893"/>
    <x v="894"/>
    <x v="894"/>
  </r>
  <r>
    <x v="896"/>
    <x v="895"/>
    <x v="894"/>
    <x v="896"/>
    <x v="895"/>
    <x v="894"/>
    <x v="895"/>
    <x v="895"/>
  </r>
  <r>
    <x v="897"/>
    <x v="896"/>
    <x v="895"/>
    <x v="897"/>
    <x v="896"/>
    <x v="895"/>
    <x v="896"/>
    <x v="896"/>
  </r>
  <r>
    <x v="898"/>
    <x v="897"/>
    <x v="896"/>
    <x v="898"/>
    <x v="897"/>
    <x v="896"/>
    <x v="897"/>
    <x v="897"/>
  </r>
  <r>
    <x v="899"/>
    <x v="898"/>
    <x v="897"/>
    <x v="899"/>
    <x v="898"/>
    <x v="897"/>
    <x v="898"/>
    <x v="898"/>
  </r>
  <r>
    <x v="900"/>
    <x v="899"/>
    <x v="898"/>
    <x v="900"/>
    <x v="899"/>
    <x v="898"/>
    <x v="899"/>
    <x v="899"/>
  </r>
  <r>
    <x v="901"/>
    <x v="900"/>
    <x v="899"/>
    <x v="901"/>
    <x v="900"/>
    <x v="899"/>
    <x v="900"/>
    <x v="900"/>
  </r>
  <r>
    <x v="902"/>
    <x v="901"/>
    <x v="900"/>
    <x v="902"/>
    <x v="901"/>
    <x v="900"/>
    <x v="901"/>
    <x v="901"/>
  </r>
  <r>
    <x v="903"/>
    <x v="902"/>
    <x v="901"/>
    <x v="903"/>
    <x v="902"/>
    <x v="901"/>
    <x v="902"/>
    <x v="902"/>
  </r>
  <r>
    <x v="904"/>
    <x v="903"/>
    <x v="902"/>
    <x v="904"/>
    <x v="903"/>
    <x v="902"/>
    <x v="903"/>
    <x v="903"/>
  </r>
  <r>
    <x v="905"/>
    <x v="904"/>
    <x v="903"/>
    <x v="905"/>
    <x v="904"/>
    <x v="903"/>
    <x v="904"/>
    <x v="904"/>
  </r>
  <r>
    <x v="906"/>
    <x v="905"/>
    <x v="904"/>
    <x v="906"/>
    <x v="905"/>
    <x v="904"/>
    <x v="905"/>
    <x v="905"/>
  </r>
  <r>
    <x v="907"/>
    <x v="906"/>
    <x v="905"/>
    <x v="907"/>
    <x v="906"/>
    <x v="905"/>
    <x v="906"/>
    <x v="906"/>
  </r>
  <r>
    <x v="908"/>
    <x v="907"/>
    <x v="906"/>
    <x v="908"/>
    <x v="907"/>
    <x v="906"/>
    <x v="907"/>
    <x v="907"/>
  </r>
  <r>
    <x v="909"/>
    <x v="908"/>
    <x v="907"/>
    <x v="909"/>
    <x v="908"/>
    <x v="907"/>
    <x v="908"/>
    <x v="908"/>
  </r>
  <r>
    <x v="910"/>
    <x v="909"/>
    <x v="908"/>
    <x v="910"/>
    <x v="909"/>
    <x v="908"/>
    <x v="909"/>
    <x v="909"/>
  </r>
  <r>
    <x v="911"/>
    <x v="910"/>
    <x v="909"/>
    <x v="911"/>
    <x v="910"/>
    <x v="909"/>
    <x v="910"/>
    <x v="910"/>
  </r>
  <r>
    <x v="912"/>
    <x v="911"/>
    <x v="910"/>
    <x v="912"/>
    <x v="911"/>
    <x v="910"/>
    <x v="911"/>
    <x v="911"/>
  </r>
  <r>
    <x v="913"/>
    <x v="912"/>
    <x v="911"/>
    <x v="913"/>
    <x v="912"/>
    <x v="911"/>
    <x v="912"/>
    <x v="912"/>
  </r>
  <r>
    <x v="914"/>
    <x v="913"/>
    <x v="912"/>
    <x v="914"/>
    <x v="913"/>
    <x v="912"/>
    <x v="913"/>
    <x v="913"/>
  </r>
  <r>
    <x v="915"/>
    <x v="914"/>
    <x v="913"/>
    <x v="915"/>
    <x v="914"/>
    <x v="913"/>
    <x v="914"/>
    <x v="914"/>
  </r>
  <r>
    <x v="916"/>
    <x v="915"/>
    <x v="914"/>
    <x v="916"/>
    <x v="915"/>
    <x v="914"/>
    <x v="915"/>
    <x v="915"/>
  </r>
  <r>
    <x v="917"/>
    <x v="916"/>
    <x v="915"/>
    <x v="917"/>
    <x v="916"/>
    <x v="915"/>
    <x v="916"/>
    <x v="916"/>
  </r>
  <r>
    <x v="918"/>
    <x v="917"/>
    <x v="916"/>
    <x v="918"/>
    <x v="917"/>
    <x v="916"/>
    <x v="917"/>
    <x v="917"/>
  </r>
  <r>
    <x v="919"/>
    <x v="918"/>
    <x v="917"/>
    <x v="919"/>
    <x v="918"/>
    <x v="917"/>
    <x v="918"/>
    <x v="918"/>
  </r>
  <r>
    <x v="920"/>
    <x v="919"/>
    <x v="918"/>
    <x v="920"/>
    <x v="919"/>
    <x v="918"/>
    <x v="919"/>
    <x v="919"/>
  </r>
  <r>
    <x v="921"/>
    <x v="920"/>
    <x v="919"/>
    <x v="921"/>
    <x v="920"/>
    <x v="919"/>
    <x v="920"/>
    <x v="920"/>
  </r>
  <r>
    <x v="922"/>
    <x v="921"/>
    <x v="920"/>
    <x v="922"/>
    <x v="921"/>
    <x v="920"/>
    <x v="921"/>
    <x v="921"/>
  </r>
  <r>
    <x v="923"/>
    <x v="922"/>
    <x v="921"/>
    <x v="923"/>
    <x v="922"/>
    <x v="921"/>
    <x v="922"/>
    <x v="922"/>
  </r>
  <r>
    <x v="924"/>
    <x v="923"/>
    <x v="922"/>
    <x v="924"/>
    <x v="923"/>
    <x v="922"/>
    <x v="923"/>
    <x v="923"/>
  </r>
  <r>
    <x v="925"/>
    <x v="924"/>
    <x v="923"/>
    <x v="925"/>
    <x v="924"/>
    <x v="923"/>
    <x v="924"/>
    <x v="924"/>
  </r>
  <r>
    <x v="926"/>
    <x v="925"/>
    <x v="924"/>
    <x v="926"/>
    <x v="925"/>
    <x v="924"/>
    <x v="925"/>
    <x v="925"/>
  </r>
  <r>
    <x v="927"/>
    <x v="926"/>
    <x v="925"/>
    <x v="927"/>
    <x v="926"/>
    <x v="925"/>
    <x v="926"/>
    <x v="926"/>
  </r>
  <r>
    <x v="928"/>
    <x v="927"/>
    <x v="926"/>
    <x v="928"/>
    <x v="927"/>
    <x v="926"/>
    <x v="927"/>
    <x v="927"/>
  </r>
  <r>
    <x v="929"/>
    <x v="928"/>
    <x v="927"/>
    <x v="929"/>
    <x v="928"/>
    <x v="927"/>
    <x v="928"/>
    <x v="928"/>
  </r>
  <r>
    <x v="930"/>
    <x v="929"/>
    <x v="928"/>
    <x v="930"/>
    <x v="929"/>
    <x v="928"/>
    <x v="929"/>
    <x v="929"/>
  </r>
  <r>
    <x v="931"/>
    <x v="930"/>
    <x v="929"/>
    <x v="931"/>
    <x v="930"/>
    <x v="929"/>
    <x v="930"/>
    <x v="930"/>
  </r>
  <r>
    <x v="932"/>
    <x v="931"/>
    <x v="930"/>
    <x v="932"/>
    <x v="931"/>
    <x v="930"/>
    <x v="931"/>
    <x v="931"/>
  </r>
  <r>
    <x v="933"/>
    <x v="932"/>
    <x v="931"/>
    <x v="933"/>
    <x v="932"/>
    <x v="931"/>
    <x v="932"/>
    <x v="932"/>
  </r>
  <r>
    <x v="934"/>
    <x v="933"/>
    <x v="932"/>
    <x v="934"/>
    <x v="933"/>
    <x v="932"/>
    <x v="933"/>
    <x v="933"/>
  </r>
  <r>
    <x v="935"/>
    <x v="934"/>
    <x v="933"/>
    <x v="935"/>
    <x v="934"/>
    <x v="933"/>
    <x v="934"/>
    <x v="934"/>
  </r>
  <r>
    <x v="936"/>
    <x v="935"/>
    <x v="934"/>
    <x v="936"/>
    <x v="935"/>
    <x v="934"/>
    <x v="935"/>
    <x v="935"/>
  </r>
  <r>
    <x v="937"/>
    <x v="936"/>
    <x v="935"/>
    <x v="937"/>
    <x v="936"/>
    <x v="935"/>
    <x v="936"/>
    <x v="936"/>
  </r>
  <r>
    <x v="938"/>
    <x v="937"/>
    <x v="936"/>
    <x v="938"/>
    <x v="937"/>
    <x v="936"/>
    <x v="937"/>
    <x v="937"/>
  </r>
  <r>
    <x v="939"/>
    <x v="938"/>
    <x v="937"/>
    <x v="939"/>
    <x v="938"/>
    <x v="937"/>
    <x v="938"/>
    <x v="938"/>
  </r>
  <r>
    <x v="940"/>
    <x v="939"/>
    <x v="938"/>
    <x v="940"/>
    <x v="939"/>
    <x v="938"/>
    <x v="939"/>
    <x v="939"/>
  </r>
  <r>
    <x v="941"/>
    <x v="940"/>
    <x v="939"/>
    <x v="941"/>
    <x v="940"/>
    <x v="939"/>
    <x v="940"/>
    <x v="940"/>
  </r>
  <r>
    <x v="942"/>
    <x v="941"/>
    <x v="940"/>
    <x v="942"/>
    <x v="941"/>
    <x v="940"/>
    <x v="941"/>
    <x v="941"/>
  </r>
  <r>
    <x v="943"/>
    <x v="942"/>
    <x v="941"/>
    <x v="943"/>
    <x v="942"/>
    <x v="941"/>
    <x v="942"/>
    <x v="942"/>
  </r>
  <r>
    <x v="944"/>
    <x v="943"/>
    <x v="942"/>
    <x v="944"/>
    <x v="943"/>
    <x v="942"/>
    <x v="943"/>
    <x v="943"/>
  </r>
  <r>
    <x v="945"/>
    <x v="944"/>
    <x v="943"/>
    <x v="945"/>
    <x v="944"/>
    <x v="943"/>
    <x v="944"/>
    <x v="944"/>
  </r>
  <r>
    <x v="946"/>
    <x v="945"/>
    <x v="944"/>
    <x v="946"/>
    <x v="945"/>
    <x v="944"/>
    <x v="945"/>
    <x v="945"/>
  </r>
  <r>
    <x v="947"/>
    <x v="946"/>
    <x v="945"/>
    <x v="947"/>
    <x v="946"/>
    <x v="945"/>
    <x v="946"/>
    <x v="946"/>
  </r>
  <r>
    <x v="948"/>
    <x v="947"/>
    <x v="946"/>
    <x v="948"/>
    <x v="947"/>
    <x v="946"/>
    <x v="947"/>
    <x v="947"/>
  </r>
  <r>
    <x v="949"/>
    <x v="948"/>
    <x v="947"/>
    <x v="949"/>
    <x v="948"/>
    <x v="947"/>
    <x v="948"/>
    <x v="948"/>
  </r>
  <r>
    <x v="950"/>
    <x v="949"/>
    <x v="948"/>
    <x v="950"/>
    <x v="949"/>
    <x v="948"/>
    <x v="949"/>
    <x v="949"/>
  </r>
  <r>
    <x v="951"/>
    <x v="950"/>
    <x v="949"/>
    <x v="951"/>
    <x v="950"/>
    <x v="949"/>
    <x v="950"/>
    <x v="950"/>
  </r>
  <r>
    <x v="952"/>
    <x v="951"/>
    <x v="950"/>
    <x v="952"/>
    <x v="951"/>
    <x v="950"/>
    <x v="951"/>
    <x v="951"/>
  </r>
  <r>
    <x v="953"/>
    <x v="952"/>
    <x v="951"/>
    <x v="953"/>
    <x v="952"/>
    <x v="951"/>
    <x v="952"/>
    <x v="952"/>
  </r>
  <r>
    <x v="954"/>
    <x v="953"/>
    <x v="952"/>
    <x v="954"/>
    <x v="953"/>
    <x v="952"/>
    <x v="953"/>
    <x v="953"/>
  </r>
  <r>
    <x v="955"/>
    <x v="954"/>
    <x v="953"/>
    <x v="955"/>
    <x v="954"/>
    <x v="953"/>
    <x v="954"/>
    <x v="954"/>
  </r>
  <r>
    <x v="956"/>
    <x v="955"/>
    <x v="954"/>
    <x v="956"/>
    <x v="955"/>
    <x v="954"/>
    <x v="955"/>
    <x v="955"/>
  </r>
  <r>
    <x v="957"/>
    <x v="956"/>
    <x v="955"/>
    <x v="957"/>
    <x v="956"/>
    <x v="955"/>
    <x v="956"/>
    <x v="956"/>
  </r>
  <r>
    <x v="958"/>
    <x v="957"/>
    <x v="956"/>
    <x v="958"/>
    <x v="957"/>
    <x v="956"/>
    <x v="957"/>
    <x v="957"/>
  </r>
  <r>
    <x v="959"/>
    <x v="958"/>
    <x v="957"/>
    <x v="959"/>
    <x v="958"/>
    <x v="957"/>
    <x v="958"/>
    <x v="958"/>
  </r>
  <r>
    <x v="960"/>
    <x v="959"/>
    <x v="958"/>
    <x v="960"/>
    <x v="959"/>
    <x v="958"/>
    <x v="959"/>
    <x v="959"/>
  </r>
  <r>
    <x v="961"/>
    <x v="960"/>
    <x v="959"/>
    <x v="961"/>
    <x v="960"/>
    <x v="959"/>
    <x v="960"/>
    <x v="960"/>
  </r>
  <r>
    <x v="962"/>
    <x v="961"/>
    <x v="960"/>
    <x v="962"/>
    <x v="961"/>
    <x v="960"/>
    <x v="961"/>
    <x v="961"/>
  </r>
  <r>
    <x v="963"/>
    <x v="962"/>
    <x v="961"/>
    <x v="963"/>
    <x v="962"/>
    <x v="961"/>
    <x v="962"/>
    <x v="962"/>
  </r>
  <r>
    <x v="964"/>
    <x v="963"/>
    <x v="962"/>
    <x v="964"/>
    <x v="963"/>
    <x v="962"/>
    <x v="963"/>
    <x v="963"/>
  </r>
  <r>
    <x v="965"/>
    <x v="964"/>
    <x v="963"/>
    <x v="965"/>
    <x v="964"/>
    <x v="963"/>
    <x v="964"/>
    <x v="964"/>
  </r>
  <r>
    <x v="966"/>
    <x v="965"/>
    <x v="964"/>
    <x v="966"/>
    <x v="965"/>
    <x v="964"/>
    <x v="965"/>
    <x v="965"/>
  </r>
  <r>
    <x v="967"/>
    <x v="966"/>
    <x v="965"/>
    <x v="967"/>
    <x v="966"/>
    <x v="965"/>
    <x v="966"/>
    <x v="966"/>
  </r>
  <r>
    <x v="968"/>
    <x v="967"/>
    <x v="966"/>
    <x v="968"/>
    <x v="967"/>
    <x v="966"/>
    <x v="967"/>
    <x v="967"/>
  </r>
  <r>
    <x v="969"/>
    <x v="968"/>
    <x v="967"/>
    <x v="969"/>
    <x v="968"/>
    <x v="967"/>
    <x v="968"/>
    <x v="968"/>
  </r>
  <r>
    <x v="970"/>
    <x v="371"/>
    <x v="968"/>
    <x v="970"/>
    <x v="969"/>
    <x v="968"/>
    <x v="969"/>
    <x v="969"/>
  </r>
  <r>
    <x v="971"/>
    <x v="969"/>
    <x v="969"/>
    <x v="971"/>
    <x v="970"/>
    <x v="969"/>
    <x v="970"/>
    <x v="970"/>
  </r>
  <r>
    <x v="972"/>
    <x v="970"/>
    <x v="970"/>
    <x v="972"/>
    <x v="971"/>
    <x v="970"/>
    <x v="971"/>
    <x v="971"/>
  </r>
  <r>
    <x v="973"/>
    <x v="971"/>
    <x v="971"/>
    <x v="973"/>
    <x v="972"/>
    <x v="971"/>
    <x v="972"/>
    <x v="972"/>
  </r>
  <r>
    <x v="974"/>
    <x v="972"/>
    <x v="972"/>
    <x v="974"/>
    <x v="973"/>
    <x v="972"/>
    <x v="973"/>
    <x v="973"/>
  </r>
  <r>
    <x v="975"/>
    <x v="973"/>
    <x v="973"/>
    <x v="975"/>
    <x v="974"/>
    <x v="973"/>
    <x v="974"/>
    <x v="974"/>
  </r>
  <r>
    <x v="976"/>
    <x v="974"/>
    <x v="974"/>
    <x v="976"/>
    <x v="975"/>
    <x v="974"/>
    <x v="975"/>
    <x v="975"/>
  </r>
  <r>
    <x v="977"/>
    <x v="975"/>
    <x v="975"/>
    <x v="977"/>
    <x v="976"/>
    <x v="975"/>
    <x v="976"/>
    <x v="976"/>
  </r>
  <r>
    <x v="978"/>
    <x v="976"/>
    <x v="976"/>
    <x v="978"/>
    <x v="977"/>
    <x v="976"/>
    <x v="977"/>
    <x v="977"/>
  </r>
  <r>
    <x v="979"/>
    <x v="977"/>
    <x v="977"/>
    <x v="979"/>
    <x v="978"/>
    <x v="977"/>
    <x v="978"/>
    <x v="978"/>
  </r>
  <r>
    <x v="980"/>
    <x v="978"/>
    <x v="978"/>
    <x v="980"/>
    <x v="979"/>
    <x v="978"/>
    <x v="979"/>
    <x v="979"/>
  </r>
  <r>
    <x v="981"/>
    <x v="979"/>
    <x v="979"/>
    <x v="981"/>
    <x v="980"/>
    <x v="979"/>
    <x v="980"/>
    <x v="980"/>
  </r>
  <r>
    <x v="982"/>
    <x v="980"/>
    <x v="980"/>
    <x v="982"/>
    <x v="981"/>
    <x v="980"/>
    <x v="981"/>
    <x v="981"/>
  </r>
  <r>
    <x v="983"/>
    <x v="981"/>
    <x v="981"/>
    <x v="983"/>
    <x v="982"/>
    <x v="981"/>
    <x v="982"/>
    <x v="982"/>
  </r>
  <r>
    <x v="984"/>
    <x v="982"/>
    <x v="982"/>
    <x v="984"/>
    <x v="983"/>
    <x v="982"/>
    <x v="983"/>
    <x v="983"/>
  </r>
  <r>
    <x v="985"/>
    <x v="983"/>
    <x v="983"/>
    <x v="985"/>
    <x v="984"/>
    <x v="983"/>
    <x v="984"/>
    <x v="984"/>
  </r>
  <r>
    <x v="986"/>
    <x v="984"/>
    <x v="984"/>
    <x v="986"/>
    <x v="985"/>
    <x v="984"/>
    <x v="985"/>
    <x v="985"/>
  </r>
  <r>
    <x v="987"/>
    <x v="985"/>
    <x v="985"/>
    <x v="987"/>
    <x v="986"/>
    <x v="985"/>
    <x v="986"/>
    <x v="986"/>
  </r>
  <r>
    <x v="988"/>
    <x v="986"/>
    <x v="986"/>
    <x v="988"/>
    <x v="987"/>
    <x v="986"/>
    <x v="987"/>
    <x v="987"/>
  </r>
  <r>
    <x v="989"/>
    <x v="987"/>
    <x v="987"/>
    <x v="989"/>
    <x v="988"/>
    <x v="987"/>
    <x v="988"/>
    <x v="988"/>
  </r>
  <r>
    <x v="990"/>
    <x v="988"/>
    <x v="988"/>
    <x v="990"/>
    <x v="989"/>
    <x v="988"/>
    <x v="989"/>
    <x v="989"/>
  </r>
  <r>
    <x v="991"/>
    <x v="989"/>
    <x v="989"/>
    <x v="991"/>
    <x v="990"/>
    <x v="989"/>
    <x v="990"/>
    <x v="990"/>
  </r>
  <r>
    <x v="992"/>
    <x v="990"/>
    <x v="990"/>
    <x v="992"/>
    <x v="991"/>
    <x v="990"/>
    <x v="991"/>
    <x v="991"/>
  </r>
  <r>
    <x v="993"/>
    <x v="991"/>
    <x v="991"/>
    <x v="993"/>
    <x v="992"/>
    <x v="991"/>
    <x v="992"/>
    <x v="992"/>
  </r>
  <r>
    <x v="994"/>
    <x v="992"/>
    <x v="992"/>
    <x v="994"/>
    <x v="993"/>
    <x v="992"/>
    <x v="993"/>
    <x v="993"/>
  </r>
  <r>
    <x v="995"/>
    <x v="993"/>
    <x v="993"/>
    <x v="995"/>
    <x v="994"/>
    <x v="993"/>
    <x v="994"/>
    <x v="994"/>
  </r>
  <r>
    <x v="996"/>
    <x v="994"/>
    <x v="994"/>
    <x v="996"/>
    <x v="995"/>
    <x v="994"/>
    <x v="995"/>
    <x v="995"/>
  </r>
  <r>
    <x v="997"/>
    <x v="995"/>
    <x v="995"/>
    <x v="997"/>
    <x v="996"/>
    <x v="995"/>
    <x v="996"/>
    <x v="996"/>
  </r>
  <r>
    <x v="998"/>
    <x v="996"/>
    <x v="996"/>
    <x v="998"/>
    <x v="997"/>
    <x v="996"/>
    <x v="997"/>
    <x v="997"/>
  </r>
  <r>
    <x v="999"/>
    <x v="997"/>
    <x v="997"/>
    <x v="999"/>
    <x v="998"/>
    <x v="997"/>
    <x v="998"/>
    <x v="998"/>
  </r>
  <r>
    <x v="1000"/>
    <x v="998"/>
    <x v="998"/>
    <x v="1000"/>
    <x v="999"/>
    <x v="998"/>
    <x v="999"/>
    <x v="999"/>
  </r>
  <r>
    <x v="1001"/>
    <x v="999"/>
    <x v="999"/>
    <x v="1001"/>
    <x v="1000"/>
    <x v="999"/>
    <x v="1000"/>
    <x v="1000"/>
  </r>
  <r>
    <x v="1002"/>
    <x v="1000"/>
    <x v="1000"/>
    <x v="1002"/>
    <x v="1001"/>
    <x v="1000"/>
    <x v="1001"/>
    <x v="1001"/>
  </r>
  <r>
    <x v="1003"/>
    <x v="1001"/>
    <x v="1001"/>
    <x v="1003"/>
    <x v="1002"/>
    <x v="1001"/>
    <x v="1002"/>
    <x v="1002"/>
  </r>
  <r>
    <x v="1004"/>
    <x v="1002"/>
    <x v="1002"/>
    <x v="1004"/>
    <x v="1003"/>
    <x v="1002"/>
    <x v="1003"/>
    <x v="1003"/>
  </r>
  <r>
    <x v="1005"/>
    <x v="1003"/>
    <x v="1003"/>
    <x v="1005"/>
    <x v="1004"/>
    <x v="1003"/>
    <x v="1004"/>
    <x v="1004"/>
  </r>
  <r>
    <x v="1006"/>
    <x v="1004"/>
    <x v="1004"/>
    <x v="1006"/>
    <x v="1005"/>
    <x v="1004"/>
    <x v="1005"/>
    <x v="1005"/>
  </r>
  <r>
    <x v="1007"/>
    <x v="1005"/>
    <x v="1005"/>
    <x v="1007"/>
    <x v="1006"/>
    <x v="1005"/>
    <x v="1006"/>
    <x v="1006"/>
  </r>
  <r>
    <x v="1008"/>
    <x v="1006"/>
    <x v="1006"/>
    <x v="1008"/>
    <x v="1007"/>
    <x v="1006"/>
    <x v="1007"/>
    <x v="1007"/>
  </r>
  <r>
    <x v="1009"/>
    <x v="1007"/>
    <x v="1007"/>
    <x v="1009"/>
    <x v="1008"/>
    <x v="1007"/>
    <x v="1008"/>
    <x v="1008"/>
  </r>
  <r>
    <x v="1010"/>
    <x v="1008"/>
    <x v="1008"/>
    <x v="1010"/>
    <x v="1009"/>
    <x v="1008"/>
    <x v="1009"/>
    <x v="1009"/>
  </r>
  <r>
    <x v="1011"/>
    <x v="1009"/>
    <x v="1009"/>
    <x v="1011"/>
    <x v="1010"/>
    <x v="1009"/>
    <x v="1010"/>
    <x v="1010"/>
  </r>
  <r>
    <x v="1012"/>
    <x v="1010"/>
    <x v="1010"/>
    <x v="1012"/>
    <x v="1011"/>
    <x v="1010"/>
    <x v="1011"/>
    <x v="1011"/>
  </r>
  <r>
    <x v="1013"/>
    <x v="1011"/>
    <x v="1011"/>
    <x v="1013"/>
    <x v="1012"/>
    <x v="1011"/>
    <x v="1012"/>
    <x v="1012"/>
  </r>
  <r>
    <x v="1014"/>
    <x v="1012"/>
    <x v="1012"/>
    <x v="1014"/>
    <x v="1013"/>
    <x v="1012"/>
    <x v="1013"/>
    <x v="1013"/>
  </r>
  <r>
    <x v="1015"/>
    <x v="1013"/>
    <x v="1013"/>
    <x v="1015"/>
    <x v="1014"/>
    <x v="1013"/>
    <x v="1014"/>
    <x v="1014"/>
  </r>
  <r>
    <x v="1016"/>
    <x v="1014"/>
    <x v="1014"/>
    <x v="1016"/>
    <x v="1015"/>
    <x v="1014"/>
    <x v="1015"/>
    <x v="1015"/>
  </r>
  <r>
    <x v="1017"/>
    <x v="1015"/>
    <x v="1015"/>
    <x v="1017"/>
    <x v="1016"/>
    <x v="1015"/>
    <x v="1016"/>
    <x v="1016"/>
  </r>
  <r>
    <x v="1018"/>
    <x v="1016"/>
    <x v="1016"/>
    <x v="1018"/>
    <x v="1017"/>
    <x v="1016"/>
    <x v="1017"/>
    <x v="1017"/>
  </r>
  <r>
    <x v="1019"/>
    <x v="1017"/>
    <x v="1017"/>
    <x v="1019"/>
    <x v="1018"/>
    <x v="1017"/>
    <x v="1018"/>
    <x v="1018"/>
  </r>
  <r>
    <x v="1020"/>
    <x v="1018"/>
    <x v="1018"/>
    <x v="1020"/>
    <x v="1019"/>
    <x v="1018"/>
    <x v="1019"/>
    <x v="1019"/>
  </r>
  <r>
    <x v="1021"/>
    <x v="1019"/>
    <x v="1019"/>
    <x v="1021"/>
    <x v="1020"/>
    <x v="1019"/>
    <x v="1020"/>
    <x v="1020"/>
  </r>
  <r>
    <x v="1022"/>
    <x v="1020"/>
    <x v="1020"/>
    <x v="1022"/>
    <x v="1021"/>
    <x v="1020"/>
    <x v="1021"/>
    <x v="1021"/>
  </r>
  <r>
    <x v="1023"/>
    <x v="1021"/>
    <x v="1021"/>
    <x v="1023"/>
    <x v="1022"/>
    <x v="1021"/>
    <x v="1022"/>
    <x v="1022"/>
  </r>
  <r>
    <x v="1024"/>
    <x v="1022"/>
    <x v="1022"/>
    <x v="1024"/>
    <x v="1023"/>
    <x v="1022"/>
    <x v="1023"/>
    <x v="1023"/>
  </r>
  <r>
    <x v="1025"/>
    <x v="1023"/>
    <x v="1023"/>
    <x v="1025"/>
    <x v="1024"/>
    <x v="1023"/>
    <x v="1024"/>
    <x v="1024"/>
  </r>
  <r>
    <x v="1026"/>
    <x v="1024"/>
    <x v="1024"/>
    <x v="1026"/>
    <x v="1025"/>
    <x v="1024"/>
    <x v="1025"/>
    <x v="1025"/>
  </r>
  <r>
    <x v="1027"/>
    <x v="1025"/>
    <x v="1025"/>
    <x v="1027"/>
    <x v="1026"/>
    <x v="1025"/>
    <x v="1026"/>
    <x v="1026"/>
  </r>
  <r>
    <x v="1028"/>
    <x v="1026"/>
    <x v="1026"/>
    <x v="1028"/>
    <x v="1027"/>
    <x v="1026"/>
    <x v="1027"/>
    <x v="1027"/>
  </r>
  <r>
    <x v="1029"/>
    <x v="1027"/>
    <x v="1027"/>
    <x v="1029"/>
    <x v="1028"/>
    <x v="1027"/>
    <x v="1028"/>
    <x v="1028"/>
  </r>
  <r>
    <x v="1030"/>
    <x v="1028"/>
    <x v="1028"/>
    <x v="1030"/>
    <x v="1029"/>
    <x v="1028"/>
    <x v="1029"/>
    <x v="1029"/>
  </r>
  <r>
    <x v="1031"/>
    <x v="1029"/>
    <x v="1029"/>
    <x v="1031"/>
    <x v="1030"/>
    <x v="1029"/>
    <x v="1030"/>
    <x v="1030"/>
  </r>
  <r>
    <x v="1032"/>
    <x v="1030"/>
    <x v="1030"/>
    <x v="1032"/>
    <x v="1031"/>
    <x v="1030"/>
    <x v="1031"/>
    <x v="1031"/>
  </r>
  <r>
    <x v="1033"/>
    <x v="1031"/>
    <x v="1031"/>
    <x v="1033"/>
    <x v="1032"/>
    <x v="1031"/>
    <x v="1032"/>
    <x v="1032"/>
  </r>
  <r>
    <x v="1034"/>
    <x v="1032"/>
    <x v="1032"/>
    <x v="1034"/>
    <x v="1033"/>
    <x v="1032"/>
    <x v="1033"/>
    <x v="1033"/>
  </r>
  <r>
    <x v="1035"/>
    <x v="1033"/>
    <x v="1033"/>
    <x v="1035"/>
    <x v="1034"/>
    <x v="1033"/>
    <x v="1034"/>
    <x v="1034"/>
  </r>
  <r>
    <x v="1036"/>
    <x v="1034"/>
    <x v="1034"/>
    <x v="1036"/>
    <x v="1035"/>
    <x v="1034"/>
    <x v="1035"/>
    <x v="1035"/>
  </r>
  <r>
    <x v="1037"/>
    <x v="1035"/>
    <x v="1035"/>
    <x v="1037"/>
    <x v="1036"/>
    <x v="1035"/>
    <x v="1036"/>
    <x v="1036"/>
  </r>
  <r>
    <x v="1038"/>
    <x v="1036"/>
    <x v="1036"/>
    <x v="1038"/>
    <x v="1037"/>
    <x v="1036"/>
    <x v="1037"/>
    <x v="1037"/>
  </r>
  <r>
    <x v="1039"/>
    <x v="1037"/>
    <x v="1037"/>
    <x v="1039"/>
    <x v="1038"/>
    <x v="1037"/>
    <x v="1038"/>
    <x v="1038"/>
  </r>
  <r>
    <x v="1040"/>
    <x v="1038"/>
    <x v="1038"/>
    <x v="1040"/>
    <x v="1039"/>
    <x v="1038"/>
    <x v="1039"/>
    <x v="1039"/>
  </r>
  <r>
    <x v="1041"/>
    <x v="1039"/>
    <x v="1039"/>
    <x v="1041"/>
    <x v="1040"/>
    <x v="1039"/>
    <x v="1040"/>
    <x v="1040"/>
  </r>
  <r>
    <x v="1042"/>
    <x v="1040"/>
    <x v="1040"/>
    <x v="1042"/>
    <x v="1041"/>
    <x v="1040"/>
    <x v="1041"/>
    <x v="1041"/>
  </r>
  <r>
    <x v="1043"/>
    <x v="1041"/>
    <x v="1041"/>
    <x v="1043"/>
    <x v="1042"/>
    <x v="1041"/>
    <x v="1042"/>
    <x v="1042"/>
  </r>
  <r>
    <x v="1044"/>
    <x v="1042"/>
    <x v="1042"/>
    <x v="1044"/>
    <x v="1043"/>
    <x v="1042"/>
    <x v="1043"/>
    <x v="1043"/>
  </r>
  <r>
    <x v="1045"/>
    <x v="1043"/>
    <x v="1043"/>
    <x v="1045"/>
    <x v="1044"/>
    <x v="1043"/>
    <x v="1044"/>
    <x v="1044"/>
  </r>
  <r>
    <x v="1046"/>
    <x v="1044"/>
    <x v="1044"/>
    <x v="1046"/>
    <x v="1045"/>
    <x v="1044"/>
    <x v="1045"/>
    <x v="1045"/>
  </r>
  <r>
    <x v="1047"/>
    <x v="1045"/>
    <x v="1045"/>
    <x v="1047"/>
    <x v="1046"/>
    <x v="1045"/>
    <x v="1046"/>
    <x v="1046"/>
  </r>
  <r>
    <x v="1048"/>
    <x v="1046"/>
    <x v="1046"/>
    <x v="1048"/>
    <x v="1047"/>
    <x v="1046"/>
    <x v="1047"/>
    <x v="1047"/>
  </r>
  <r>
    <x v="1049"/>
    <x v="1047"/>
    <x v="1047"/>
    <x v="1049"/>
    <x v="1048"/>
    <x v="1047"/>
    <x v="1048"/>
    <x v="1048"/>
  </r>
  <r>
    <x v="1050"/>
    <x v="1048"/>
    <x v="1048"/>
    <x v="1050"/>
    <x v="1049"/>
    <x v="1048"/>
    <x v="1049"/>
    <x v="1049"/>
  </r>
  <r>
    <x v="1051"/>
    <x v="1049"/>
    <x v="1049"/>
    <x v="1051"/>
    <x v="1050"/>
    <x v="1049"/>
    <x v="1050"/>
    <x v="1050"/>
  </r>
  <r>
    <x v="1052"/>
    <x v="1050"/>
    <x v="1050"/>
    <x v="1052"/>
    <x v="1051"/>
    <x v="1050"/>
    <x v="1051"/>
    <x v="1051"/>
  </r>
  <r>
    <x v="1053"/>
    <x v="1051"/>
    <x v="1051"/>
    <x v="1053"/>
    <x v="1052"/>
    <x v="1051"/>
    <x v="1052"/>
    <x v="1052"/>
  </r>
  <r>
    <x v="1054"/>
    <x v="1052"/>
    <x v="1052"/>
    <x v="1054"/>
    <x v="1053"/>
    <x v="1052"/>
    <x v="1053"/>
    <x v="1053"/>
  </r>
  <r>
    <x v="1055"/>
    <x v="1053"/>
    <x v="1053"/>
    <x v="1055"/>
    <x v="1054"/>
    <x v="1053"/>
    <x v="1054"/>
    <x v="1054"/>
  </r>
  <r>
    <x v="1056"/>
    <x v="1054"/>
    <x v="1054"/>
    <x v="1056"/>
    <x v="1055"/>
    <x v="1054"/>
    <x v="1055"/>
    <x v="1055"/>
  </r>
  <r>
    <x v="1057"/>
    <x v="1055"/>
    <x v="1055"/>
    <x v="1057"/>
    <x v="1056"/>
    <x v="1055"/>
    <x v="1056"/>
    <x v="1056"/>
  </r>
  <r>
    <x v="1058"/>
    <x v="1056"/>
    <x v="1056"/>
    <x v="1058"/>
    <x v="1057"/>
    <x v="1056"/>
    <x v="1057"/>
    <x v="1057"/>
  </r>
  <r>
    <x v="1059"/>
    <x v="1057"/>
    <x v="1057"/>
    <x v="1059"/>
    <x v="1058"/>
    <x v="1057"/>
    <x v="1058"/>
    <x v="1058"/>
  </r>
  <r>
    <x v="1060"/>
    <x v="1058"/>
    <x v="1058"/>
    <x v="1060"/>
    <x v="1059"/>
    <x v="1058"/>
    <x v="1059"/>
    <x v="1059"/>
  </r>
  <r>
    <x v="1061"/>
    <x v="1059"/>
    <x v="1059"/>
    <x v="1061"/>
    <x v="1060"/>
    <x v="1059"/>
    <x v="1060"/>
    <x v="1060"/>
  </r>
  <r>
    <x v="1062"/>
    <x v="1060"/>
    <x v="1060"/>
    <x v="1062"/>
    <x v="1061"/>
    <x v="1060"/>
    <x v="1061"/>
    <x v="1061"/>
  </r>
  <r>
    <x v="1063"/>
    <x v="1061"/>
    <x v="1061"/>
    <x v="1063"/>
    <x v="1062"/>
    <x v="1061"/>
    <x v="1062"/>
    <x v="1062"/>
  </r>
  <r>
    <x v="1064"/>
    <x v="1062"/>
    <x v="1062"/>
    <x v="1064"/>
    <x v="1063"/>
    <x v="1062"/>
    <x v="1063"/>
    <x v="1063"/>
  </r>
  <r>
    <x v="1065"/>
    <x v="1063"/>
    <x v="1063"/>
    <x v="1065"/>
    <x v="1064"/>
    <x v="1063"/>
    <x v="1064"/>
    <x v="1064"/>
  </r>
  <r>
    <x v="1066"/>
    <x v="1064"/>
    <x v="1064"/>
    <x v="1066"/>
    <x v="1065"/>
    <x v="1064"/>
    <x v="1065"/>
    <x v="1065"/>
  </r>
  <r>
    <x v="1067"/>
    <x v="1065"/>
    <x v="1065"/>
    <x v="1067"/>
    <x v="1066"/>
    <x v="1065"/>
    <x v="1066"/>
    <x v="1066"/>
  </r>
  <r>
    <x v="1068"/>
    <x v="1066"/>
    <x v="1066"/>
    <x v="1068"/>
    <x v="1067"/>
    <x v="1066"/>
    <x v="1067"/>
    <x v="1067"/>
  </r>
  <r>
    <x v="1069"/>
    <x v="1067"/>
    <x v="1067"/>
    <x v="1069"/>
    <x v="1068"/>
    <x v="1067"/>
    <x v="1068"/>
    <x v="1068"/>
  </r>
  <r>
    <x v="1070"/>
    <x v="1068"/>
    <x v="1068"/>
    <x v="1070"/>
    <x v="1069"/>
    <x v="1068"/>
    <x v="1069"/>
    <x v="1069"/>
  </r>
  <r>
    <x v="1071"/>
    <x v="1069"/>
    <x v="1069"/>
    <x v="1071"/>
    <x v="1070"/>
    <x v="1069"/>
    <x v="1070"/>
    <x v="1070"/>
  </r>
  <r>
    <x v="1072"/>
    <x v="1070"/>
    <x v="1070"/>
    <x v="1072"/>
    <x v="1071"/>
    <x v="1070"/>
    <x v="1071"/>
    <x v="1071"/>
  </r>
  <r>
    <x v="1073"/>
    <x v="1071"/>
    <x v="1071"/>
    <x v="1073"/>
    <x v="1072"/>
    <x v="1071"/>
    <x v="1072"/>
    <x v="1072"/>
  </r>
  <r>
    <x v="1074"/>
    <x v="1072"/>
    <x v="1072"/>
    <x v="1074"/>
    <x v="1073"/>
    <x v="1072"/>
    <x v="1073"/>
    <x v="1073"/>
  </r>
  <r>
    <x v="1075"/>
    <x v="1073"/>
    <x v="1073"/>
    <x v="1075"/>
    <x v="1074"/>
    <x v="1073"/>
    <x v="1074"/>
    <x v="1074"/>
  </r>
  <r>
    <x v="1076"/>
    <x v="1074"/>
    <x v="1074"/>
    <x v="1076"/>
    <x v="1075"/>
    <x v="1074"/>
    <x v="1075"/>
    <x v="1075"/>
  </r>
  <r>
    <x v="1077"/>
    <x v="1075"/>
    <x v="1075"/>
    <x v="1077"/>
    <x v="1076"/>
    <x v="1075"/>
    <x v="1076"/>
    <x v="1076"/>
  </r>
  <r>
    <x v="1078"/>
    <x v="1076"/>
    <x v="1076"/>
    <x v="1078"/>
    <x v="1077"/>
    <x v="1076"/>
    <x v="1077"/>
    <x v="1077"/>
  </r>
  <r>
    <x v="1079"/>
    <x v="1077"/>
    <x v="1077"/>
    <x v="1079"/>
    <x v="1078"/>
    <x v="1077"/>
    <x v="1078"/>
    <x v="1078"/>
  </r>
  <r>
    <x v="1080"/>
    <x v="1078"/>
    <x v="1078"/>
    <x v="1080"/>
    <x v="1079"/>
    <x v="1078"/>
    <x v="1079"/>
    <x v="1079"/>
  </r>
  <r>
    <x v="1081"/>
    <x v="1079"/>
    <x v="1079"/>
    <x v="1081"/>
    <x v="1080"/>
    <x v="1079"/>
    <x v="1080"/>
    <x v="1080"/>
  </r>
  <r>
    <x v="1082"/>
    <x v="1080"/>
    <x v="1080"/>
    <x v="1082"/>
    <x v="1081"/>
    <x v="1080"/>
    <x v="1081"/>
    <x v="1081"/>
  </r>
  <r>
    <x v="1083"/>
    <x v="1081"/>
    <x v="1081"/>
    <x v="1083"/>
    <x v="1082"/>
    <x v="1081"/>
    <x v="1082"/>
    <x v="1082"/>
  </r>
  <r>
    <x v="1084"/>
    <x v="1082"/>
    <x v="1082"/>
    <x v="1084"/>
    <x v="1083"/>
    <x v="1082"/>
    <x v="1083"/>
    <x v="1083"/>
  </r>
  <r>
    <x v="1085"/>
    <x v="1083"/>
    <x v="1083"/>
    <x v="1085"/>
    <x v="1084"/>
    <x v="1083"/>
    <x v="1084"/>
    <x v="1084"/>
  </r>
  <r>
    <x v="1086"/>
    <x v="1084"/>
    <x v="1084"/>
    <x v="1086"/>
    <x v="1085"/>
    <x v="1084"/>
    <x v="1085"/>
    <x v="1085"/>
  </r>
  <r>
    <x v="1087"/>
    <x v="1085"/>
    <x v="1085"/>
    <x v="1087"/>
    <x v="1086"/>
    <x v="1085"/>
    <x v="1086"/>
    <x v="1086"/>
  </r>
  <r>
    <x v="1088"/>
    <x v="1086"/>
    <x v="1086"/>
    <x v="1088"/>
    <x v="1087"/>
    <x v="1086"/>
    <x v="1087"/>
    <x v="1087"/>
  </r>
  <r>
    <x v="1089"/>
    <x v="1087"/>
    <x v="1087"/>
    <x v="1089"/>
    <x v="1088"/>
    <x v="1087"/>
    <x v="1088"/>
    <x v="1088"/>
  </r>
  <r>
    <x v="1090"/>
    <x v="1088"/>
    <x v="1088"/>
    <x v="1090"/>
    <x v="1089"/>
    <x v="1088"/>
    <x v="1089"/>
    <x v="1089"/>
  </r>
  <r>
    <x v="1091"/>
    <x v="1089"/>
    <x v="1089"/>
    <x v="1091"/>
    <x v="1090"/>
    <x v="1089"/>
    <x v="1090"/>
    <x v="1090"/>
  </r>
  <r>
    <x v="1092"/>
    <x v="1090"/>
    <x v="1090"/>
    <x v="1092"/>
    <x v="1091"/>
    <x v="1090"/>
    <x v="1091"/>
    <x v="1091"/>
  </r>
  <r>
    <x v="1093"/>
    <x v="1091"/>
    <x v="1091"/>
    <x v="1093"/>
    <x v="1092"/>
    <x v="1091"/>
    <x v="1092"/>
    <x v="1092"/>
  </r>
  <r>
    <x v="1094"/>
    <x v="1092"/>
    <x v="1092"/>
    <x v="1094"/>
    <x v="1093"/>
    <x v="1092"/>
    <x v="1093"/>
    <x v="1093"/>
  </r>
  <r>
    <x v="1095"/>
    <x v="1093"/>
    <x v="1093"/>
    <x v="1095"/>
    <x v="1094"/>
    <x v="1093"/>
    <x v="1094"/>
    <x v="1094"/>
  </r>
  <r>
    <x v="1096"/>
    <x v="1094"/>
    <x v="1094"/>
    <x v="1096"/>
    <x v="1095"/>
    <x v="1094"/>
    <x v="1095"/>
    <x v="1095"/>
  </r>
  <r>
    <x v="1097"/>
    <x v="1095"/>
    <x v="1095"/>
    <x v="1097"/>
    <x v="1096"/>
    <x v="1095"/>
    <x v="1096"/>
    <x v="1096"/>
  </r>
  <r>
    <x v="1098"/>
    <x v="1096"/>
    <x v="1096"/>
    <x v="1098"/>
    <x v="1097"/>
    <x v="1096"/>
    <x v="1097"/>
    <x v="1097"/>
  </r>
  <r>
    <x v="1099"/>
    <x v="1097"/>
    <x v="1097"/>
    <x v="1099"/>
    <x v="1098"/>
    <x v="1097"/>
    <x v="1098"/>
    <x v="1098"/>
  </r>
  <r>
    <x v="1100"/>
    <x v="1098"/>
    <x v="1098"/>
    <x v="1100"/>
    <x v="1099"/>
    <x v="1098"/>
    <x v="1099"/>
    <x v="1099"/>
  </r>
  <r>
    <x v="1101"/>
    <x v="1099"/>
    <x v="1099"/>
    <x v="1101"/>
    <x v="1100"/>
    <x v="1099"/>
    <x v="1100"/>
    <x v="1100"/>
  </r>
  <r>
    <x v="1102"/>
    <x v="1100"/>
    <x v="1100"/>
    <x v="1102"/>
    <x v="1101"/>
    <x v="1100"/>
    <x v="1101"/>
    <x v="1101"/>
  </r>
  <r>
    <x v="1103"/>
    <x v="1101"/>
    <x v="1101"/>
    <x v="1103"/>
    <x v="1102"/>
    <x v="1101"/>
    <x v="1102"/>
    <x v="1102"/>
  </r>
  <r>
    <x v="1104"/>
    <x v="1102"/>
    <x v="1102"/>
    <x v="1104"/>
    <x v="1103"/>
    <x v="1102"/>
    <x v="1103"/>
    <x v="1103"/>
  </r>
  <r>
    <x v="1105"/>
    <x v="1103"/>
    <x v="1103"/>
    <x v="1105"/>
    <x v="1104"/>
    <x v="1103"/>
    <x v="1104"/>
    <x v="1104"/>
  </r>
  <r>
    <x v="1106"/>
    <x v="1104"/>
    <x v="1104"/>
    <x v="1106"/>
    <x v="1105"/>
    <x v="1104"/>
    <x v="1105"/>
    <x v="1105"/>
  </r>
  <r>
    <x v="1107"/>
    <x v="1105"/>
    <x v="1105"/>
    <x v="1107"/>
    <x v="1106"/>
    <x v="1105"/>
    <x v="1106"/>
    <x v="1106"/>
  </r>
  <r>
    <x v="1108"/>
    <x v="1106"/>
    <x v="1106"/>
    <x v="1108"/>
    <x v="1107"/>
    <x v="1106"/>
    <x v="1107"/>
    <x v="1107"/>
  </r>
  <r>
    <x v="1109"/>
    <x v="1107"/>
    <x v="1107"/>
    <x v="1109"/>
    <x v="1108"/>
    <x v="1107"/>
    <x v="1108"/>
    <x v="1108"/>
  </r>
  <r>
    <x v="1110"/>
    <x v="1108"/>
    <x v="1108"/>
    <x v="1110"/>
    <x v="1109"/>
    <x v="1108"/>
    <x v="1109"/>
    <x v="1109"/>
  </r>
  <r>
    <x v="1111"/>
    <x v="1109"/>
    <x v="1109"/>
    <x v="1111"/>
    <x v="1110"/>
    <x v="1109"/>
    <x v="1110"/>
    <x v="1110"/>
  </r>
  <r>
    <x v="1112"/>
    <x v="1110"/>
    <x v="1110"/>
    <x v="1112"/>
    <x v="1111"/>
    <x v="1110"/>
    <x v="1111"/>
    <x v="1111"/>
  </r>
  <r>
    <x v="1113"/>
    <x v="1111"/>
    <x v="1111"/>
    <x v="1113"/>
    <x v="1112"/>
    <x v="1111"/>
    <x v="1112"/>
    <x v="1112"/>
  </r>
  <r>
    <x v="1114"/>
    <x v="1112"/>
    <x v="1112"/>
    <x v="1114"/>
    <x v="1113"/>
    <x v="1112"/>
    <x v="1113"/>
    <x v="1113"/>
  </r>
  <r>
    <x v="1115"/>
    <x v="1113"/>
    <x v="1113"/>
    <x v="1115"/>
    <x v="1114"/>
    <x v="1113"/>
    <x v="1114"/>
    <x v="1114"/>
  </r>
  <r>
    <x v="1116"/>
    <x v="1114"/>
    <x v="1114"/>
    <x v="1116"/>
    <x v="1115"/>
    <x v="1114"/>
    <x v="1115"/>
    <x v="1115"/>
  </r>
  <r>
    <x v="1117"/>
    <x v="1115"/>
    <x v="1115"/>
    <x v="1117"/>
    <x v="1116"/>
    <x v="1115"/>
    <x v="1116"/>
    <x v="1116"/>
  </r>
  <r>
    <x v="1118"/>
    <x v="1116"/>
    <x v="1116"/>
    <x v="1118"/>
    <x v="1117"/>
    <x v="1116"/>
    <x v="1117"/>
    <x v="1117"/>
  </r>
  <r>
    <x v="1119"/>
    <x v="1117"/>
    <x v="1117"/>
    <x v="1119"/>
    <x v="1118"/>
    <x v="1117"/>
    <x v="1118"/>
    <x v="1118"/>
  </r>
  <r>
    <x v="1120"/>
    <x v="1118"/>
    <x v="1118"/>
    <x v="1120"/>
    <x v="1119"/>
    <x v="1118"/>
    <x v="1119"/>
    <x v="1119"/>
  </r>
  <r>
    <x v="1121"/>
    <x v="1119"/>
    <x v="1119"/>
    <x v="1121"/>
    <x v="1120"/>
    <x v="1119"/>
    <x v="1120"/>
    <x v="1120"/>
  </r>
  <r>
    <x v="1122"/>
    <x v="1120"/>
    <x v="1120"/>
    <x v="1122"/>
    <x v="1121"/>
    <x v="1120"/>
    <x v="1121"/>
    <x v="1121"/>
  </r>
  <r>
    <x v="1123"/>
    <x v="1121"/>
    <x v="1121"/>
    <x v="1123"/>
    <x v="1122"/>
    <x v="1121"/>
    <x v="1122"/>
    <x v="1122"/>
  </r>
  <r>
    <x v="1124"/>
    <x v="1122"/>
    <x v="1122"/>
    <x v="1124"/>
    <x v="1123"/>
    <x v="1122"/>
    <x v="1123"/>
    <x v="1123"/>
  </r>
  <r>
    <x v="1125"/>
    <x v="1123"/>
    <x v="1123"/>
    <x v="1125"/>
    <x v="1124"/>
    <x v="1123"/>
    <x v="1124"/>
    <x v="1124"/>
  </r>
  <r>
    <x v="1126"/>
    <x v="1124"/>
    <x v="1124"/>
    <x v="1126"/>
    <x v="1125"/>
    <x v="1124"/>
    <x v="1125"/>
    <x v="1125"/>
  </r>
  <r>
    <x v="1127"/>
    <x v="1125"/>
    <x v="1125"/>
    <x v="1127"/>
    <x v="1126"/>
    <x v="1125"/>
    <x v="1126"/>
    <x v="1126"/>
  </r>
  <r>
    <x v="1128"/>
    <x v="1126"/>
    <x v="1126"/>
    <x v="1128"/>
    <x v="1127"/>
    <x v="1126"/>
    <x v="1127"/>
    <x v="1127"/>
  </r>
  <r>
    <x v="1129"/>
    <x v="1127"/>
    <x v="1127"/>
    <x v="1129"/>
    <x v="1128"/>
    <x v="1127"/>
    <x v="1128"/>
    <x v="1128"/>
  </r>
  <r>
    <x v="1130"/>
    <x v="1128"/>
    <x v="1128"/>
    <x v="1130"/>
    <x v="1129"/>
    <x v="1128"/>
    <x v="1129"/>
    <x v="1129"/>
  </r>
  <r>
    <x v="1131"/>
    <x v="1129"/>
    <x v="1129"/>
    <x v="1131"/>
    <x v="1130"/>
    <x v="1129"/>
    <x v="1130"/>
    <x v="1130"/>
  </r>
  <r>
    <x v="1132"/>
    <x v="1130"/>
    <x v="1130"/>
    <x v="1132"/>
    <x v="1131"/>
    <x v="1130"/>
    <x v="1131"/>
    <x v="1131"/>
  </r>
  <r>
    <x v="1133"/>
    <x v="1131"/>
    <x v="1131"/>
    <x v="1133"/>
    <x v="1132"/>
    <x v="1131"/>
    <x v="1132"/>
    <x v="1132"/>
  </r>
  <r>
    <x v="1134"/>
    <x v="1132"/>
    <x v="1132"/>
    <x v="1134"/>
    <x v="1133"/>
    <x v="1132"/>
    <x v="1133"/>
    <x v="1133"/>
  </r>
  <r>
    <x v="1135"/>
    <x v="1133"/>
    <x v="1133"/>
    <x v="1135"/>
    <x v="1134"/>
    <x v="1133"/>
    <x v="1134"/>
    <x v="1134"/>
  </r>
  <r>
    <x v="1136"/>
    <x v="1134"/>
    <x v="1134"/>
    <x v="1136"/>
    <x v="1135"/>
    <x v="1134"/>
    <x v="1135"/>
    <x v="1135"/>
  </r>
  <r>
    <x v="1137"/>
    <x v="1135"/>
    <x v="1135"/>
    <x v="1137"/>
    <x v="1136"/>
    <x v="1135"/>
    <x v="1136"/>
    <x v="1136"/>
  </r>
  <r>
    <x v="1138"/>
    <x v="1136"/>
    <x v="1136"/>
    <x v="1138"/>
    <x v="1137"/>
    <x v="1136"/>
    <x v="1137"/>
    <x v="1137"/>
  </r>
  <r>
    <x v="1139"/>
    <x v="1137"/>
    <x v="1137"/>
    <x v="1139"/>
    <x v="1138"/>
    <x v="1137"/>
    <x v="1138"/>
    <x v="1138"/>
  </r>
  <r>
    <x v="1140"/>
    <x v="1138"/>
    <x v="1138"/>
    <x v="1140"/>
    <x v="1139"/>
    <x v="1138"/>
    <x v="1139"/>
    <x v="1139"/>
  </r>
  <r>
    <x v="1141"/>
    <x v="1139"/>
    <x v="1139"/>
    <x v="1141"/>
    <x v="1140"/>
    <x v="1139"/>
    <x v="1140"/>
    <x v="1140"/>
  </r>
  <r>
    <x v="1142"/>
    <x v="1140"/>
    <x v="1140"/>
    <x v="1142"/>
    <x v="1141"/>
    <x v="1140"/>
    <x v="1141"/>
    <x v="1141"/>
  </r>
  <r>
    <x v="1143"/>
    <x v="1141"/>
    <x v="1141"/>
    <x v="1143"/>
    <x v="1142"/>
    <x v="1141"/>
    <x v="1142"/>
    <x v="1142"/>
  </r>
  <r>
    <x v="1144"/>
    <x v="1142"/>
    <x v="1142"/>
    <x v="1144"/>
    <x v="1143"/>
    <x v="1142"/>
    <x v="1143"/>
    <x v="1143"/>
  </r>
  <r>
    <x v="1145"/>
    <x v="1143"/>
    <x v="1143"/>
    <x v="1145"/>
    <x v="1144"/>
    <x v="1143"/>
    <x v="1144"/>
    <x v="1144"/>
  </r>
  <r>
    <x v="1146"/>
    <x v="1144"/>
    <x v="1144"/>
    <x v="1146"/>
    <x v="1145"/>
    <x v="1144"/>
    <x v="1145"/>
    <x v="1145"/>
  </r>
  <r>
    <x v="1147"/>
    <x v="1145"/>
    <x v="1145"/>
    <x v="1147"/>
    <x v="1146"/>
    <x v="1145"/>
    <x v="1146"/>
    <x v="1146"/>
  </r>
  <r>
    <x v="1148"/>
    <x v="1146"/>
    <x v="1146"/>
    <x v="1148"/>
    <x v="1147"/>
    <x v="1146"/>
    <x v="1147"/>
    <x v="1147"/>
  </r>
  <r>
    <x v="1149"/>
    <x v="1147"/>
    <x v="1147"/>
    <x v="1149"/>
    <x v="1148"/>
    <x v="1147"/>
    <x v="1148"/>
    <x v="1148"/>
  </r>
  <r>
    <x v="1150"/>
    <x v="1148"/>
    <x v="1148"/>
    <x v="1150"/>
    <x v="1149"/>
    <x v="1148"/>
    <x v="1149"/>
    <x v="1149"/>
  </r>
  <r>
    <x v="1151"/>
    <x v="1149"/>
    <x v="1149"/>
    <x v="1151"/>
    <x v="1150"/>
    <x v="1149"/>
    <x v="1150"/>
    <x v="1150"/>
  </r>
  <r>
    <x v="1152"/>
    <x v="1150"/>
    <x v="1150"/>
    <x v="1152"/>
    <x v="1151"/>
    <x v="1150"/>
    <x v="1151"/>
    <x v="1151"/>
  </r>
  <r>
    <x v="1153"/>
    <x v="1151"/>
    <x v="1151"/>
    <x v="1153"/>
    <x v="1152"/>
    <x v="1151"/>
    <x v="1152"/>
    <x v="1152"/>
  </r>
  <r>
    <x v="1154"/>
    <x v="1152"/>
    <x v="1152"/>
    <x v="1154"/>
    <x v="1153"/>
    <x v="1152"/>
    <x v="1153"/>
    <x v="1153"/>
  </r>
  <r>
    <x v="1155"/>
    <x v="1153"/>
    <x v="1153"/>
    <x v="1155"/>
    <x v="1154"/>
    <x v="1153"/>
    <x v="1154"/>
    <x v="1154"/>
  </r>
  <r>
    <x v="1156"/>
    <x v="1154"/>
    <x v="1154"/>
    <x v="1156"/>
    <x v="1155"/>
    <x v="1154"/>
    <x v="1155"/>
    <x v="1155"/>
  </r>
  <r>
    <x v="1157"/>
    <x v="1155"/>
    <x v="1155"/>
    <x v="1157"/>
    <x v="1156"/>
    <x v="1155"/>
    <x v="1156"/>
    <x v="1156"/>
  </r>
  <r>
    <x v="1158"/>
    <x v="1156"/>
    <x v="1156"/>
    <x v="1158"/>
    <x v="1157"/>
    <x v="1156"/>
    <x v="1157"/>
    <x v="1157"/>
  </r>
  <r>
    <x v="1159"/>
    <x v="1157"/>
    <x v="1157"/>
    <x v="1159"/>
    <x v="1158"/>
    <x v="1157"/>
    <x v="1158"/>
    <x v="1158"/>
  </r>
  <r>
    <x v="1160"/>
    <x v="1158"/>
    <x v="1158"/>
    <x v="1160"/>
    <x v="1159"/>
    <x v="1158"/>
    <x v="1159"/>
    <x v="1159"/>
  </r>
  <r>
    <x v="1161"/>
    <x v="1159"/>
    <x v="1159"/>
    <x v="1161"/>
    <x v="1160"/>
    <x v="1159"/>
    <x v="1160"/>
    <x v="1160"/>
  </r>
  <r>
    <x v="1162"/>
    <x v="1160"/>
    <x v="1160"/>
    <x v="1162"/>
    <x v="1161"/>
    <x v="1160"/>
    <x v="1161"/>
    <x v="1161"/>
  </r>
  <r>
    <x v="1163"/>
    <x v="1161"/>
    <x v="1161"/>
    <x v="1163"/>
    <x v="1162"/>
    <x v="1161"/>
    <x v="1162"/>
    <x v="1162"/>
  </r>
  <r>
    <x v="1164"/>
    <x v="1162"/>
    <x v="1162"/>
    <x v="1164"/>
    <x v="1163"/>
    <x v="1162"/>
    <x v="1163"/>
    <x v="1163"/>
  </r>
  <r>
    <x v="1165"/>
    <x v="1163"/>
    <x v="1163"/>
    <x v="1165"/>
    <x v="1164"/>
    <x v="1163"/>
    <x v="1164"/>
    <x v="1164"/>
  </r>
  <r>
    <x v="1166"/>
    <x v="1164"/>
    <x v="1164"/>
    <x v="1166"/>
    <x v="1165"/>
    <x v="1164"/>
    <x v="1165"/>
    <x v="1165"/>
  </r>
  <r>
    <x v="1167"/>
    <x v="1165"/>
    <x v="1165"/>
    <x v="1167"/>
    <x v="1166"/>
    <x v="1165"/>
    <x v="1166"/>
    <x v="1166"/>
  </r>
  <r>
    <x v="1168"/>
    <x v="1166"/>
    <x v="1166"/>
    <x v="1168"/>
    <x v="1167"/>
    <x v="1166"/>
    <x v="1167"/>
    <x v="1167"/>
  </r>
  <r>
    <x v="1169"/>
    <x v="1167"/>
    <x v="1167"/>
    <x v="1169"/>
    <x v="1168"/>
    <x v="1167"/>
    <x v="1168"/>
    <x v="1168"/>
  </r>
  <r>
    <x v="1170"/>
    <x v="1168"/>
    <x v="1168"/>
    <x v="1170"/>
    <x v="1169"/>
    <x v="1168"/>
    <x v="1169"/>
    <x v="1169"/>
  </r>
  <r>
    <x v="1171"/>
    <x v="1169"/>
    <x v="1169"/>
    <x v="1171"/>
    <x v="1170"/>
    <x v="1169"/>
    <x v="1170"/>
    <x v="1170"/>
  </r>
  <r>
    <x v="1172"/>
    <x v="1170"/>
    <x v="1170"/>
    <x v="1172"/>
    <x v="1171"/>
    <x v="1170"/>
    <x v="1171"/>
    <x v="1171"/>
  </r>
  <r>
    <x v="1173"/>
    <x v="1171"/>
    <x v="1171"/>
    <x v="1173"/>
    <x v="1172"/>
    <x v="1171"/>
    <x v="1172"/>
    <x v="1172"/>
  </r>
  <r>
    <x v="1174"/>
    <x v="1172"/>
    <x v="1172"/>
    <x v="1174"/>
    <x v="1173"/>
    <x v="1172"/>
    <x v="1173"/>
    <x v="1173"/>
  </r>
  <r>
    <x v="1175"/>
    <x v="1173"/>
    <x v="1173"/>
    <x v="1175"/>
    <x v="1174"/>
    <x v="1173"/>
    <x v="1174"/>
    <x v="1174"/>
  </r>
  <r>
    <x v="1176"/>
    <x v="1174"/>
    <x v="1174"/>
    <x v="1176"/>
    <x v="1175"/>
    <x v="1174"/>
    <x v="1175"/>
    <x v="1175"/>
  </r>
  <r>
    <x v="1177"/>
    <x v="1175"/>
    <x v="1175"/>
    <x v="1177"/>
    <x v="1176"/>
    <x v="1175"/>
    <x v="1176"/>
    <x v="1176"/>
  </r>
  <r>
    <x v="1178"/>
    <x v="1176"/>
    <x v="1176"/>
    <x v="1178"/>
    <x v="1177"/>
    <x v="1176"/>
    <x v="1177"/>
    <x v="1177"/>
  </r>
  <r>
    <x v="1179"/>
    <x v="1177"/>
    <x v="1177"/>
    <x v="1179"/>
    <x v="1178"/>
    <x v="1177"/>
    <x v="1178"/>
    <x v="1178"/>
  </r>
  <r>
    <x v="1180"/>
    <x v="1178"/>
    <x v="1178"/>
    <x v="1180"/>
    <x v="1179"/>
    <x v="1178"/>
    <x v="1179"/>
    <x v="1179"/>
  </r>
  <r>
    <x v="1181"/>
    <x v="1179"/>
    <x v="1179"/>
    <x v="1181"/>
    <x v="1180"/>
    <x v="1179"/>
    <x v="1180"/>
    <x v="1180"/>
  </r>
  <r>
    <x v="1182"/>
    <x v="1180"/>
    <x v="1180"/>
    <x v="1182"/>
    <x v="1181"/>
    <x v="1180"/>
    <x v="1181"/>
    <x v="1181"/>
  </r>
  <r>
    <x v="1183"/>
    <x v="1181"/>
    <x v="1181"/>
    <x v="1183"/>
    <x v="1182"/>
    <x v="1181"/>
    <x v="1182"/>
    <x v="1182"/>
  </r>
  <r>
    <x v="1184"/>
    <x v="1182"/>
    <x v="1182"/>
    <x v="1184"/>
    <x v="1183"/>
    <x v="1182"/>
    <x v="1183"/>
    <x v="1183"/>
  </r>
  <r>
    <x v="1185"/>
    <x v="1183"/>
    <x v="1183"/>
    <x v="1185"/>
    <x v="1184"/>
    <x v="1183"/>
    <x v="1184"/>
    <x v="1184"/>
  </r>
  <r>
    <x v="1186"/>
    <x v="1184"/>
    <x v="1184"/>
    <x v="1186"/>
    <x v="1185"/>
    <x v="1184"/>
    <x v="1185"/>
    <x v="1185"/>
  </r>
  <r>
    <x v="1187"/>
    <x v="1185"/>
    <x v="1185"/>
    <x v="1187"/>
    <x v="1186"/>
    <x v="1185"/>
    <x v="1186"/>
    <x v="1186"/>
  </r>
  <r>
    <x v="1188"/>
    <x v="1186"/>
    <x v="1186"/>
    <x v="1188"/>
    <x v="1187"/>
    <x v="1186"/>
    <x v="1187"/>
    <x v="1187"/>
  </r>
  <r>
    <x v="1189"/>
    <x v="1187"/>
    <x v="1187"/>
    <x v="1189"/>
    <x v="1188"/>
    <x v="1187"/>
    <x v="1188"/>
    <x v="1188"/>
  </r>
  <r>
    <x v="1190"/>
    <x v="1188"/>
    <x v="1188"/>
    <x v="1190"/>
    <x v="1189"/>
    <x v="1188"/>
    <x v="1189"/>
    <x v="1189"/>
  </r>
  <r>
    <x v="1191"/>
    <x v="1189"/>
    <x v="1189"/>
    <x v="1191"/>
    <x v="1190"/>
    <x v="1189"/>
    <x v="1190"/>
    <x v="1190"/>
  </r>
  <r>
    <x v="1192"/>
    <x v="1190"/>
    <x v="1190"/>
    <x v="1192"/>
    <x v="1191"/>
    <x v="1190"/>
    <x v="1191"/>
    <x v="1191"/>
  </r>
  <r>
    <x v="1193"/>
    <x v="1191"/>
    <x v="1191"/>
    <x v="1193"/>
    <x v="1192"/>
    <x v="1191"/>
    <x v="1192"/>
    <x v="1192"/>
  </r>
  <r>
    <x v="1194"/>
    <x v="1192"/>
    <x v="1192"/>
    <x v="1194"/>
    <x v="1193"/>
    <x v="1192"/>
    <x v="1193"/>
    <x v="1193"/>
  </r>
  <r>
    <x v="1195"/>
    <x v="1193"/>
    <x v="1193"/>
    <x v="1195"/>
    <x v="1194"/>
    <x v="1193"/>
    <x v="1194"/>
    <x v="1194"/>
  </r>
  <r>
    <x v="1196"/>
    <x v="1194"/>
    <x v="1194"/>
    <x v="1196"/>
    <x v="1195"/>
    <x v="1194"/>
    <x v="1195"/>
    <x v="1195"/>
  </r>
  <r>
    <x v="1197"/>
    <x v="1195"/>
    <x v="1195"/>
    <x v="1197"/>
    <x v="1196"/>
    <x v="1195"/>
    <x v="1196"/>
    <x v="1196"/>
  </r>
  <r>
    <x v="1198"/>
    <x v="1196"/>
    <x v="1196"/>
    <x v="1198"/>
    <x v="1197"/>
    <x v="1196"/>
    <x v="1197"/>
    <x v="1197"/>
  </r>
  <r>
    <x v="1199"/>
    <x v="1197"/>
    <x v="1197"/>
    <x v="1199"/>
    <x v="1198"/>
    <x v="1197"/>
    <x v="1198"/>
    <x v="1198"/>
  </r>
  <r>
    <x v="1200"/>
    <x v="1198"/>
    <x v="1198"/>
    <x v="1200"/>
    <x v="1199"/>
    <x v="1198"/>
    <x v="1199"/>
    <x v="1199"/>
  </r>
  <r>
    <x v="1201"/>
    <x v="1199"/>
    <x v="1199"/>
    <x v="1201"/>
    <x v="1200"/>
    <x v="1199"/>
    <x v="1200"/>
    <x v="1200"/>
  </r>
  <r>
    <x v="1202"/>
    <x v="1200"/>
    <x v="1200"/>
    <x v="1202"/>
    <x v="1201"/>
    <x v="1200"/>
    <x v="1201"/>
    <x v="1201"/>
  </r>
  <r>
    <x v="1203"/>
    <x v="1201"/>
    <x v="1201"/>
    <x v="1203"/>
    <x v="1202"/>
    <x v="1201"/>
    <x v="1202"/>
    <x v="1202"/>
  </r>
  <r>
    <x v="1204"/>
    <x v="1202"/>
    <x v="1202"/>
    <x v="1204"/>
    <x v="1203"/>
    <x v="1202"/>
    <x v="1203"/>
    <x v="1203"/>
  </r>
  <r>
    <x v="1205"/>
    <x v="1203"/>
    <x v="1203"/>
    <x v="1205"/>
    <x v="1204"/>
    <x v="1203"/>
    <x v="1204"/>
    <x v="1204"/>
  </r>
  <r>
    <x v="1206"/>
    <x v="1204"/>
    <x v="1204"/>
    <x v="1206"/>
    <x v="1205"/>
    <x v="1204"/>
    <x v="1205"/>
    <x v="1205"/>
  </r>
  <r>
    <x v="1207"/>
    <x v="1205"/>
    <x v="1205"/>
    <x v="1207"/>
    <x v="1206"/>
    <x v="1205"/>
    <x v="1206"/>
    <x v="1206"/>
  </r>
  <r>
    <x v="1208"/>
    <x v="1206"/>
    <x v="1206"/>
    <x v="1208"/>
    <x v="1207"/>
    <x v="1206"/>
    <x v="1207"/>
    <x v="1207"/>
  </r>
  <r>
    <x v="1209"/>
    <x v="1207"/>
    <x v="1207"/>
    <x v="1209"/>
    <x v="1208"/>
    <x v="1207"/>
    <x v="1208"/>
    <x v="1208"/>
  </r>
  <r>
    <x v="1210"/>
    <x v="1208"/>
    <x v="1208"/>
    <x v="1210"/>
    <x v="1209"/>
    <x v="1208"/>
    <x v="1209"/>
    <x v="1209"/>
  </r>
  <r>
    <x v="1211"/>
    <x v="1209"/>
    <x v="1209"/>
    <x v="1211"/>
    <x v="1210"/>
    <x v="1209"/>
    <x v="1210"/>
    <x v="1210"/>
  </r>
  <r>
    <x v="1212"/>
    <x v="1210"/>
    <x v="1210"/>
    <x v="1212"/>
    <x v="1211"/>
    <x v="1210"/>
    <x v="1211"/>
    <x v="1211"/>
  </r>
  <r>
    <x v="1213"/>
    <x v="1211"/>
    <x v="1211"/>
    <x v="1213"/>
    <x v="1212"/>
    <x v="1211"/>
    <x v="1212"/>
    <x v="1212"/>
  </r>
  <r>
    <x v="1214"/>
    <x v="1212"/>
    <x v="1212"/>
    <x v="1214"/>
    <x v="1213"/>
    <x v="1212"/>
    <x v="1213"/>
    <x v="1213"/>
  </r>
  <r>
    <x v="1215"/>
    <x v="1213"/>
    <x v="1213"/>
    <x v="1215"/>
    <x v="1214"/>
    <x v="1213"/>
    <x v="1214"/>
    <x v="1214"/>
  </r>
  <r>
    <x v="1216"/>
    <x v="1214"/>
    <x v="1214"/>
    <x v="1216"/>
    <x v="1215"/>
    <x v="1214"/>
    <x v="1215"/>
    <x v="1215"/>
  </r>
  <r>
    <x v="1217"/>
    <x v="1215"/>
    <x v="1215"/>
    <x v="1217"/>
    <x v="1216"/>
    <x v="1215"/>
    <x v="1216"/>
    <x v="1216"/>
  </r>
  <r>
    <x v="1218"/>
    <x v="1216"/>
    <x v="1216"/>
    <x v="1218"/>
    <x v="1217"/>
    <x v="1216"/>
    <x v="1217"/>
    <x v="1217"/>
  </r>
  <r>
    <x v="1219"/>
    <x v="1217"/>
    <x v="1217"/>
    <x v="1219"/>
    <x v="1218"/>
    <x v="1217"/>
    <x v="1218"/>
    <x v="1218"/>
  </r>
  <r>
    <x v="1220"/>
    <x v="1218"/>
    <x v="1218"/>
    <x v="1220"/>
    <x v="1219"/>
    <x v="1218"/>
    <x v="1219"/>
    <x v="1219"/>
  </r>
  <r>
    <x v="1221"/>
    <x v="1219"/>
    <x v="1219"/>
    <x v="1221"/>
    <x v="1220"/>
    <x v="1219"/>
    <x v="1220"/>
    <x v="1220"/>
  </r>
  <r>
    <x v="1222"/>
    <x v="1220"/>
    <x v="1220"/>
    <x v="1222"/>
    <x v="1221"/>
    <x v="1220"/>
    <x v="1221"/>
    <x v="1221"/>
  </r>
  <r>
    <x v="1223"/>
    <x v="1221"/>
    <x v="1221"/>
    <x v="1223"/>
    <x v="1222"/>
    <x v="1221"/>
    <x v="1222"/>
    <x v="1222"/>
  </r>
  <r>
    <x v="1224"/>
    <x v="1222"/>
    <x v="1222"/>
    <x v="1224"/>
    <x v="1223"/>
    <x v="1222"/>
    <x v="1223"/>
    <x v="1223"/>
  </r>
  <r>
    <x v="1225"/>
    <x v="1223"/>
    <x v="1223"/>
    <x v="1225"/>
    <x v="1224"/>
    <x v="95"/>
    <x v="1224"/>
    <x v="1224"/>
  </r>
  <r>
    <x v="1226"/>
    <x v="1224"/>
    <x v="1224"/>
    <x v="1226"/>
    <x v="1225"/>
    <x v="1223"/>
    <x v="1225"/>
    <x v="1225"/>
  </r>
  <r>
    <x v="1227"/>
    <x v="1225"/>
    <x v="1225"/>
    <x v="1227"/>
    <x v="1226"/>
    <x v="1224"/>
    <x v="1226"/>
    <x v="1226"/>
  </r>
  <r>
    <x v="1228"/>
    <x v="1226"/>
    <x v="1226"/>
    <x v="1228"/>
    <x v="1227"/>
    <x v="1225"/>
    <x v="1227"/>
    <x v="1227"/>
  </r>
  <r>
    <x v="1229"/>
    <x v="1227"/>
    <x v="1227"/>
    <x v="1229"/>
    <x v="1228"/>
    <x v="1226"/>
    <x v="1228"/>
    <x v="1228"/>
  </r>
  <r>
    <x v="1230"/>
    <x v="1228"/>
    <x v="1228"/>
    <x v="1230"/>
    <x v="1229"/>
    <x v="1227"/>
    <x v="1229"/>
    <x v="1229"/>
  </r>
  <r>
    <x v="1231"/>
    <x v="1229"/>
    <x v="1229"/>
    <x v="1231"/>
    <x v="1230"/>
    <x v="1228"/>
    <x v="1230"/>
    <x v="1230"/>
  </r>
  <r>
    <x v="1232"/>
    <x v="1230"/>
    <x v="1230"/>
    <x v="1232"/>
    <x v="1231"/>
    <x v="1229"/>
    <x v="1231"/>
    <x v="1231"/>
  </r>
  <r>
    <x v="1233"/>
    <x v="1231"/>
    <x v="1231"/>
    <x v="1233"/>
    <x v="1232"/>
    <x v="1230"/>
    <x v="1232"/>
    <x v="1232"/>
  </r>
  <r>
    <x v="1234"/>
    <x v="1232"/>
    <x v="1232"/>
    <x v="1234"/>
    <x v="1233"/>
    <x v="1231"/>
    <x v="1233"/>
    <x v="1233"/>
  </r>
  <r>
    <x v="1235"/>
    <x v="1233"/>
    <x v="1233"/>
    <x v="1235"/>
    <x v="1234"/>
    <x v="1232"/>
    <x v="1234"/>
    <x v="1234"/>
  </r>
  <r>
    <x v="1236"/>
    <x v="1234"/>
    <x v="1234"/>
    <x v="1236"/>
    <x v="1235"/>
    <x v="1233"/>
    <x v="1235"/>
    <x v="1235"/>
  </r>
  <r>
    <x v="1237"/>
    <x v="1235"/>
    <x v="1235"/>
    <x v="1237"/>
    <x v="1236"/>
    <x v="1234"/>
    <x v="1236"/>
    <x v="1236"/>
  </r>
  <r>
    <x v="1238"/>
    <x v="1236"/>
    <x v="1236"/>
    <x v="1238"/>
    <x v="1237"/>
    <x v="1235"/>
    <x v="1237"/>
    <x v="1237"/>
  </r>
  <r>
    <x v="1239"/>
    <x v="1237"/>
    <x v="1237"/>
    <x v="1239"/>
    <x v="1238"/>
    <x v="1236"/>
    <x v="1238"/>
    <x v="1238"/>
  </r>
  <r>
    <x v="1240"/>
    <x v="1238"/>
    <x v="1238"/>
    <x v="1240"/>
    <x v="1239"/>
    <x v="1237"/>
    <x v="1239"/>
    <x v="784"/>
  </r>
  <r>
    <x v="1241"/>
    <x v="1239"/>
    <x v="1239"/>
    <x v="1241"/>
    <x v="1240"/>
    <x v="1238"/>
    <x v="1240"/>
    <x v="1239"/>
  </r>
  <r>
    <x v="1242"/>
    <x v="1240"/>
    <x v="1240"/>
    <x v="1242"/>
    <x v="1241"/>
    <x v="1239"/>
    <x v="1241"/>
    <x v="1240"/>
  </r>
  <r>
    <x v="1243"/>
    <x v="1241"/>
    <x v="1241"/>
    <x v="1243"/>
    <x v="1242"/>
    <x v="1240"/>
    <x v="1242"/>
    <x v="1241"/>
  </r>
  <r>
    <x v="1244"/>
    <x v="1242"/>
    <x v="1242"/>
    <x v="1244"/>
    <x v="1243"/>
    <x v="1241"/>
    <x v="1243"/>
    <x v="1242"/>
  </r>
  <r>
    <x v="1245"/>
    <x v="1243"/>
    <x v="1243"/>
    <x v="1245"/>
    <x v="1244"/>
    <x v="1242"/>
    <x v="1244"/>
    <x v="1243"/>
  </r>
  <r>
    <x v="1246"/>
    <x v="1244"/>
    <x v="1244"/>
    <x v="1246"/>
    <x v="1245"/>
    <x v="1243"/>
    <x v="1245"/>
    <x v="1244"/>
  </r>
  <r>
    <x v="1247"/>
    <x v="1245"/>
    <x v="1245"/>
    <x v="1247"/>
    <x v="1246"/>
    <x v="1244"/>
    <x v="1246"/>
    <x v="1245"/>
  </r>
  <r>
    <x v="1248"/>
    <x v="1246"/>
    <x v="1246"/>
    <x v="1248"/>
    <x v="1247"/>
    <x v="1245"/>
    <x v="1247"/>
    <x v="1246"/>
  </r>
  <r>
    <x v="1249"/>
    <x v="1247"/>
    <x v="1247"/>
    <x v="1249"/>
    <x v="1248"/>
    <x v="1246"/>
    <x v="1248"/>
    <x v="1247"/>
  </r>
  <r>
    <x v="1250"/>
    <x v="1248"/>
    <x v="1248"/>
    <x v="1250"/>
    <x v="1249"/>
    <x v="1247"/>
    <x v="1249"/>
    <x v="1248"/>
  </r>
  <r>
    <x v="1251"/>
    <x v="1249"/>
    <x v="1249"/>
    <x v="1251"/>
    <x v="1250"/>
    <x v="1248"/>
    <x v="1250"/>
    <x v="1249"/>
  </r>
  <r>
    <x v="1252"/>
    <x v="1250"/>
    <x v="1250"/>
    <x v="1252"/>
    <x v="1251"/>
    <x v="1249"/>
    <x v="1251"/>
    <x v="1250"/>
  </r>
  <r>
    <x v="1253"/>
    <x v="1251"/>
    <x v="1251"/>
    <x v="1253"/>
    <x v="1252"/>
    <x v="1250"/>
    <x v="1252"/>
    <x v="1251"/>
  </r>
  <r>
    <x v="1254"/>
    <x v="1252"/>
    <x v="1252"/>
    <x v="1254"/>
    <x v="1253"/>
    <x v="1251"/>
    <x v="1253"/>
    <x v="1252"/>
  </r>
  <r>
    <x v="1255"/>
    <x v="1253"/>
    <x v="1253"/>
    <x v="1255"/>
    <x v="1254"/>
    <x v="1252"/>
    <x v="1254"/>
    <x v="1253"/>
  </r>
  <r>
    <x v="1256"/>
    <x v="1254"/>
    <x v="1254"/>
    <x v="1256"/>
    <x v="1255"/>
    <x v="1253"/>
    <x v="1255"/>
    <x v="1254"/>
  </r>
  <r>
    <x v="1257"/>
    <x v="1255"/>
    <x v="1255"/>
    <x v="1257"/>
    <x v="1256"/>
    <x v="1254"/>
    <x v="1256"/>
    <x v="1255"/>
  </r>
  <r>
    <x v="1258"/>
    <x v="1256"/>
    <x v="1256"/>
    <x v="1258"/>
    <x v="1257"/>
    <x v="1255"/>
    <x v="1257"/>
    <x v="1256"/>
  </r>
  <r>
    <x v="1259"/>
    <x v="1257"/>
    <x v="1257"/>
    <x v="1259"/>
    <x v="1258"/>
    <x v="1256"/>
    <x v="1258"/>
    <x v="1257"/>
  </r>
  <r>
    <x v="1260"/>
    <x v="1258"/>
    <x v="1258"/>
    <x v="1260"/>
    <x v="1259"/>
    <x v="1257"/>
    <x v="1259"/>
    <x v="1258"/>
  </r>
  <r>
    <x v="1261"/>
    <x v="1259"/>
    <x v="1259"/>
    <x v="1261"/>
    <x v="1260"/>
    <x v="1258"/>
    <x v="1260"/>
    <x v="1259"/>
  </r>
  <r>
    <x v="1262"/>
    <x v="1260"/>
    <x v="1260"/>
    <x v="1262"/>
    <x v="1261"/>
    <x v="1259"/>
    <x v="1261"/>
    <x v="1260"/>
  </r>
  <r>
    <x v="1263"/>
    <x v="1261"/>
    <x v="1261"/>
    <x v="1263"/>
    <x v="1262"/>
    <x v="1260"/>
    <x v="1262"/>
    <x v="1261"/>
  </r>
  <r>
    <x v="1264"/>
    <x v="1262"/>
    <x v="1262"/>
    <x v="1264"/>
    <x v="1263"/>
    <x v="1261"/>
    <x v="1263"/>
    <x v="1262"/>
  </r>
  <r>
    <x v="1265"/>
    <x v="1263"/>
    <x v="1263"/>
    <x v="1265"/>
    <x v="1264"/>
    <x v="1262"/>
    <x v="1264"/>
    <x v="1263"/>
  </r>
  <r>
    <x v="1266"/>
    <x v="1264"/>
    <x v="1264"/>
    <x v="1266"/>
    <x v="1265"/>
    <x v="1263"/>
    <x v="1265"/>
    <x v="1264"/>
  </r>
  <r>
    <x v="1267"/>
    <x v="1265"/>
    <x v="1265"/>
    <x v="1267"/>
    <x v="1266"/>
    <x v="1264"/>
    <x v="1266"/>
    <x v="1265"/>
  </r>
  <r>
    <x v="1268"/>
    <x v="1266"/>
    <x v="1266"/>
    <x v="1268"/>
    <x v="1267"/>
    <x v="1265"/>
    <x v="1267"/>
    <x v="1266"/>
  </r>
  <r>
    <x v="1269"/>
    <x v="1267"/>
    <x v="1267"/>
    <x v="1269"/>
    <x v="1268"/>
    <x v="1266"/>
    <x v="1268"/>
    <x v="1267"/>
  </r>
  <r>
    <x v="1270"/>
    <x v="1268"/>
    <x v="1268"/>
    <x v="1270"/>
    <x v="1269"/>
    <x v="1267"/>
    <x v="1269"/>
    <x v="1268"/>
  </r>
  <r>
    <x v="1271"/>
    <x v="1269"/>
    <x v="1269"/>
    <x v="1271"/>
    <x v="1270"/>
    <x v="1268"/>
    <x v="1270"/>
    <x v="1269"/>
  </r>
  <r>
    <x v="1272"/>
    <x v="1270"/>
    <x v="1270"/>
    <x v="1272"/>
    <x v="1271"/>
    <x v="1269"/>
    <x v="1271"/>
    <x v="1270"/>
  </r>
  <r>
    <x v="1273"/>
    <x v="1271"/>
    <x v="1271"/>
    <x v="1273"/>
    <x v="1272"/>
    <x v="1270"/>
    <x v="1272"/>
    <x v="1271"/>
  </r>
  <r>
    <x v="1274"/>
    <x v="1272"/>
    <x v="1272"/>
    <x v="1274"/>
    <x v="1273"/>
    <x v="1271"/>
    <x v="1273"/>
    <x v="1272"/>
  </r>
  <r>
    <x v="1275"/>
    <x v="1273"/>
    <x v="1273"/>
    <x v="1275"/>
    <x v="1274"/>
    <x v="1272"/>
    <x v="1274"/>
    <x v="1273"/>
  </r>
  <r>
    <x v="1276"/>
    <x v="1274"/>
    <x v="1274"/>
    <x v="1276"/>
    <x v="1275"/>
    <x v="1273"/>
    <x v="1275"/>
    <x v="1274"/>
  </r>
  <r>
    <x v="1277"/>
    <x v="1275"/>
    <x v="1275"/>
    <x v="1277"/>
    <x v="1276"/>
    <x v="1274"/>
    <x v="1276"/>
    <x v="1275"/>
  </r>
  <r>
    <x v="1278"/>
    <x v="1276"/>
    <x v="1276"/>
    <x v="1278"/>
    <x v="1277"/>
    <x v="1275"/>
    <x v="1277"/>
    <x v="1276"/>
  </r>
  <r>
    <x v="1279"/>
    <x v="1277"/>
    <x v="1277"/>
    <x v="1279"/>
    <x v="1278"/>
    <x v="1276"/>
    <x v="1278"/>
    <x v="1277"/>
  </r>
  <r>
    <x v="1280"/>
    <x v="1278"/>
    <x v="1278"/>
    <x v="1280"/>
    <x v="1279"/>
    <x v="1277"/>
    <x v="1279"/>
    <x v="1278"/>
  </r>
  <r>
    <x v="1281"/>
    <x v="1279"/>
    <x v="1279"/>
    <x v="1281"/>
    <x v="1280"/>
    <x v="1278"/>
    <x v="1280"/>
    <x v="1279"/>
  </r>
  <r>
    <x v="1282"/>
    <x v="1280"/>
    <x v="1280"/>
    <x v="1282"/>
    <x v="1281"/>
    <x v="1279"/>
    <x v="1281"/>
    <x v="1280"/>
  </r>
  <r>
    <x v="1283"/>
    <x v="1281"/>
    <x v="1281"/>
    <x v="1283"/>
    <x v="1282"/>
    <x v="1280"/>
    <x v="1282"/>
    <x v="1281"/>
  </r>
  <r>
    <x v="1284"/>
    <x v="1282"/>
    <x v="1282"/>
    <x v="1284"/>
    <x v="1283"/>
    <x v="1281"/>
    <x v="1283"/>
    <x v="1282"/>
  </r>
  <r>
    <x v="1285"/>
    <x v="1283"/>
    <x v="1283"/>
    <x v="1285"/>
    <x v="1284"/>
    <x v="1282"/>
    <x v="1284"/>
    <x v="1283"/>
  </r>
  <r>
    <x v="1286"/>
    <x v="1284"/>
    <x v="1284"/>
    <x v="1286"/>
    <x v="1285"/>
    <x v="1283"/>
    <x v="1285"/>
    <x v="1284"/>
  </r>
  <r>
    <x v="1287"/>
    <x v="1285"/>
    <x v="1285"/>
    <x v="1287"/>
    <x v="1286"/>
    <x v="1284"/>
    <x v="1286"/>
    <x v="1285"/>
  </r>
  <r>
    <x v="1288"/>
    <x v="1286"/>
    <x v="1286"/>
    <x v="1288"/>
    <x v="1287"/>
    <x v="1285"/>
    <x v="1287"/>
    <x v="1286"/>
  </r>
  <r>
    <x v="1289"/>
    <x v="1287"/>
    <x v="1287"/>
    <x v="1289"/>
    <x v="1288"/>
    <x v="1286"/>
    <x v="1288"/>
    <x v="1287"/>
  </r>
  <r>
    <x v="1290"/>
    <x v="1288"/>
    <x v="1288"/>
    <x v="1290"/>
    <x v="1289"/>
    <x v="1287"/>
    <x v="1289"/>
    <x v="1288"/>
  </r>
  <r>
    <x v="1291"/>
    <x v="1289"/>
    <x v="1289"/>
    <x v="1291"/>
    <x v="1290"/>
    <x v="1288"/>
    <x v="1290"/>
    <x v="1289"/>
  </r>
  <r>
    <x v="1292"/>
    <x v="1290"/>
    <x v="1290"/>
    <x v="1292"/>
    <x v="1291"/>
    <x v="1289"/>
    <x v="1291"/>
    <x v="1290"/>
  </r>
  <r>
    <x v="1293"/>
    <x v="1291"/>
    <x v="1291"/>
    <x v="1293"/>
    <x v="1292"/>
    <x v="1290"/>
    <x v="1292"/>
    <x v="1291"/>
  </r>
  <r>
    <x v="1294"/>
    <x v="1292"/>
    <x v="1292"/>
    <x v="1294"/>
    <x v="1293"/>
    <x v="1291"/>
    <x v="1293"/>
    <x v="1292"/>
  </r>
  <r>
    <x v="1295"/>
    <x v="1293"/>
    <x v="1293"/>
    <x v="1295"/>
    <x v="1294"/>
    <x v="1292"/>
    <x v="1294"/>
    <x v="1293"/>
  </r>
  <r>
    <x v="1296"/>
    <x v="1294"/>
    <x v="1294"/>
    <x v="1296"/>
    <x v="1295"/>
    <x v="1293"/>
    <x v="1295"/>
    <x v="1294"/>
  </r>
  <r>
    <x v="1297"/>
    <x v="1295"/>
    <x v="1295"/>
    <x v="1297"/>
    <x v="1296"/>
    <x v="1294"/>
    <x v="1296"/>
    <x v="1295"/>
  </r>
  <r>
    <x v="1298"/>
    <x v="1296"/>
    <x v="1296"/>
    <x v="1298"/>
    <x v="1297"/>
    <x v="1295"/>
    <x v="1297"/>
    <x v="1296"/>
  </r>
  <r>
    <x v="1299"/>
    <x v="1297"/>
    <x v="1297"/>
    <x v="1299"/>
    <x v="1298"/>
    <x v="1296"/>
    <x v="1298"/>
    <x v="1297"/>
  </r>
  <r>
    <x v="1300"/>
    <x v="1298"/>
    <x v="1298"/>
    <x v="1300"/>
    <x v="1299"/>
    <x v="1297"/>
    <x v="1299"/>
    <x v="1298"/>
  </r>
  <r>
    <x v="1301"/>
    <x v="1299"/>
    <x v="1299"/>
    <x v="1301"/>
    <x v="1300"/>
    <x v="1298"/>
    <x v="1300"/>
    <x v="1299"/>
  </r>
  <r>
    <x v="1302"/>
    <x v="1300"/>
    <x v="1300"/>
    <x v="1302"/>
    <x v="1301"/>
    <x v="1299"/>
    <x v="1301"/>
    <x v="1300"/>
  </r>
  <r>
    <x v="1303"/>
    <x v="1301"/>
    <x v="1301"/>
    <x v="1303"/>
    <x v="1302"/>
    <x v="1300"/>
    <x v="1302"/>
    <x v="1301"/>
  </r>
  <r>
    <x v="1304"/>
    <x v="1302"/>
    <x v="1302"/>
    <x v="1304"/>
    <x v="1303"/>
    <x v="1301"/>
    <x v="1303"/>
    <x v="1302"/>
  </r>
  <r>
    <x v="1305"/>
    <x v="1303"/>
    <x v="1303"/>
    <x v="1305"/>
    <x v="1304"/>
    <x v="1302"/>
    <x v="1304"/>
    <x v="1303"/>
  </r>
  <r>
    <x v="1306"/>
    <x v="1304"/>
    <x v="1304"/>
    <x v="1306"/>
    <x v="1305"/>
    <x v="1303"/>
    <x v="1305"/>
    <x v="1304"/>
  </r>
  <r>
    <x v="1307"/>
    <x v="1305"/>
    <x v="1305"/>
    <x v="1307"/>
    <x v="1306"/>
    <x v="1304"/>
    <x v="1306"/>
    <x v="1305"/>
  </r>
  <r>
    <x v="1308"/>
    <x v="1306"/>
    <x v="1306"/>
    <x v="1308"/>
    <x v="1307"/>
    <x v="1305"/>
    <x v="1307"/>
    <x v="1306"/>
  </r>
  <r>
    <x v="1309"/>
    <x v="1307"/>
    <x v="1307"/>
    <x v="1309"/>
    <x v="1308"/>
    <x v="1306"/>
    <x v="1308"/>
    <x v="1307"/>
  </r>
  <r>
    <x v="1310"/>
    <x v="1308"/>
    <x v="1308"/>
    <x v="1310"/>
    <x v="1309"/>
    <x v="1307"/>
    <x v="1309"/>
    <x v="1308"/>
  </r>
  <r>
    <x v="1311"/>
    <x v="1309"/>
    <x v="1309"/>
    <x v="1311"/>
    <x v="1310"/>
    <x v="1308"/>
    <x v="1310"/>
    <x v="1309"/>
  </r>
  <r>
    <x v="1312"/>
    <x v="1310"/>
    <x v="1310"/>
    <x v="1312"/>
    <x v="1311"/>
    <x v="1309"/>
    <x v="1311"/>
    <x v="1310"/>
  </r>
  <r>
    <x v="1313"/>
    <x v="1311"/>
    <x v="1311"/>
    <x v="1313"/>
    <x v="1312"/>
    <x v="1310"/>
    <x v="1312"/>
    <x v="1311"/>
  </r>
  <r>
    <x v="1314"/>
    <x v="1312"/>
    <x v="1312"/>
    <x v="1314"/>
    <x v="1313"/>
    <x v="1311"/>
    <x v="1313"/>
    <x v="1312"/>
  </r>
  <r>
    <x v="1315"/>
    <x v="1313"/>
    <x v="1313"/>
    <x v="1315"/>
    <x v="1314"/>
    <x v="1312"/>
    <x v="1314"/>
    <x v="1313"/>
  </r>
  <r>
    <x v="1316"/>
    <x v="1314"/>
    <x v="1314"/>
    <x v="1316"/>
    <x v="1315"/>
    <x v="1313"/>
    <x v="1315"/>
    <x v="1314"/>
  </r>
  <r>
    <x v="1317"/>
    <x v="1315"/>
    <x v="1315"/>
    <x v="1317"/>
    <x v="1316"/>
    <x v="1314"/>
    <x v="1316"/>
    <x v="1315"/>
  </r>
  <r>
    <x v="1318"/>
    <x v="1316"/>
    <x v="1316"/>
    <x v="1318"/>
    <x v="1317"/>
    <x v="1315"/>
    <x v="1317"/>
    <x v="1316"/>
  </r>
  <r>
    <x v="1319"/>
    <x v="1317"/>
    <x v="1317"/>
    <x v="1319"/>
    <x v="1318"/>
    <x v="1316"/>
    <x v="1318"/>
    <x v="1317"/>
  </r>
  <r>
    <x v="1320"/>
    <x v="1318"/>
    <x v="1318"/>
    <x v="1320"/>
    <x v="1319"/>
    <x v="1317"/>
    <x v="1319"/>
    <x v="1318"/>
  </r>
  <r>
    <x v="1321"/>
    <x v="1319"/>
    <x v="1319"/>
    <x v="1321"/>
    <x v="1320"/>
    <x v="1318"/>
    <x v="1320"/>
    <x v="1319"/>
  </r>
  <r>
    <x v="1322"/>
    <x v="1320"/>
    <x v="1320"/>
    <x v="1322"/>
    <x v="1321"/>
    <x v="1319"/>
    <x v="1321"/>
    <x v="1320"/>
  </r>
  <r>
    <x v="1323"/>
    <x v="1321"/>
    <x v="1321"/>
    <x v="1323"/>
    <x v="1322"/>
    <x v="1320"/>
    <x v="1322"/>
    <x v="1321"/>
  </r>
  <r>
    <x v="1324"/>
    <x v="1322"/>
    <x v="1322"/>
    <x v="1324"/>
    <x v="1323"/>
    <x v="1321"/>
    <x v="1323"/>
    <x v="1322"/>
  </r>
  <r>
    <x v="1325"/>
    <x v="1323"/>
    <x v="1323"/>
    <x v="1325"/>
    <x v="1324"/>
    <x v="1322"/>
    <x v="1324"/>
    <x v="1323"/>
  </r>
  <r>
    <x v="1326"/>
    <x v="1324"/>
    <x v="1324"/>
    <x v="1326"/>
    <x v="1325"/>
    <x v="1323"/>
    <x v="1325"/>
    <x v="1324"/>
  </r>
  <r>
    <x v="1327"/>
    <x v="1325"/>
    <x v="1325"/>
    <x v="1327"/>
    <x v="1326"/>
    <x v="1324"/>
    <x v="1326"/>
    <x v="1325"/>
  </r>
  <r>
    <x v="1328"/>
    <x v="1326"/>
    <x v="1326"/>
    <x v="1328"/>
    <x v="1327"/>
    <x v="1325"/>
    <x v="1327"/>
    <x v="1326"/>
  </r>
  <r>
    <x v="1329"/>
    <x v="1327"/>
    <x v="1327"/>
    <x v="1329"/>
    <x v="1328"/>
    <x v="1326"/>
    <x v="1328"/>
    <x v="1327"/>
  </r>
  <r>
    <x v="1330"/>
    <x v="1328"/>
    <x v="1328"/>
    <x v="1330"/>
    <x v="1329"/>
    <x v="1327"/>
    <x v="1329"/>
    <x v="1328"/>
  </r>
  <r>
    <x v="1331"/>
    <x v="1329"/>
    <x v="1329"/>
    <x v="1331"/>
    <x v="1330"/>
    <x v="1328"/>
    <x v="1330"/>
    <x v="1329"/>
  </r>
  <r>
    <x v="1332"/>
    <x v="1330"/>
    <x v="1330"/>
    <x v="1332"/>
    <x v="1331"/>
    <x v="1329"/>
    <x v="1331"/>
    <x v="1330"/>
  </r>
  <r>
    <x v="1333"/>
    <x v="1331"/>
    <x v="1331"/>
    <x v="1333"/>
    <x v="1332"/>
    <x v="1330"/>
    <x v="1332"/>
    <x v="1331"/>
  </r>
  <r>
    <x v="1334"/>
    <x v="1332"/>
    <x v="1332"/>
    <x v="1334"/>
    <x v="1333"/>
    <x v="1331"/>
    <x v="1333"/>
    <x v="1332"/>
  </r>
  <r>
    <x v="1335"/>
    <x v="1333"/>
    <x v="1333"/>
    <x v="1335"/>
    <x v="1334"/>
    <x v="1332"/>
    <x v="1334"/>
    <x v="1333"/>
  </r>
  <r>
    <x v="1336"/>
    <x v="1334"/>
    <x v="1334"/>
    <x v="1336"/>
    <x v="1335"/>
    <x v="1333"/>
    <x v="1335"/>
    <x v="1334"/>
  </r>
  <r>
    <x v="1337"/>
    <x v="1335"/>
    <x v="1335"/>
    <x v="1337"/>
    <x v="1336"/>
    <x v="1334"/>
    <x v="1336"/>
    <x v="1335"/>
  </r>
  <r>
    <x v="1338"/>
    <x v="1336"/>
    <x v="1336"/>
    <x v="1338"/>
    <x v="1337"/>
    <x v="1335"/>
    <x v="1337"/>
    <x v="1336"/>
  </r>
  <r>
    <x v="1339"/>
    <x v="1337"/>
    <x v="1337"/>
    <x v="1339"/>
    <x v="1338"/>
    <x v="1336"/>
    <x v="1338"/>
    <x v="1337"/>
  </r>
  <r>
    <x v="1340"/>
    <x v="1338"/>
    <x v="1338"/>
    <x v="1340"/>
    <x v="1339"/>
    <x v="1337"/>
    <x v="1339"/>
    <x v="1338"/>
  </r>
  <r>
    <x v="1341"/>
    <x v="1339"/>
    <x v="1339"/>
    <x v="1341"/>
    <x v="1340"/>
    <x v="1338"/>
    <x v="1340"/>
    <x v="1339"/>
  </r>
  <r>
    <x v="1342"/>
    <x v="1340"/>
    <x v="1340"/>
    <x v="1342"/>
    <x v="1341"/>
    <x v="1339"/>
    <x v="1341"/>
    <x v="1340"/>
  </r>
  <r>
    <x v="1343"/>
    <x v="1341"/>
    <x v="1341"/>
    <x v="1343"/>
    <x v="1342"/>
    <x v="1340"/>
    <x v="1342"/>
    <x v="1341"/>
  </r>
  <r>
    <x v="1344"/>
    <x v="1342"/>
    <x v="1342"/>
    <x v="1344"/>
    <x v="1343"/>
    <x v="1341"/>
    <x v="1343"/>
    <x v="1342"/>
  </r>
  <r>
    <x v="1345"/>
    <x v="1343"/>
    <x v="1343"/>
    <x v="1345"/>
    <x v="1344"/>
    <x v="1342"/>
    <x v="1344"/>
    <x v="1343"/>
  </r>
  <r>
    <x v="1346"/>
    <x v="1344"/>
    <x v="1344"/>
    <x v="1346"/>
    <x v="1345"/>
    <x v="1343"/>
    <x v="1345"/>
    <x v="1344"/>
  </r>
  <r>
    <x v="1347"/>
    <x v="1345"/>
    <x v="1345"/>
    <x v="1347"/>
    <x v="1346"/>
    <x v="1344"/>
    <x v="1346"/>
    <x v="1345"/>
  </r>
  <r>
    <x v="1348"/>
    <x v="1346"/>
    <x v="1346"/>
    <x v="1348"/>
    <x v="1347"/>
    <x v="1345"/>
    <x v="1347"/>
    <x v="1346"/>
  </r>
  <r>
    <x v="1349"/>
    <x v="1347"/>
    <x v="1347"/>
    <x v="1349"/>
    <x v="1348"/>
    <x v="1346"/>
    <x v="1348"/>
    <x v="1347"/>
  </r>
  <r>
    <x v="1350"/>
    <x v="1348"/>
    <x v="1348"/>
    <x v="1350"/>
    <x v="1349"/>
    <x v="1347"/>
    <x v="1349"/>
    <x v="1348"/>
  </r>
  <r>
    <x v="1351"/>
    <x v="1349"/>
    <x v="1349"/>
    <x v="1351"/>
    <x v="1350"/>
    <x v="1348"/>
    <x v="1350"/>
    <x v="1349"/>
  </r>
  <r>
    <x v="1352"/>
    <x v="1350"/>
    <x v="1350"/>
    <x v="1352"/>
    <x v="1351"/>
    <x v="1349"/>
    <x v="1351"/>
    <x v="1350"/>
  </r>
  <r>
    <x v="1353"/>
    <x v="1351"/>
    <x v="1351"/>
    <x v="1353"/>
    <x v="1352"/>
    <x v="1350"/>
    <x v="1352"/>
    <x v="1351"/>
  </r>
  <r>
    <x v="1354"/>
    <x v="1352"/>
    <x v="1352"/>
    <x v="1354"/>
    <x v="1353"/>
    <x v="1351"/>
    <x v="1353"/>
    <x v="1352"/>
  </r>
  <r>
    <x v="1355"/>
    <x v="1353"/>
    <x v="1353"/>
    <x v="1355"/>
    <x v="1354"/>
    <x v="1352"/>
    <x v="1354"/>
    <x v="1353"/>
  </r>
  <r>
    <x v="1356"/>
    <x v="1354"/>
    <x v="1354"/>
    <x v="1356"/>
    <x v="1355"/>
    <x v="1353"/>
    <x v="1355"/>
    <x v="1354"/>
  </r>
  <r>
    <x v="1357"/>
    <x v="1355"/>
    <x v="1355"/>
    <x v="1357"/>
    <x v="1356"/>
    <x v="1354"/>
    <x v="1356"/>
    <x v="1355"/>
  </r>
  <r>
    <x v="1358"/>
    <x v="1356"/>
    <x v="1356"/>
    <x v="1358"/>
    <x v="1357"/>
    <x v="1355"/>
    <x v="1357"/>
    <x v="1356"/>
  </r>
  <r>
    <x v="1359"/>
    <x v="1357"/>
    <x v="1357"/>
    <x v="1359"/>
    <x v="1358"/>
    <x v="1356"/>
    <x v="1358"/>
    <x v="1357"/>
  </r>
  <r>
    <x v="1360"/>
    <x v="1358"/>
    <x v="1358"/>
    <x v="1360"/>
    <x v="1359"/>
    <x v="1357"/>
    <x v="1359"/>
    <x v="1358"/>
  </r>
  <r>
    <x v="1361"/>
    <x v="1359"/>
    <x v="1359"/>
    <x v="1361"/>
    <x v="1360"/>
    <x v="1358"/>
    <x v="1360"/>
    <x v="1359"/>
  </r>
  <r>
    <x v="1362"/>
    <x v="1360"/>
    <x v="1360"/>
    <x v="1362"/>
    <x v="1361"/>
    <x v="1359"/>
    <x v="1361"/>
    <x v="1360"/>
  </r>
  <r>
    <x v="1363"/>
    <x v="1361"/>
    <x v="1361"/>
    <x v="1363"/>
    <x v="1362"/>
    <x v="1360"/>
    <x v="1362"/>
    <x v="1361"/>
  </r>
  <r>
    <x v="1364"/>
    <x v="1362"/>
    <x v="1362"/>
    <x v="1364"/>
    <x v="1363"/>
    <x v="1361"/>
    <x v="1363"/>
    <x v="1362"/>
  </r>
  <r>
    <x v="1365"/>
    <x v="1363"/>
    <x v="1363"/>
    <x v="1365"/>
    <x v="1364"/>
    <x v="1362"/>
    <x v="1364"/>
    <x v="1363"/>
  </r>
  <r>
    <x v="1366"/>
    <x v="1364"/>
    <x v="1364"/>
    <x v="1366"/>
    <x v="1365"/>
    <x v="1363"/>
    <x v="1365"/>
    <x v="1364"/>
  </r>
  <r>
    <x v="1367"/>
    <x v="1365"/>
    <x v="1365"/>
    <x v="1367"/>
    <x v="1366"/>
    <x v="1364"/>
    <x v="1366"/>
    <x v="1365"/>
  </r>
  <r>
    <x v="1368"/>
    <x v="1366"/>
    <x v="1366"/>
    <x v="1368"/>
    <x v="1367"/>
    <x v="1365"/>
    <x v="1367"/>
    <x v="1366"/>
  </r>
  <r>
    <x v="1369"/>
    <x v="1367"/>
    <x v="1367"/>
    <x v="1369"/>
    <x v="1368"/>
    <x v="1366"/>
    <x v="1368"/>
    <x v="1367"/>
  </r>
  <r>
    <x v="1370"/>
    <x v="1368"/>
    <x v="1368"/>
    <x v="1370"/>
    <x v="1369"/>
    <x v="1367"/>
    <x v="1369"/>
    <x v="1368"/>
  </r>
  <r>
    <x v="1371"/>
    <x v="1369"/>
    <x v="1369"/>
    <x v="1371"/>
    <x v="1370"/>
    <x v="1368"/>
    <x v="1370"/>
    <x v="1369"/>
  </r>
  <r>
    <x v="1372"/>
    <x v="1370"/>
    <x v="1370"/>
    <x v="1372"/>
    <x v="1371"/>
    <x v="1369"/>
    <x v="1371"/>
    <x v="1370"/>
  </r>
  <r>
    <x v="1373"/>
    <x v="1371"/>
    <x v="1371"/>
    <x v="1373"/>
    <x v="1372"/>
    <x v="1370"/>
    <x v="1372"/>
    <x v="1371"/>
  </r>
  <r>
    <x v="1374"/>
    <x v="1372"/>
    <x v="1372"/>
    <x v="1374"/>
    <x v="1373"/>
    <x v="1371"/>
    <x v="1373"/>
    <x v="1372"/>
  </r>
  <r>
    <x v="1375"/>
    <x v="1373"/>
    <x v="1373"/>
    <x v="1375"/>
    <x v="1374"/>
    <x v="1372"/>
    <x v="1374"/>
    <x v="1373"/>
  </r>
  <r>
    <x v="1376"/>
    <x v="1374"/>
    <x v="1374"/>
    <x v="1376"/>
    <x v="1375"/>
    <x v="1373"/>
    <x v="1375"/>
    <x v="1374"/>
  </r>
  <r>
    <x v="1377"/>
    <x v="1375"/>
    <x v="1375"/>
    <x v="1377"/>
    <x v="1376"/>
    <x v="1374"/>
    <x v="1376"/>
    <x v="1375"/>
  </r>
  <r>
    <x v="1378"/>
    <x v="1376"/>
    <x v="1376"/>
    <x v="1378"/>
    <x v="1377"/>
    <x v="1375"/>
    <x v="1377"/>
    <x v="1376"/>
  </r>
  <r>
    <x v="1379"/>
    <x v="1377"/>
    <x v="1377"/>
    <x v="1379"/>
    <x v="1378"/>
    <x v="1376"/>
    <x v="1378"/>
    <x v="1377"/>
  </r>
  <r>
    <x v="1380"/>
    <x v="1378"/>
    <x v="1378"/>
    <x v="1380"/>
    <x v="1379"/>
    <x v="1377"/>
    <x v="1379"/>
    <x v="1378"/>
  </r>
  <r>
    <x v="1381"/>
    <x v="1379"/>
    <x v="1379"/>
    <x v="1381"/>
    <x v="1380"/>
    <x v="1378"/>
    <x v="1380"/>
    <x v="1379"/>
  </r>
  <r>
    <x v="1382"/>
    <x v="1380"/>
    <x v="1380"/>
    <x v="1382"/>
    <x v="1381"/>
    <x v="1379"/>
    <x v="1381"/>
    <x v="1380"/>
  </r>
  <r>
    <x v="1383"/>
    <x v="1381"/>
    <x v="1381"/>
    <x v="1383"/>
    <x v="1382"/>
    <x v="1380"/>
    <x v="1382"/>
    <x v="1381"/>
  </r>
  <r>
    <x v="1384"/>
    <x v="1382"/>
    <x v="1382"/>
    <x v="1384"/>
    <x v="1383"/>
    <x v="1381"/>
    <x v="1383"/>
    <x v="1382"/>
  </r>
  <r>
    <x v="1385"/>
    <x v="1383"/>
    <x v="1383"/>
    <x v="1385"/>
    <x v="1384"/>
    <x v="1382"/>
    <x v="1384"/>
    <x v="1383"/>
  </r>
  <r>
    <x v="1386"/>
    <x v="1384"/>
    <x v="1384"/>
    <x v="1386"/>
    <x v="1385"/>
    <x v="1383"/>
    <x v="1385"/>
    <x v="1384"/>
  </r>
  <r>
    <x v="1387"/>
    <x v="1385"/>
    <x v="1385"/>
    <x v="1387"/>
    <x v="1386"/>
    <x v="1384"/>
    <x v="1386"/>
    <x v="1385"/>
  </r>
  <r>
    <x v="1388"/>
    <x v="1386"/>
    <x v="1386"/>
    <x v="1388"/>
    <x v="1387"/>
    <x v="1385"/>
    <x v="1387"/>
    <x v="1386"/>
  </r>
  <r>
    <x v="1389"/>
    <x v="1387"/>
    <x v="1387"/>
    <x v="1389"/>
    <x v="1388"/>
    <x v="1386"/>
    <x v="1388"/>
    <x v="1387"/>
  </r>
  <r>
    <x v="1390"/>
    <x v="1388"/>
    <x v="1388"/>
    <x v="1390"/>
    <x v="1389"/>
    <x v="1387"/>
    <x v="1389"/>
    <x v="1388"/>
  </r>
  <r>
    <x v="1391"/>
    <x v="1389"/>
    <x v="1389"/>
    <x v="1391"/>
    <x v="1390"/>
    <x v="1388"/>
    <x v="1390"/>
    <x v="1389"/>
  </r>
  <r>
    <x v="1392"/>
    <x v="1390"/>
    <x v="1390"/>
    <x v="1392"/>
    <x v="1391"/>
    <x v="1389"/>
    <x v="1391"/>
    <x v="1390"/>
  </r>
  <r>
    <x v="1393"/>
    <x v="1391"/>
    <x v="1391"/>
    <x v="1393"/>
    <x v="1392"/>
    <x v="1390"/>
    <x v="1392"/>
    <x v="1391"/>
  </r>
  <r>
    <x v="1394"/>
    <x v="1392"/>
    <x v="1392"/>
    <x v="1394"/>
    <x v="1393"/>
    <x v="1391"/>
    <x v="1393"/>
    <x v="1392"/>
  </r>
  <r>
    <x v="1395"/>
    <x v="1393"/>
    <x v="1393"/>
    <x v="1395"/>
    <x v="1394"/>
    <x v="1392"/>
    <x v="1394"/>
    <x v="1393"/>
  </r>
  <r>
    <x v="1396"/>
    <x v="1394"/>
    <x v="1394"/>
    <x v="1396"/>
    <x v="1395"/>
    <x v="1393"/>
    <x v="1395"/>
    <x v="1394"/>
  </r>
  <r>
    <x v="1397"/>
    <x v="1395"/>
    <x v="1395"/>
    <x v="1397"/>
    <x v="1396"/>
    <x v="1394"/>
    <x v="1396"/>
    <x v="1395"/>
  </r>
  <r>
    <x v="1398"/>
    <x v="1396"/>
    <x v="1396"/>
    <x v="1398"/>
    <x v="1397"/>
    <x v="1395"/>
    <x v="1397"/>
    <x v="1396"/>
  </r>
  <r>
    <x v="1399"/>
    <x v="1397"/>
    <x v="1397"/>
    <x v="1399"/>
    <x v="1398"/>
    <x v="1396"/>
    <x v="1398"/>
    <x v="1397"/>
  </r>
  <r>
    <x v="1400"/>
    <x v="1398"/>
    <x v="1398"/>
    <x v="1400"/>
    <x v="1399"/>
    <x v="1397"/>
    <x v="1399"/>
    <x v="1398"/>
  </r>
  <r>
    <x v="1401"/>
    <x v="1399"/>
    <x v="1399"/>
    <x v="1401"/>
    <x v="1400"/>
    <x v="1398"/>
    <x v="1400"/>
    <x v="1399"/>
  </r>
  <r>
    <x v="1402"/>
    <x v="1400"/>
    <x v="1400"/>
    <x v="1402"/>
    <x v="1401"/>
    <x v="1399"/>
    <x v="1401"/>
    <x v="1400"/>
  </r>
  <r>
    <x v="1403"/>
    <x v="1401"/>
    <x v="1401"/>
    <x v="1403"/>
    <x v="1402"/>
    <x v="1400"/>
    <x v="1402"/>
    <x v="1401"/>
  </r>
  <r>
    <x v="1404"/>
    <x v="1402"/>
    <x v="1402"/>
    <x v="1404"/>
    <x v="1403"/>
    <x v="1401"/>
    <x v="1403"/>
    <x v="1402"/>
  </r>
  <r>
    <x v="1405"/>
    <x v="1403"/>
    <x v="1403"/>
    <x v="1405"/>
    <x v="1404"/>
    <x v="1402"/>
    <x v="1404"/>
    <x v="1403"/>
  </r>
  <r>
    <x v="1406"/>
    <x v="1404"/>
    <x v="1404"/>
    <x v="1406"/>
    <x v="1405"/>
    <x v="1403"/>
    <x v="1405"/>
    <x v="1404"/>
  </r>
  <r>
    <x v="1407"/>
    <x v="1405"/>
    <x v="1405"/>
    <x v="1407"/>
    <x v="1406"/>
    <x v="1404"/>
    <x v="1406"/>
    <x v="1405"/>
  </r>
  <r>
    <x v="1408"/>
    <x v="1406"/>
    <x v="1406"/>
    <x v="1408"/>
    <x v="1407"/>
    <x v="1405"/>
    <x v="1407"/>
    <x v="1406"/>
  </r>
  <r>
    <x v="1409"/>
    <x v="1407"/>
    <x v="1407"/>
    <x v="1409"/>
    <x v="1408"/>
    <x v="1406"/>
    <x v="1408"/>
    <x v="1407"/>
  </r>
  <r>
    <x v="1410"/>
    <x v="1408"/>
    <x v="1408"/>
    <x v="1410"/>
    <x v="1409"/>
    <x v="1407"/>
    <x v="1409"/>
    <x v="14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7DD6E-5DC6-104D-A506-8ECD39A62FC9}" name="PivotTable2" cacheId="2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C12" firstHeaderRow="1" firstDataRow="1" firstDataCol="1"/>
  <pivotFields count="8">
    <pivotField numFmtId="14" showAll="0">
      <items count="14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t="default"/>
      </items>
    </pivotField>
    <pivotField dataField="1" showAll="0">
      <items count="1410">
        <item x="1064"/>
        <item x="1396"/>
        <item x="1065"/>
        <item x="1371"/>
        <item x="425"/>
        <item x="345"/>
        <item x="336"/>
        <item x="340"/>
        <item x="1280"/>
        <item x="1067"/>
        <item x="437"/>
        <item x="1046"/>
        <item x="899"/>
        <item x="648"/>
        <item x="491"/>
        <item x="462"/>
        <item x="1069"/>
        <item x="42"/>
        <item x="806"/>
        <item x="1011"/>
        <item x="365"/>
        <item x="240"/>
        <item x="1073"/>
        <item x="361"/>
        <item x="356"/>
        <item x="362"/>
        <item x="414"/>
        <item x="17"/>
        <item x="502"/>
        <item x="1084"/>
        <item x="329"/>
        <item x="461"/>
        <item x="1066"/>
        <item x="443"/>
        <item x="332"/>
        <item x="1360"/>
        <item x="360"/>
        <item x="670"/>
        <item x="751"/>
        <item x="82"/>
        <item x="16"/>
        <item x="35"/>
        <item x="1263"/>
        <item x="1195"/>
        <item x="50"/>
        <item x="1022"/>
        <item x="1"/>
        <item x="1049"/>
        <item x="466"/>
        <item x="338"/>
        <item x="172"/>
        <item x="1173"/>
        <item x="448"/>
        <item x="1290"/>
        <item x="1013"/>
        <item x="226"/>
        <item x="1085"/>
        <item x="499"/>
        <item x="457"/>
        <item x="1099"/>
        <item x="438"/>
        <item x="322"/>
        <item x="32"/>
        <item x="372"/>
        <item x="671"/>
        <item x="1047"/>
        <item x="939"/>
        <item x="891"/>
        <item x="794"/>
        <item x="327"/>
        <item x="928"/>
        <item x="919"/>
        <item x="297"/>
        <item x="1038"/>
        <item x="134"/>
        <item x="341"/>
        <item x="535"/>
        <item x="253"/>
        <item x="1060"/>
        <item x="299"/>
        <item x="478"/>
        <item x="1002"/>
        <item x="662"/>
        <item x="286"/>
        <item x="86"/>
        <item x="319"/>
        <item x="156"/>
        <item x="793"/>
        <item x="484"/>
        <item x="886"/>
        <item x="1326"/>
        <item x="1146"/>
        <item x="88"/>
        <item x="346"/>
        <item x="188"/>
        <item x="706"/>
        <item x="39"/>
        <item x="1007"/>
        <item x="1026"/>
        <item x="298"/>
        <item x="184"/>
        <item x="496"/>
        <item x="294"/>
        <item x="278"/>
        <item x="684"/>
        <item x="4"/>
        <item x="882"/>
        <item x="1097"/>
        <item x="410"/>
        <item x="1281"/>
        <item x="943"/>
        <item x="1300"/>
        <item x="822"/>
        <item x="474"/>
        <item x="955"/>
        <item x="868"/>
        <item x="1387"/>
        <item x="993"/>
        <item x="178"/>
        <item x="283"/>
        <item x="479"/>
        <item x="850"/>
        <item x="262"/>
        <item x="38"/>
        <item x="1316"/>
        <item x="237"/>
        <item x="385"/>
        <item x="887"/>
        <item x="431"/>
        <item x="279"/>
        <item x="520"/>
        <item x="54"/>
        <item x="680"/>
        <item x="1159"/>
        <item x="456"/>
        <item x="477"/>
        <item x="1075"/>
        <item x="1299"/>
        <item x="771"/>
        <item x="770"/>
        <item x="349"/>
        <item x="1111"/>
        <item x="823"/>
        <item x="215"/>
        <item x="861"/>
        <item x="259"/>
        <item x="315"/>
        <item x="427"/>
        <item x="261"/>
        <item x="1359"/>
        <item x="316"/>
        <item x="1354"/>
        <item x="293"/>
        <item x="177"/>
        <item x="1254"/>
        <item x="833"/>
        <item x="961"/>
        <item x="1221"/>
        <item x="207"/>
        <item x="374"/>
        <item x="538"/>
        <item x="525"/>
        <item x="68"/>
        <item x="285"/>
        <item x="312"/>
        <item x="1397"/>
        <item x="527"/>
        <item x="29"/>
        <item x="460"/>
        <item x="1048"/>
        <item x="649"/>
        <item x="674"/>
        <item x="1303"/>
        <item x="1127"/>
        <item x="897"/>
        <item x="273"/>
        <item x="254"/>
        <item x="1203"/>
        <item x="874"/>
        <item x="1310"/>
        <item x="28"/>
        <item x="568"/>
        <item x="493"/>
        <item x="40"/>
        <item x="1041"/>
        <item x="1356"/>
        <item x="1194"/>
        <item x="490"/>
        <item x="646"/>
        <item x="459"/>
        <item x="1402"/>
        <item x="416"/>
        <item x="960"/>
        <item x="1363"/>
        <item x="598"/>
        <item x="80"/>
        <item x="7"/>
        <item x="433"/>
        <item x="409"/>
        <item x="1240"/>
        <item x="547"/>
        <item x="140"/>
        <item x="1172"/>
        <item x="95"/>
        <item x="380"/>
        <item x="702"/>
        <item x="492"/>
        <item x="657"/>
        <item x="545"/>
        <item x="1284"/>
        <item x="541"/>
        <item x="971"/>
        <item x="133"/>
        <item x="1395"/>
        <item x="1115"/>
        <item x="548"/>
        <item x="498"/>
        <item x="1253"/>
        <item x="1113"/>
        <item x="485"/>
        <item x="8"/>
        <item x="415"/>
        <item x="419"/>
        <item x="705"/>
        <item x="962"/>
        <item x="1000"/>
        <item x="999"/>
        <item x="66"/>
        <item x="1143"/>
        <item x="1390"/>
        <item x="737"/>
        <item x="72"/>
        <item x="264"/>
        <item x="1039"/>
        <item x="1330"/>
        <item x="753"/>
        <item x="252"/>
        <item x="436"/>
        <item x="1358"/>
        <item x="99"/>
        <item x="760"/>
        <item x="559"/>
        <item x="58"/>
        <item x="826"/>
        <item x="141"/>
        <item x="103"/>
        <item x="1233"/>
        <item x="800"/>
        <item x="1109"/>
        <item x="1132"/>
        <item x="968"/>
        <item x="318"/>
        <item x="675"/>
        <item x="1335"/>
        <item x="1095"/>
        <item x="231"/>
        <item x="74"/>
        <item x="295"/>
        <item x="1277"/>
        <item x="290"/>
        <item x="1005"/>
        <item x="1087"/>
        <item x="266"/>
        <item x="1323"/>
        <item x="566"/>
        <item x="780"/>
        <item x="92"/>
        <item x="655"/>
        <item x="819"/>
        <item x="1366"/>
        <item x="867"/>
        <item x="428"/>
        <item x="1295"/>
        <item x="1403"/>
        <item x="629"/>
        <item x="1107"/>
        <item x="744"/>
        <item x="343"/>
        <item x="417"/>
        <item x="504"/>
        <item x="811"/>
        <item x="183"/>
        <item x="1144"/>
        <item x="869"/>
        <item x="533"/>
        <item x="1167"/>
        <item x="1262"/>
        <item x="263"/>
        <item x="1008"/>
        <item x="697"/>
        <item x="445"/>
        <item x="637"/>
        <item x="114"/>
        <item x="1242"/>
        <item x="170"/>
        <item x="787"/>
        <item x="589"/>
        <item x="1058"/>
        <item x="586"/>
        <item x="1245"/>
        <item x="577"/>
        <item x="900"/>
        <item x="422"/>
        <item x="174"/>
        <item x="469"/>
        <item x="732"/>
        <item x="579"/>
        <item x="284"/>
        <item x="186"/>
        <item x="396"/>
        <item x="91"/>
        <item x="127"/>
        <item x="1096"/>
        <item x="44"/>
        <item x="1369"/>
        <item x="837"/>
        <item x="556"/>
        <item x="194"/>
        <item x="768"/>
        <item x="779"/>
        <item x="651"/>
        <item x="685"/>
        <item x="681"/>
        <item x="950"/>
        <item x="391"/>
        <item x="1042"/>
        <item x="699"/>
        <item x="1404"/>
        <item x="1311"/>
        <item x="1329"/>
        <item x="30"/>
        <item x="920"/>
        <item x="1224"/>
        <item x="718"/>
        <item x="742"/>
        <item x="1294"/>
        <item x="812"/>
        <item x="783"/>
        <item x="165"/>
        <item x="161"/>
        <item x="1152"/>
        <item x="1183"/>
        <item x="471"/>
        <item x="808"/>
        <item x="912"/>
        <item x="420"/>
        <item x="865"/>
        <item x="824"/>
        <item x="242"/>
        <item x="389"/>
        <item x="108"/>
        <item x="238"/>
        <item x="483"/>
        <item x="1345"/>
        <item x="625"/>
        <item x="20"/>
        <item x="689"/>
        <item x="608"/>
        <item x="1255"/>
        <item x="1383"/>
        <item x="15"/>
        <item x="46"/>
        <item x="569"/>
        <item x="933"/>
        <item x="1199"/>
        <item x="606"/>
        <item x="620"/>
        <item x="1171"/>
        <item x="534"/>
        <item x="849"/>
        <item x="752"/>
        <item x="788"/>
        <item x="87"/>
        <item x="390"/>
        <item x="700"/>
        <item x="1020"/>
        <item x="647"/>
        <item x="1373"/>
        <item x="1232"/>
        <item x="859"/>
        <item x="1269"/>
        <item x="1145"/>
        <item x="1001"/>
        <item x="922"/>
        <item x="726"/>
        <item x="813"/>
        <item x="528"/>
        <item x="841"/>
        <item x="53"/>
        <item x="1234"/>
        <item x="916"/>
        <item x="1261"/>
        <item x="171"/>
        <item x="1021"/>
        <item x="809"/>
        <item x="817"/>
        <item x="311"/>
        <item x="442"/>
        <item x="790"/>
        <item x="642"/>
        <item x="249"/>
        <item x="24"/>
        <item x="947"/>
        <item x="241"/>
        <item x="585"/>
        <item x="1218"/>
        <item x="49"/>
        <item x="1182"/>
        <item x="111"/>
        <item x="1378"/>
        <item x="432"/>
        <item x="584"/>
        <item x="638"/>
        <item x="155"/>
        <item x="395"/>
        <item x="230"/>
        <item x="1052"/>
        <item x="834"/>
        <item x="792"/>
        <item x="78"/>
        <item x="1119"/>
        <item x="628"/>
        <item x="1131"/>
        <item x="795"/>
        <item x="626"/>
        <item x="615"/>
        <item x="576"/>
        <item x="247"/>
        <item x="777"/>
        <item x="825"/>
        <item x="734"/>
        <item x="617"/>
        <item x="1389"/>
        <item x="208"/>
        <item x="1394"/>
        <item x="213"/>
        <item x="746"/>
        <item x="162"/>
        <item x="1185"/>
        <item x="597"/>
        <item x="553"/>
        <item x="750"/>
        <item x="592"/>
        <item x="729"/>
        <item x="773"/>
        <item x="512"/>
        <item x="100"/>
        <item x="353"/>
        <item x="1054"/>
        <item x="202"/>
        <item x="712"/>
        <item x="761"/>
        <item x="988"/>
        <item x="1191"/>
        <item x="136"/>
        <item x="1156"/>
        <item x="359"/>
        <item x="656"/>
        <item x="1256"/>
        <item x="1320"/>
        <item x="1160"/>
        <item x="941"/>
        <item x="815"/>
        <item x="1211"/>
        <item x="265"/>
        <item x="326"/>
        <item x="1215"/>
        <item x="781"/>
        <item x="892"/>
        <item x="1009"/>
        <item x="148"/>
        <item x="517"/>
        <item x="1289"/>
        <item x="1293"/>
        <item x="1179"/>
        <item x="446"/>
        <item x="25"/>
        <item x="132"/>
        <item x="51"/>
        <item x="1251"/>
        <item x="403"/>
        <item x="935"/>
        <item x="570"/>
        <item x="645"/>
        <item x="195"/>
        <item x="275"/>
        <item x="724"/>
        <item x="531"/>
        <item x="129"/>
        <item x="1260"/>
        <item x="677"/>
        <item x="1370"/>
        <item x="1093"/>
        <item x="784"/>
        <item x="34"/>
        <item x="963"/>
        <item x="1186"/>
        <item x="754"/>
        <item x="560"/>
        <item x="1016"/>
        <item x="1304"/>
        <item x="1305"/>
        <item x="368"/>
        <item x="1210"/>
        <item x="791"/>
        <item x="1292"/>
        <item x="924"/>
        <item x="1098"/>
        <item x="769"/>
        <item x="250"/>
        <item x="211"/>
        <item x="766"/>
        <item x="831"/>
        <item x="540"/>
        <item x="918"/>
        <item x="487"/>
        <item x="1278"/>
        <item x="482"/>
        <item x="1368"/>
        <item x="150"/>
        <item x="694"/>
        <item x="452"/>
        <item x="965"/>
        <item x="565"/>
        <item x="758"/>
        <item x="229"/>
        <item x="1235"/>
        <item x="205"/>
        <item x="1252"/>
        <item x="22"/>
        <item x="1157"/>
        <item x="235"/>
        <item x="268"/>
        <item x="932"/>
        <item x="400"/>
        <item x="593"/>
        <item x="1381"/>
        <item x="747"/>
        <item x="1092"/>
        <item x="630"/>
        <item x="497"/>
        <item x="146"/>
        <item x="1121"/>
        <item x="741"/>
        <item x="192"/>
        <item x="1238"/>
        <item x="101"/>
        <item x="1162"/>
        <item x="716"/>
        <item x="954"/>
        <item x="612"/>
        <item x="1236"/>
        <item x="382"/>
        <item x="70"/>
        <item x="1250"/>
        <item x="77"/>
        <item x="1155"/>
        <item x="1102"/>
        <item x="144"/>
        <item x="408"/>
        <item x="756"/>
        <item x="119"/>
        <item x="1106"/>
        <item x="1343"/>
        <item x="802"/>
        <item x="946"/>
        <item x="118"/>
        <item x="701"/>
        <item x="1148"/>
        <item x="572"/>
        <item x="1275"/>
        <item x="975"/>
        <item x="117"/>
        <item x="607"/>
        <item x="411"/>
        <item x="1003"/>
        <item x="1332"/>
        <item x="292"/>
        <item x="1220"/>
        <item x="1273"/>
        <item x="463"/>
        <item x="398"/>
        <item x="26"/>
        <item x="1086"/>
        <item x="1219"/>
        <item x="1072"/>
        <item x="1140"/>
        <item x="1166"/>
        <item x="1044"/>
        <item x="313"/>
        <item x="619"/>
        <item x="767"/>
        <item x="274"/>
        <item x="176"/>
        <item x="1350"/>
        <item x="782"/>
        <item x="97"/>
        <item x="889"/>
        <item x="1248"/>
        <item x="330"/>
        <item x="1353"/>
        <item x="1158"/>
        <item x="1321"/>
        <item x="1024"/>
        <item x="5"/>
        <item x="399"/>
        <item x="282"/>
        <item x="1214"/>
        <item x="635"/>
        <item x="323"/>
        <item x="93"/>
        <item x="1340"/>
        <item x="1266"/>
        <item x="652"/>
        <item x="927"/>
        <item x="967"/>
        <item x="1139"/>
        <item x="1035"/>
        <item x="1407"/>
        <item x="33"/>
        <item x="325"/>
        <item x="271"/>
        <item x="727"/>
        <item x="406"/>
        <item x="1094"/>
        <item x="354"/>
        <item x="956"/>
        <item x="985"/>
        <item x="1192"/>
        <item x="1043"/>
        <item x="745"/>
        <item x="1015"/>
        <item x="79"/>
        <item x="698"/>
        <item x="796"/>
        <item x="909"/>
        <item x="1135"/>
        <item x="193"/>
        <item x="160"/>
        <item x="509"/>
        <item x="267"/>
        <item x="979"/>
        <item x="1032"/>
        <item x="583"/>
        <item x="494"/>
        <item x="911"/>
        <item x="588"/>
        <item x="98"/>
        <item x="1170"/>
        <item x="149"/>
        <item x="216"/>
        <item x="203"/>
        <item x="603"/>
        <item x="1338"/>
        <item x="1037"/>
        <item x="722"/>
        <item x="1298"/>
        <item x="1222"/>
        <item x="580"/>
        <item x="1319"/>
        <item x="371"/>
        <item x="852"/>
        <item x="218"/>
        <item x="105"/>
        <item x="256"/>
        <item x="573"/>
        <item x="984"/>
        <item x="846"/>
        <item x="1128"/>
        <item x="401"/>
        <item x="653"/>
        <item x="1213"/>
        <item x="1122"/>
        <item x="923"/>
        <item x="513"/>
        <item x="1197"/>
        <item x="616"/>
        <item x="926"/>
        <item x="248"/>
        <item x="748"/>
        <item x="1141"/>
        <item x="888"/>
        <item x="776"/>
        <item x="1307"/>
        <item x="182"/>
        <item x="596"/>
        <item x="845"/>
        <item x="990"/>
        <item x="703"/>
        <item x="1207"/>
        <item x="147"/>
        <item x="740"/>
        <item x="451"/>
        <item x="1187"/>
        <item x="633"/>
        <item x="1142"/>
        <item x="1239"/>
        <item x="1328"/>
        <item x="255"/>
        <item x="1101"/>
        <item x="1309"/>
        <item x="591"/>
        <item x="23"/>
        <item x="1314"/>
        <item x="350"/>
        <item x="973"/>
        <item x="959"/>
        <item x="667"/>
        <item x="937"/>
        <item x="1027"/>
        <item x="31"/>
        <item x="669"/>
        <item x="1257"/>
        <item x="894"/>
        <item x="1243"/>
        <item x="1249"/>
        <item x="153"/>
        <item x="280"/>
        <item x="1386"/>
        <item x="201"/>
        <item x="983"/>
        <item x="57"/>
        <item x="914"/>
        <item x="143"/>
        <item x="686"/>
        <item x="853"/>
        <item x="951"/>
        <item x="599"/>
        <item x="1033"/>
        <item x="289"/>
        <item x="857"/>
        <item x="14"/>
        <item x="347"/>
        <item x="27"/>
        <item x="759"/>
        <item x="1283"/>
        <item x="151"/>
        <item x="885"/>
        <item x="412"/>
        <item x="623"/>
        <item x="317"/>
        <item x="1241"/>
        <item x="839"/>
        <item x="578"/>
        <item x="481"/>
        <item x="83"/>
        <item x="333"/>
        <item x="1202"/>
        <item x="1006"/>
        <item x="906"/>
        <item x="1291"/>
        <item x="441"/>
        <item x="1228"/>
        <item x="1112"/>
        <item x="610"/>
        <item x="893"/>
        <item x="929"/>
        <item x="1406"/>
        <item x="749"/>
        <item x="36"/>
        <item x="434"/>
        <item x="123"/>
        <item x="157"/>
        <item x="1133"/>
        <item x="444"/>
        <item x="1051"/>
        <item x="224"/>
        <item x="529"/>
        <item x="214"/>
        <item x="62"/>
        <item x="501"/>
        <item x="1118"/>
        <item x="627"/>
        <item x="940"/>
        <item x="704"/>
        <item x="895"/>
        <item x="258"/>
        <item x="1208"/>
        <item x="551"/>
        <item x="910"/>
        <item x="799"/>
        <item x="658"/>
        <item x="709"/>
        <item x="1265"/>
        <item x="139"/>
        <item x="536"/>
        <item x="223"/>
        <item x="73"/>
        <item x="1401"/>
        <item x="76"/>
        <item x="720"/>
        <item x="687"/>
        <item x="730"/>
        <item x="996"/>
        <item x="1259"/>
        <item x="107"/>
        <item x="1357"/>
        <item x="870"/>
        <item x="1063"/>
        <item x="974"/>
        <item x="644"/>
        <item x="998"/>
        <item x="728"/>
        <item x="1188"/>
        <item x="1025"/>
        <item x="225"/>
        <item x="537"/>
        <item x="200"/>
        <item x="1258"/>
        <item x="179"/>
        <item x="1190"/>
        <item x="613"/>
        <item x="672"/>
        <item x="725"/>
        <item x="1388"/>
        <item x="1178"/>
        <item x="1361"/>
        <item x="393"/>
        <item x="212"/>
        <item x="594"/>
        <item x="957"/>
        <item x="245"/>
        <item x="1297"/>
        <item x="1212"/>
        <item x="308"/>
        <item x="915"/>
        <item x="880"/>
        <item x="473"/>
        <item x="1346"/>
        <item x="838"/>
        <item x="1227"/>
        <item x="1264"/>
        <item x="1083"/>
        <item x="173"/>
        <item x="1308"/>
        <item x="464"/>
        <item x="1034"/>
        <item x="112"/>
        <item x="969"/>
        <item x="934"/>
        <item x="873"/>
        <item x="632"/>
        <item x="506"/>
        <item x="778"/>
        <item x="1080"/>
        <item x="542"/>
        <item x="987"/>
        <item x="55"/>
        <item x="465"/>
        <item x="785"/>
        <item x="1223"/>
        <item x="639"/>
        <item x="168"/>
        <item x="1104"/>
        <item x="1079"/>
        <item x="1333"/>
        <item x="1204"/>
        <item x="507"/>
        <item x="871"/>
        <item x="166"/>
        <item x="1103"/>
        <item x="816"/>
        <item x="640"/>
        <item x="1400"/>
        <item x="641"/>
        <item x="1216"/>
        <item x="142"/>
        <item x="204"/>
        <item x="1019"/>
        <item x="122"/>
        <item x="1271"/>
        <item x="1229"/>
        <item x="890"/>
        <item x="418"/>
        <item x="379"/>
        <item x="337"/>
        <item x="1062"/>
        <item x="605"/>
        <item x="1147"/>
        <item x="814"/>
        <item x="1116"/>
        <item x="682"/>
        <item x="942"/>
        <item x="855"/>
        <item x="1134"/>
        <item x="309"/>
        <item x="696"/>
        <item x="71"/>
        <item x="936"/>
        <item x="827"/>
        <item x="1081"/>
        <item x="260"/>
        <item x="1246"/>
        <item x="56"/>
        <item x="1164"/>
        <item x="830"/>
        <item x="1126"/>
        <item x="357"/>
        <item x="1399"/>
        <item x="854"/>
        <item x="1089"/>
        <item x="807"/>
        <item x="650"/>
        <item x="1247"/>
        <item x="85"/>
        <item x="1352"/>
        <item x="1014"/>
        <item x="743"/>
        <item x="1129"/>
        <item x="9"/>
        <item x="1244"/>
        <item x="864"/>
        <item x="1169"/>
        <item x="567"/>
        <item x="1136"/>
        <item x="1302"/>
        <item x="757"/>
        <item x="1237"/>
        <item x="877"/>
        <item x="715"/>
        <item x="976"/>
        <item x="908"/>
        <item x="476"/>
        <item x="989"/>
        <item x="1130"/>
        <item x="1286"/>
        <item x="1110"/>
        <item x="1082"/>
        <item x="1177"/>
        <item x="1318"/>
        <item x="175"/>
        <item x="1137"/>
        <item x="1193"/>
        <item x="847"/>
        <item x="843"/>
        <item x="679"/>
        <item x="102"/>
        <item x="1120"/>
        <item x="953"/>
        <item x="1209"/>
        <item x="190"/>
        <item x="1382"/>
        <item x="1036"/>
        <item x="1088"/>
        <item x="622"/>
        <item x="405"/>
        <item x="1198"/>
        <item x="19"/>
        <item x="803"/>
        <item x="828"/>
        <item x="302"/>
        <item x="185"/>
        <item x="964"/>
        <item x="879"/>
        <item x="435"/>
        <item x="1189"/>
        <item x="673"/>
        <item x="1279"/>
        <item x="765"/>
        <item x="219"/>
        <item x="106"/>
        <item x="363"/>
        <item x="600"/>
        <item x="181"/>
        <item x="328"/>
        <item x="1004"/>
        <item x="1344"/>
        <item x="489"/>
        <item x="731"/>
        <item x="381"/>
        <item x="848"/>
        <item x="898"/>
        <item x="921"/>
        <item x="60"/>
        <item x="1367"/>
        <item x="575"/>
        <item x="557"/>
        <item x="994"/>
        <item x="272"/>
        <item x="636"/>
        <item x="209"/>
        <item x="904"/>
        <item x="1270"/>
        <item x="163"/>
        <item x="691"/>
        <item x="818"/>
        <item x="1341"/>
        <item x="1313"/>
        <item x="690"/>
        <item x="683"/>
        <item x="736"/>
        <item x="167"/>
        <item x="574"/>
        <item x="197"/>
        <item x="1012"/>
        <item x="582"/>
        <item x="1288"/>
        <item x="564"/>
        <item x="659"/>
        <item x="1105"/>
        <item x="858"/>
        <item x="130"/>
        <item x="522"/>
        <item x="695"/>
        <item x="660"/>
        <item x="738"/>
        <item x="707"/>
        <item x="1276"/>
        <item x="789"/>
        <item x="187"/>
        <item x="1351"/>
        <item x="81"/>
        <item x="306"/>
        <item x="539"/>
        <item x="277"/>
        <item x="558"/>
        <item x="546"/>
        <item x="693"/>
        <item x="668"/>
        <item x="304"/>
        <item x="958"/>
        <item x="821"/>
        <item x="3"/>
        <item x="775"/>
        <item x="511"/>
        <item x="676"/>
        <item x="407"/>
        <item x="1379"/>
        <item x="664"/>
        <item x="1165"/>
        <item x="631"/>
        <item x="521"/>
        <item x="1380"/>
        <item x="1138"/>
        <item x="721"/>
        <item x="1348"/>
        <item x="191"/>
        <item x="421"/>
        <item x="856"/>
        <item x="723"/>
        <item x="654"/>
        <item x="1296"/>
        <item x="978"/>
        <item x="1393"/>
        <item x="450"/>
        <item x="1163"/>
        <item x="1365"/>
        <item x="981"/>
        <item x="426"/>
        <item x="377"/>
        <item x="334"/>
        <item x="137"/>
        <item x="992"/>
        <item x="1196"/>
        <item x="210"/>
        <item x="109"/>
        <item x="774"/>
        <item x="562"/>
        <item x="1405"/>
        <item x="840"/>
        <item x="1114"/>
        <item x="516"/>
        <item x="510"/>
        <item x="735"/>
        <item x="1091"/>
        <item x="158"/>
        <item x="980"/>
        <item x="797"/>
        <item x="159"/>
        <item x="913"/>
        <item x="503"/>
        <item x="590"/>
        <item x="1325"/>
        <item x="1059"/>
        <item x="602"/>
        <item x="41"/>
        <item x="1301"/>
        <item x="1153"/>
        <item x="1231"/>
        <item x="801"/>
        <item x="1347"/>
        <item x="949"/>
        <item x="1268"/>
        <item x="614"/>
        <item x="1176"/>
        <item x="786"/>
        <item x="1056"/>
        <item x="384"/>
        <item x="997"/>
        <item x="1315"/>
        <item x="121"/>
        <item x="320"/>
        <item x="366"/>
        <item x="1331"/>
        <item x="925"/>
        <item x="1392"/>
        <item x="1337"/>
        <item x="991"/>
        <item x="198"/>
        <item x="798"/>
        <item x="470"/>
        <item x="555"/>
        <item x="138"/>
        <item x="1053"/>
        <item x="486"/>
        <item x="764"/>
        <item x="844"/>
        <item x="952"/>
        <item x="708"/>
        <item x="0"/>
        <item x="860"/>
        <item x="1205"/>
        <item x="901"/>
        <item x="120"/>
        <item x="1349"/>
        <item x="113"/>
        <item x="663"/>
        <item x="145"/>
        <item x="116"/>
        <item x="829"/>
        <item x="1031"/>
        <item x="1161"/>
        <item x="48"/>
        <item x="982"/>
        <item x="84"/>
        <item x="1124"/>
        <item x="288"/>
        <item x="472"/>
        <item x="373"/>
        <item x="883"/>
        <item x="977"/>
        <item x="128"/>
        <item x="1377"/>
        <item x="549"/>
        <item x="96"/>
        <item x="772"/>
        <item x="63"/>
        <item x="972"/>
        <item x="643"/>
        <item x="387"/>
        <item x="907"/>
        <item x="154"/>
        <item x="804"/>
        <item x="595"/>
        <item x="1057"/>
        <item x="519"/>
        <item x="903"/>
        <item x="970"/>
        <item x="1342"/>
        <item x="1362"/>
        <item x="532"/>
        <item x="1074"/>
        <item x="550"/>
        <item x="115"/>
        <item x="601"/>
        <item x="1306"/>
        <item x="324"/>
        <item x="189"/>
        <item x="719"/>
        <item x="1174"/>
        <item x="217"/>
        <item x="714"/>
        <item x="1408"/>
        <item x="917"/>
        <item x="713"/>
        <item x="475"/>
        <item x="805"/>
        <item x="125"/>
        <item x="692"/>
        <item x="454"/>
        <item x="518"/>
        <item x="688"/>
        <item x="413"/>
        <item x="896"/>
        <item x="621"/>
        <item x="199"/>
        <item x="388"/>
        <item x="1230"/>
        <item x="244"/>
        <item x="1285"/>
        <item x="609"/>
        <item x="554"/>
        <item x="169"/>
        <item x="763"/>
        <item x="611"/>
        <item x="563"/>
        <item x="430"/>
        <item x="1045"/>
        <item x="604"/>
        <item x="1154"/>
        <item x="12"/>
        <item x="986"/>
        <item x="339"/>
        <item x="375"/>
        <item x="6"/>
        <item x="876"/>
        <item x="1226"/>
        <item x="321"/>
        <item x="488"/>
        <item x="1108"/>
        <item x="948"/>
        <item x="220"/>
        <item x="45"/>
        <item x="18"/>
        <item x="618"/>
        <item x="851"/>
        <item x="902"/>
        <item x="287"/>
        <item x="739"/>
        <item x="945"/>
        <item x="884"/>
        <item x="257"/>
        <item x="355"/>
        <item x="180"/>
        <item x="678"/>
        <item x="222"/>
        <item x="905"/>
        <item x="634"/>
        <item x="1375"/>
        <item x="1175"/>
        <item x="358"/>
        <item x="1385"/>
        <item x="842"/>
        <item x="89"/>
        <item x="126"/>
        <item x="930"/>
        <item x="75"/>
        <item x="1184"/>
        <item x="1364"/>
        <item x="1050"/>
        <item x="1029"/>
        <item x="944"/>
        <item x="1078"/>
        <item x="276"/>
        <item x="544"/>
        <item x="552"/>
        <item x="69"/>
        <item x="710"/>
        <item x="59"/>
        <item x="881"/>
        <item x="530"/>
        <item x="995"/>
        <item x="423"/>
        <item x="376"/>
        <item x="104"/>
        <item x="243"/>
        <item x="1040"/>
        <item x="310"/>
        <item x="666"/>
        <item x="514"/>
        <item x="64"/>
        <item x="526"/>
        <item x="468"/>
        <item x="455"/>
        <item x="1061"/>
        <item x="1055"/>
        <item x="1200"/>
        <item x="124"/>
        <item x="1398"/>
        <item x="866"/>
        <item x="1030"/>
        <item x="1010"/>
        <item x="1225"/>
        <item x="561"/>
        <item x="90"/>
        <item x="872"/>
        <item x="364"/>
        <item x="196"/>
        <item x="65"/>
        <item x="1123"/>
        <item x="1339"/>
        <item x="383"/>
        <item x="291"/>
        <item x="711"/>
        <item x="152"/>
        <item x="305"/>
        <item x="303"/>
        <item x="1023"/>
        <item x="94"/>
        <item x="733"/>
        <item x="508"/>
        <item x="810"/>
        <item x="1317"/>
        <item x="966"/>
        <item x="404"/>
        <item x="232"/>
        <item x="369"/>
        <item x="1217"/>
        <item x="878"/>
        <item x="665"/>
        <item x="1028"/>
        <item x="227"/>
        <item x="661"/>
        <item x="835"/>
        <item x="1071"/>
        <item x="1125"/>
        <item x="1287"/>
        <item x="1117"/>
        <item x="307"/>
        <item x="234"/>
        <item x="1206"/>
        <item x="938"/>
        <item x="246"/>
        <item x="624"/>
        <item x="281"/>
        <item x="351"/>
        <item x="717"/>
        <item x="515"/>
        <item x="61"/>
        <item x="314"/>
        <item x="495"/>
        <item x="378"/>
        <item x="131"/>
        <item x="755"/>
        <item x="67"/>
        <item x="1077"/>
        <item x="524"/>
        <item x="47"/>
        <item x="370"/>
        <item x="110"/>
        <item x="832"/>
        <item x="206"/>
        <item x="251"/>
        <item x="429"/>
        <item x="1100"/>
        <item x="344"/>
        <item x="440"/>
        <item x="21"/>
        <item x="1324"/>
        <item x="135"/>
        <item x="1274"/>
        <item x="270"/>
        <item x="402"/>
        <item x="1327"/>
        <item x="1336"/>
        <item x="386"/>
        <item x="1374"/>
        <item x="453"/>
        <item x="13"/>
        <item x="236"/>
        <item x="500"/>
        <item x="52"/>
        <item x="581"/>
        <item x="239"/>
        <item x="221"/>
        <item x="863"/>
        <item x="301"/>
        <item x="1355"/>
        <item x="1312"/>
        <item x="875"/>
        <item x="449"/>
        <item x="1322"/>
        <item x="300"/>
        <item x="1267"/>
        <item x="164"/>
        <item x="439"/>
        <item x="1372"/>
        <item x="228"/>
        <item x="1282"/>
        <item x="1017"/>
        <item x="1150"/>
        <item x="342"/>
        <item x="1180"/>
        <item x="1334"/>
        <item x="762"/>
        <item x="367"/>
        <item x="394"/>
        <item x="10"/>
        <item x="447"/>
        <item x="1076"/>
        <item x="571"/>
        <item x="2"/>
        <item x="392"/>
        <item x="296"/>
        <item x="543"/>
        <item x="1391"/>
        <item x="233"/>
        <item x="1018"/>
        <item x="11"/>
        <item x="505"/>
        <item x="523"/>
        <item x="931"/>
        <item x="1168"/>
        <item x="397"/>
        <item x="424"/>
        <item x="1201"/>
        <item x="348"/>
        <item x="1384"/>
        <item x="1272"/>
        <item x="1070"/>
        <item x="43"/>
        <item x="352"/>
        <item x="335"/>
        <item x="1151"/>
        <item x="1181"/>
        <item x="820"/>
        <item x="331"/>
        <item x="587"/>
        <item x="1376"/>
        <item x="480"/>
        <item x="1149"/>
        <item x="37"/>
        <item x="836"/>
        <item x="1090"/>
        <item x="269"/>
        <item x="862"/>
        <item x="458"/>
        <item x="467"/>
        <item x="1068"/>
        <item t="default"/>
      </items>
    </pivotField>
    <pivotField dataField="1" showAll="0">
      <items count="1410">
        <item x="1062"/>
        <item x="1065"/>
        <item x="643"/>
        <item x="519"/>
        <item x="1091"/>
        <item x="1395"/>
        <item x="17"/>
        <item x="468"/>
        <item x="658"/>
        <item x="372"/>
        <item x="572"/>
        <item x="241"/>
        <item x="1006"/>
        <item x="1384"/>
        <item x="36"/>
        <item x="425"/>
        <item x="506"/>
        <item x="1367"/>
        <item x="849"/>
        <item x="228"/>
        <item x="1353"/>
        <item x="1294"/>
        <item x="706"/>
        <item x="1241"/>
        <item x="385"/>
        <item x="171"/>
        <item x="813"/>
        <item x="101"/>
        <item x="1364"/>
        <item x="895"/>
        <item x="699"/>
        <item x="822"/>
        <item x="1302"/>
        <item x="403"/>
        <item x="743"/>
        <item x="295"/>
        <item x="40"/>
        <item x="360"/>
        <item x="1326"/>
        <item x="114"/>
        <item x="715"/>
        <item x="1014"/>
        <item x="442"/>
        <item x="287"/>
        <item x="336"/>
        <item x="991"/>
        <item x="345"/>
        <item x="554"/>
        <item x="1115"/>
        <item x="850"/>
        <item x="1048"/>
        <item x="1038"/>
        <item x="1285"/>
        <item x="1344"/>
        <item x="1207"/>
        <item x="851"/>
        <item x="39"/>
        <item x="898"/>
        <item x="1374"/>
        <item x="988"/>
        <item x="1323"/>
        <item x="1179"/>
        <item x="414"/>
        <item x="1066"/>
        <item x="956"/>
        <item x="705"/>
        <item x="1387"/>
        <item x="31"/>
        <item x="669"/>
        <item x="531"/>
        <item x="1018"/>
        <item x="764"/>
        <item x="332"/>
        <item x="1380"/>
        <item x="398"/>
        <item x="194"/>
        <item x="982"/>
        <item x="419"/>
        <item x="169"/>
        <item x="578"/>
        <item x="968"/>
        <item x="461"/>
        <item x="186"/>
        <item x="363"/>
        <item x="924"/>
        <item x="15"/>
        <item x="539"/>
        <item x="1383"/>
        <item x="832"/>
        <item x="1069"/>
        <item x="512"/>
        <item x="1145"/>
        <item x="1077"/>
        <item x="484"/>
        <item x="1325"/>
        <item x="534"/>
        <item x="1253"/>
        <item x="386"/>
        <item x="627"/>
        <item x="1379"/>
        <item x="599"/>
        <item x="920"/>
        <item x="899"/>
        <item x="1377"/>
        <item x="792"/>
        <item x="381"/>
        <item x="1092"/>
        <item x="676"/>
        <item x="330"/>
        <item x="1057"/>
        <item x="846"/>
        <item x="1233"/>
        <item x="952"/>
        <item x="1211"/>
        <item x="694"/>
        <item x="818"/>
        <item x="1329"/>
        <item x="285"/>
        <item x="527"/>
        <item x="934"/>
        <item x="67"/>
        <item x="955"/>
        <item x="223"/>
        <item x="1335"/>
        <item x="312"/>
        <item x="624"/>
        <item x="583"/>
        <item x="893"/>
        <item x="870"/>
        <item x="156"/>
        <item x="109"/>
        <item x="491"/>
        <item x="280"/>
        <item x="666"/>
        <item x="319"/>
        <item x="160"/>
        <item x="323"/>
        <item x="983"/>
        <item x="857"/>
        <item x="1142"/>
        <item x="889"/>
        <item x="733"/>
        <item x="205"/>
        <item x="1350"/>
        <item x="278"/>
        <item x="132"/>
        <item x="684"/>
        <item x="1114"/>
        <item x="1083"/>
        <item x="1319"/>
        <item x="962"/>
        <item x="663"/>
        <item x="1000"/>
        <item x="800"/>
        <item x="1334"/>
        <item x="265"/>
        <item x="759"/>
        <item x="829"/>
        <item x="973"/>
        <item x="814"/>
        <item x="993"/>
        <item x="546"/>
        <item x="1181"/>
        <item x="619"/>
        <item x="537"/>
        <item x="1042"/>
        <item x="303"/>
        <item x="772"/>
        <item x="404"/>
        <item x="437"/>
        <item x="1047"/>
        <item x="1135"/>
        <item x="740"/>
        <item x="1116"/>
        <item x="1205"/>
        <item x="284"/>
        <item x="552"/>
        <item x="257"/>
        <item x="1316"/>
        <item x="443"/>
        <item x="65"/>
        <item x="702"/>
        <item x="1133"/>
        <item x="1088"/>
        <item x="492"/>
        <item x="431"/>
        <item x="354"/>
        <item x="279"/>
        <item x="333"/>
        <item x="362"/>
        <item x="799"/>
        <item x="776"/>
        <item x="327"/>
        <item x="350"/>
        <item x="558"/>
        <item x="314"/>
        <item x="1243"/>
        <item x="1202"/>
        <item x="1330"/>
        <item x="544"/>
        <item x="1338"/>
        <item x="819"/>
        <item x="1305"/>
        <item x="647"/>
        <item x="958"/>
        <item x="904"/>
        <item x="1244"/>
        <item x="1089"/>
        <item x="60"/>
        <item x="862"/>
        <item x="301"/>
        <item x="698"/>
        <item x="28"/>
        <item x="218"/>
        <item x="802"/>
        <item x="660"/>
        <item x="19"/>
        <item x="80"/>
        <item x="970"/>
        <item x="346"/>
        <item x="33"/>
        <item x="106"/>
        <item x="779"/>
        <item x="657"/>
        <item x="411"/>
        <item x="353"/>
        <item x="289"/>
        <item x="820"/>
        <item x="258"/>
        <item x="1315"/>
        <item x="74"/>
        <item x="76"/>
        <item x="1256"/>
        <item x="834"/>
        <item x="487"/>
        <item x="1236"/>
        <item x="271"/>
        <item x="1381"/>
        <item x="87"/>
        <item x="994"/>
        <item x="1354"/>
        <item x="966"/>
        <item x="930"/>
        <item x="726"/>
        <item x="466"/>
        <item x="263"/>
        <item x="451"/>
        <item x="659"/>
        <item x="430"/>
        <item x="429"/>
        <item x="734"/>
        <item x="188"/>
        <item x="5"/>
        <item x="1106"/>
        <item x="587"/>
        <item x="683"/>
        <item x="415"/>
        <item x="376"/>
        <item x="1403"/>
        <item x="680"/>
        <item x="1053"/>
        <item x="591"/>
        <item x="1230"/>
        <item x="1025"/>
        <item x="1111"/>
        <item x="524"/>
        <item x="1165"/>
        <item x="1397"/>
        <item x="626"/>
        <item x="1141"/>
        <item x="1246"/>
        <item x="667"/>
        <item x="886"/>
        <item x="504"/>
        <item x="216"/>
        <item x="78"/>
        <item x="545"/>
        <item x="198"/>
        <item x="965"/>
        <item x="1292"/>
        <item x="134"/>
        <item x="183"/>
        <item x="686"/>
        <item x="250"/>
        <item x="681"/>
        <item x="1085"/>
        <item x="329"/>
        <item x="438"/>
        <item x="212"/>
        <item x="532"/>
        <item x="173"/>
        <item x="1031"/>
        <item x="479"/>
        <item x="872"/>
        <item x="1289"/>
        <item x="828"/>
        <item x="878"/>
        <item x="105"/>
        <item x="417"/>
        <item x="361"/>
        <item x="161"/>
        <item x="1173"/>
        <item x="1257"/>
        <item x="1406"/>
        <item x="1172"/>
        <item x="172"/>
        <item x="274"/>
        <item x="226"/>
        <item x="787"/>
        <item x="801"/>
        <item x="187"/>
        <item x="984"/>
        <item x="1105"/>
        <item x="735"/>
        <item x="230"/>
        <item x="1117"/>
        <item x="58"/>
        <item x="511"/>
        <item x="434"/>
        <item x="283"/>
        <item x="259"/>
        <item x="117"/>
        <item x="174"/>
        <item x="1153"/>
        <item x="125"/>
        <item x="1322"/>
        <item x="359"/>
        <item x="98"/>
        <item x="146"/>
        <item x="1293"/>
        <item x="342"/>
        <item x="77"/>
        <item x="932"/>
        <item x="387"/>
        <item x="178"/>
        <item x="396"/>
        <item x="1277"/>
        <item x="523"/>
        <item x="1029"/>
        <item x="629"/>
        <item x="929"/>
        <item x="260"/>
        <item x="575"/>
        <item x="206"/>
        <item x="340"/>
        <item x="596"/>
        <item x="221"/>
        <item x="1101"/>
        <item x="1339"/>
        <item x="162"/>
        <item x="111"/>
        <item x="765"/>
        <item x="400"/>
        <item x="1177"/>
        <item x="713"/>
        <item x="816"/>
        <item x="651"/>
        <item x="219"/>
        <item x="773"/>
        <item x="459"/>
        <item x="501"/>
        <item x="939"/>
        <item x="460"/>
        <item x="1144"/>
        <item x="509"/>
        <item x="566"/>
        <item x="1131"/>
        <item x="1012"/>
        <item x="633"/>
        <item x="256"/>
        <item x="1162"/>
        <item x="408"/>
        <item x="1072"/>
        <item x="1127"/>
        <item x="942"/>
        <item x="305"/>
        <item x="1021"/>
        <item x="887"/>
        <item x="960"/>
        <item x="780"/>
        <item x="514"/>
        <item x="20"/>
        <item x="830"/>
        <item x="836"/>
        <item x="903"/>
        <item x="1213"/>
        <item x="435"/>
        <item x="584"/>
        <item x="1288"/>
        <item x="540"/>
        <item x="1394"/>
        <item x="1281"/>
        <item x="26"/>
        <item x="757"/>
        <item x="1314"/>
        <item x="261"/>
        <item x="530"/>
        <item x="499"/>
        <item x="835"/>
        <item x="159"/>
        <item x="883"/>
        <item x="193"/>
        <item x="322"/>
        <item x="4"/>
        <item x="448"/>
        <item x="83"/>
        <item x="1366"/>
        <item x="940"/>
        <item x="1002"/>
        <item x="1262"/>
        <item x="1337"/>
        <item x="356"/>
        <item x="1067"/>
        <item x="589"/>
        <item x="88"/>
        <item x="931"/>
        <item x="11"/>
        <item x="59"/>
        <item x="399"/>
        <item x="794"/>
        <item x="64"/>
        <item x="1299"/>
        <item x="518"/>
        <item x="687"/>
        <item x="306"/>
        <item x="1098"/>
        <item x="49"/>
        <item x="1176"/>
        <item x="769"/>
        <item x="921"/>
        <item x="1004"/>
        <item x="496"/>
        <item x="517"/>
        <item x="180"/>
        <item x="366"/>
        <item x="714"/>
        <item x="999"/>
        <item x="665"/>
        <item x="803"/>
        <item x="410"/>
        <item x="1163"/>
        <item x="416"/>
        <item x="395"/>
        <item x="1075"/>
        <item x="1303"/>
        <item x="450"/>
        <item x="630"/>
        <item x="290"/>
        <item x="213"/>
        <item x="254"/>
        <item x="1086"/>
        <item x="771"/>
        <item x="603"/>
        <item x="148"/>
        <item x="806"/>
        <item x="275"/>
        <item x="412"/>
        <item x="625"/>
        <item x="510"/>
        <item x="243"/>
        <item x="594"/>
        <item x="210"/>
        <item x="655"/>
        <item x="355"/>
        <item x="1250"/>
        <item x="1097"/>
        <item x="262"/>
        <item x="1229"/>
        <item x="441"/>
        <item x="165"/>
        <item x="182"/>
        <item x="964"/>
        <item x="1347"/>
        <item x="1298"/>
        <item x="795"/>
        <item x="888"/>
        <item x="1078"/>
        <item x="654"/>
        <item x="326"/>
        <item x="804"/>
        <item x="1309"/>
        <item x="242"/>
        <item x="177"/>
        <item x="225"/>
        <item x="875"/>
        <item x="211"/>
        <item x="141"/>
        <item x="565"/>
        <item x="1355"/>
        <item x="967"/>
        <item x="392"/>
        <item x="97"/>
        <item x="989"/>
        <item x="1234"/>
        <item x="933"/>
        <item x="700"/>
        <item x="252"/>
        <item x="51"/>
        <item x="1359"/>
        <item x="811"/>
        <item x="317"/>
        <item x="18"/>
        <item x="914"/>
        <item x="515"/>
        <item x="1191"/>
        <item x="192"/>
        <item x="1026"/>
        <item x="861"/>
        <item x="871"/>
        <item x="980"/>
        <item x="987"/>
        <item x="236"/>
        <item x="1175"/>
        <item x="10"/>
        <item x="170"/>
        <item x="1204"/>
        <item x="507"/>
        <item x="1400"/>
        <item x="653"/>
        <item x="382"/>
        <item x="876"/>
        <item x="201"/>
        <item x="1125"/>
        <item x="264"/>
        <item x="586"/>
        <item x="1079"/>
        <item x="214"/>
        <item x="1157"/>
        <item x="337"/>
        <item x="184"/>
        <item x="593"/>
        <item x="538"/>
        <item x="8"/>
        <item x="93"/>
        <item x="1300"/>
        <item x="1215"/>
        <item x="163"/>
        <item x="568"/>
        <item x="976"/>
        <item x="1352"/>
        <item x="752"/>
        <item x="1320"/>
        <item x="620"/>
        <item x="1056"/>
        <item x="732"/>
        <item x="551"/>
        <item x="721"/>
        <item x="1263"/>
        <item x="3"/>
        <item x="866"/>
        <item x="1365"/>
        <item x="621"/>
        <item x="635"/>
        <item x="724"/>
        <item x="334"/>
        <item x="127"/>
        <item x="1332"/>
        <item x="1270"/>
        <item x="1195"/>
        <item x="38"/>
        <item x="50"/>
        <item x="998"/>
        <item x="1170"/>
        <item x="1022"/>
        <item x="298"/>
        <item x="1043"/>
        <item x="1121"/>
        <item x="1208"/>
        <item x="1148"/>
        <item x="1171"/>
        <item x="678"/>
        <item x="570"/>
        <item x="133"/>
        <item x="508"/>
        <item x="129"/>
        <item x="455"/>
        <item x="609"/>
        <item x="99"/>
        <item x="1235"/>
        <item x="1324"/>
        <item x="675"/>
        <item x="616"/>
        <item x="6"/>
        <item x="682"/>
        <item x="1007"/>
        <item x="685"/>
        <item x="985"/>
        <item x="535"/>
        <item x="981"/>
        <item x="513"/>
        <item x="339"/>
        <item x="116"/>
        <item x="592"/>
        <item x="1313"/>
        <item x="941"/>
        <item x="590"/>
        <item x="130"/>
        <item x="379"/>
        <item x="1278"/>
        <item x="176"/>
        <item x="120"/>
        <item x="716"/>
        <item x="782"/>
        <item x="693"/>
        <item x="1050"/>
        <item x="925"/>
        <item x="493"/>
        <item x="703"/>
        <item x="790"/>
        <item x="571"/>
        <item x="439"/>
        <item x="103"/>
        <item x="598"/>
        <item x="1210"/>
        <item x="53"/>
        <item x="371"/>
        <item x="1264"/>
        <item x="351"/>
        <item x="606"/>
        <item x="1149"/>
        <item x="768"/>
        <item x="945"/>
        <item x="618"/>
        <item x="541"/>
        <item x="1248"/>
        <item x="815"/>
        <item x="610"/>
        <item x="1362"/>
        <item x="95"/>
        <item x="1307"/>
        <item x="650"/>
        <item x="32"/>
        <item x="581"/>
        <item x="615"/>
        <item x="282"/>
        <item x="760"/>
        <item x="483"/>
        <item x="200"/>
        <item x="1206"/>
        <item x="1090"/>
        <item x="1132"/>
        <item x="775"/>
        <item x="310"/>
        <item x="1282"/>
        <item x="900"/>
        <item x="1232"/>
        <item x="938"/>
        <item x="424"/>
        <item x="104"/>
        <item x="600"/>
        <item x="597"/>
        <item x="1189"/>
        <item x="767"/>
        <item x="112"/>
        <item x="1249"/>
        <item x="1168"/>
        <item x="536"/>
        <item x="812"/>
        <item x="567"/>
        <item x="498"/>
        <item x="1327"/>
        <item x="1197"/>
        <item x="446"/>
        <item x="62"/>
        <item x="847"/>
        <item x="1271"/>
        <item x="978"/>
        <item x="401"/>
        <item x="277"/>
        <item x="357"/>
        <item x="807"/>
        <item x="805"/>
        <item x="45"/>
        <item x="634"/>
        <item x="273"/>
        <item x="142"/>
        <item x="1375"/>
        <item x="1318"/>
        <item x="407"/>
        <item x="121"/>
        <item x="936"/>
        <item x="737"/>
        <item x="143"/>
        <item x="664"/>
        <item x="601"/>
        <item x="486"/>
        <item x="151"/>
        <item x="1054"/>
        <item x="1051"/>
        <item x="207"/>
        <item x="1251"/>
        <item x="718"/>
        <item x="1306"/>
        <item x="525"/>
        <item x="863"/>
        <item x="373"/>
        <item x="320"/>
        <item x="860"/>
        <item x="150"/>
        <item x="92"/>
        <item x="55"/>
        <item x="1231"/>
        <item x="380"/>
        <item x="840"/>
        <item x="856"/>
        <item x="144"/>
        <item x="852"/>
        <item x="649"/>
        <item x="139"/>
        <item x="821"/>
        <item x="928"/>
        <item x="30"/>
        <item x="286"/>
        <item x="1340"/>
        <item x="1160"/>
        <item x="478"/>
        <item x="1032"/>
        <item x="1291"/>
        <item x="365"/>
        <item x="555"/>
        <item x="905"/>
        <item x="457"/>
        <item x="1120"/>
        <item x="755"/>
        <item x="864"/>
        <item x="1183"/>
        <item x="168"/>
        <item x="73"/>
        <item x="963"/>
        <item x="974"/>
        <item x="560"/>
        <item x="482"/>
        <item x="793"/>
        <item x="770"/>
        <item x="208"/>
        <item x="1049"/>
        <item x="947"/>
        <item x="377"/>
        <item x="837"/>
        <item x="1196"/>
        <item x="695"/>
        <item x="91"/>
        <item x="943"/>
        <item x="749"/>
        <item x="35"/>
        <item x="842"/>
        <item x="476"/>
        <item x="494"/>
        <item x="949"/>
        <item x="378"/>
        <item x="950"/>
        <item x="689"/>
        <item x="1003"/>
        <item x="788"/>
        <item x="919"/>
        <item x="882"/>
        <item x="1104"/>
        <item x="688"/>
        <item x="1016"/>
        <item x="668"/>
        <item x="526"/>
        <item x="1109"/>
        <item x="477"/>
        <item x="444"/>
        <item x="747"/>
        <item x="63"/>
        <item x="1304"/>
        <item x="383"/>
        <item x="810"/>
        <item x="748"/>
        <item x="756"/>
        <item x="908"/>
        <item x="1010"/>
        <item x="90"/>
        <item x="838"/>
        <item x="1356"/>
        <item x="628"/>
        <item x="1343"/>
        <item x="1198"/>
        <item x="961"/>
        <item x="1164"/>
        <item x="462"/>
        <item x="1155"/>
        <item x="297"/>
        <item x="741"/>
        <item x="881"/>
        <item x="394"/>
        <item x="907"/>
        <item x="1073"/>
        <item x="916"/>
        <item x="147"/>
        <item x="245"/>
        <item x="43"/>
        <item x="640"/>
        <item x="874"/>
        <item x="1252"/>
        <item x="423"/>
        <item x="1009"/>
        <item x="986"/>
        <item x="202"/>
        <item x="390"/>
        <item x="318"/>
        <item x="1161"/>
        <item x="1398"/>
        <item x="75"/>
        <item x="190"/>
        <item x="1396"/>
        <item x="1222"/>
        <item x="607"/>
        <item x="1099"/>
        <item x="203"/>
        <item x="1265"/>
        <item x="823"/>
        <item x="1123"/>
        <item x="704"/>
        <item x="189"/>
        <item x="777"/>
        <item x="727"/>
        <item x="845"/>
        <item x="579"/>
        <item x="1254"/>
        <item x="709"/>
        <item x="712"/>
        <item x="66"/>
        <item x="547"/>
        <item x="873"/>
        <item x="754"/>
        <item x="110"/>
        <item x="869"/>
        <item x="902"/>
        <item x="674"/>
        <item x="497"/>
        <item x="452"/>
        <item x="427"/>
        <item x="1082"/>
        <item x="233"/>
        <item x="717"/>
        <item x="1201"/>
        <item x="990"/>
        <item x="100"/>
        <item x="276"/>
        <item x="1122"/>
        <item x="420"/>
        <item x="595"/>
        <item x="1140"/>
        <item x="251"/>
        <item x="68"/>
        <item x="1224"/>
        <item x="71"/>
        <item x="470"/>
        <item x="550"/>
        <item x="1113"/>
        <item x="865"/>
        <item x="1152"/>
        <item x="23"/>
        <item x="1107"/>
        <item x="52"/>
        <item x="402"/>
        <item x="1218"/>
        <item x="46"/>
        <item x="137"/>
        <item x="1126"/>
        <item x="270"/>
        <item x="762"/>
        <item x="913"/>
        <item x="1393"/>
        <item x="374"/>
        <item x="69"/>
        <item x="827"/>
        <item x="222"/>
        <item x="614"/>
        <item x="490"/>
        <item x="1382"/>
        <item x="858"/>
        <item x="753"/>
        <item x="27"/>
        <item x="1129"/>
        <item x="731"/>
        <item x="728"/>
        <item x="691"/>
        <item x="1295"/>
        <item x="1212"/>
        <item x="25"/>
        <item x="959"/>
        <item x="433"/>
        <item x="671"/>
        <item x="909"/>
        <item x="696"/>
        <item x="1128"/>
        <item x="2"/>
        <item x="585"/>
        <item x="1188"/>
        <item x="661"/>
        <item x="227"/>
        <item x="149"/>
        <item x="1220"/>
        <item x="388"/>
        <item x="166"/>
        <item x="789"/>
        <item x="808"/>
        <item x="1060"/>
        <item x="29"/>
        <item x="1081"/>
        <item x="61"/>
        <item x="529"/>
        <item x="588"/>
        <item x="1055"/>
        <item x="220"/>
        <item x="522"/>
        <item x="175"/>
        <item x="766"/>
        <item x="296"/>
        <item x="953"/>
        <item x="96"/>
        <item x="906"/>
        <item x="1192"/>
        <item x="969"/>
        <item x="977"/>
        <item x="951"/>
        <item x="128"/>
        <item x="1039"/>
        <item x="997"/>
        <item x="745"/>
        <item x="247"/>
        <item x="84"/>
        <item x="1137"/>
        <item x="102"/>
        <item x="1404"/>
        <item x="1225"/>
        <item x="937"/>
        <item x="796"/>
        <item x="736"/>
        <item x="344"/>
        <item x="481"/>
        <item x="1178"/>
        <item x="164"/>
        <item x="321"/>
        <item x="1193"/>
        <item x="557"/>
        <item x="1169"/>
        <item x="580"/>
        <item x="646"/>
        <item x="1044"/>
        <item x="244"/>
        <item x="1228"/>
        <item x="122"/>
        <item x="697"/>
        <item x="1058"/>
        <item x="746"/>
        <item x="679"/>
        <item x="179"/>
        <item x="1136"/>
        <item x="325"/>
        <item x="1219"/>
        <item x="249"/>
        <item x="463"/>
        <item x="701"/>
        <item x="602"/>
        <item x="267"/>
        <item x="957"/>
        <item x="859"/>
        <item x="85"/>
        <item x="642"/>
        <item x="118"/>
        <item x="791"/>
        <item x="140"/>
        <item x="1245"/>
        <item x="1297"/>
        <item x="631"/>
        <item x="817"/>
        <item x="923"/>
        <item x="738"/>
        <item x="528"/>
        <item x="831"/>
        <item x="1261"/>
        <item x="1405"/>
        <item x="1346"/>
        <item x="389"/>
        <item x="405"/>
        <item x="113"/>
        <item x="1351"/>
        <item x="475"/>
        <item x="761"/>
        <item x="158"/>
        <item x="763"/>
        <item x="935"/>
        <item x="1242"/>
        <item x="1199"/>
        <item x="465"/>
        <item x="1080"/>
        <item x="239"/>
        <item x="972"/>
        <item x="1167"/>
        <item x="1310"/>
        <item x="500"/>
        <item x="612"/>
        <item x="1019"/>
        <item x="47"/>
        <item x="474"/>
        <item x="119"/>
        <item x="309"/>
        <item x="307"/>
        <item x="1045"/>
        <item x="784"/>
        <item x="1214"/>
        <item x="638"/>
        <item x="611"/>
        <item x="1076"/>
        <item x="926"/>
        <item x="313"/>
        <item x="877"/>
        <item x="37"/>
        <item x="338"/>
        <item x="421"/>
        <item x="1150"/>
        <item x="1203"/>
        <item x="996"/>
        <item x="641"/>
        <item x="549"/>
        <item x="673"/>
        <item x="304"/>
        <item x="181"/>
        <item x="979"/>
        <item x="911"/>
        <item x="692"/>
        <item x="196"/>
        <item x="1200"/>
        <item x="1119"/>
        <item x="393"/>
        <item x="853"/>
        <item x="94"/>
        <item x="1159"/>
        <item x="1274"/>
        <item x="1184"/>
        <item x="946"/>
        <item x="48"/>
        <item x="293"/>
        <item x="915"/>
        <item x="153"/>
        <item x="234"/>
        <item x="944"/>
        <item x="1336"/>
        <item x="645"/>
        <item x="839"/>
        <item x="1046"/>
        <item x="485"/>
        <item x="576"/>
        <item x="1267"/>
        <item x="136"/>
        <item x="995"/>
        <item x="224"/>
        <item x="471"/>
        <item x="751"/>
        <item x="892"/>
        <item x="1361"/>
        <item x="677"/>
        <item x="315"/>
        <item x="574"/>
        <item x="1068"/>
        <item x="742"/>
        <item x="868"/>
        <item x="253"/>
        <item x="632"/>
        <item x="824"/>
        <item x="57"/>
        <item x="131"/>
        <item x="1283"/>
        <item x="167"/>
        <item x="1301"/>
        <item x="739"/>
        <item x="778"/>
        <item x="343"/>
        <item x="1139"/>
        <item x="622"/>
        <item x="269"/>
        <item x="248"/>
        <item x="391"/>
        <item x="1287"/>
        <item x="516"/>
        <item x="1388"/>
        <item x="855"/>
        <item x="1027"/>
        <item x="711"/>
        <item x="1194"/>
        <item x="123"/>
        <item x="185"/>
        <item x="197"/>
        <item x="331"/>
        <item x="1239"/>
        <item x="1102"/>
        <item x="1266"/>
        <item x="1013"/>
        <item x="16"/>
        <item x="639"/>
        <item x="473"/>
        <item x="1095"/>
        <item x="1096"/>
        <item x="758"/>
        <item x="489"/>
        <item x="719"/>
        <item x="1407"/>
        <item x="157"/>
        <item x="1024"/>
        <item x="1284"/>
        <item x="918"/>
        <item x="1110"/>
        <item x="1040"/>
        <item x="910"/>
        <item x="1370"/>
        <item x="1312"/>
        <item x="422"/>
        <item x="152"/>
        <item x="472"/>
        <item x="723"/>
        <item x="505"/>
        <item x="644"/>
        <item x="826"/>
        <item x="24"/>
        <item x="901"/>
        <item x="42"/>
        <item x="783"/>
        <item x="246"/>
        <item x="1311"/>
        <item x="843"/>
        <item x="126"/>
        <item x="605"/>
        <item x="436"/>
        <item x="623"/>
        <item x="1052"/>
        <item x="786"/>
        <item x="502"/>
        <item x="1059"/>
        <item x="720"/>
        <item x="841"/>
        <item x="582"/>
        <item x="464"/>
        <item x="520"/>
        <item x="456"/>
        <item x="1158"/>
        <item x="1401"/>
        <item x="722"/>
        <item x="1036"/>
        <item x="927"/>
        <item x="708"/>
        <item x="406"/>
        <item x="1108"/>
        <item x="1001"/>
        <item x="191"/>
        <item x="1321"/>
        <item x="108"/>
        <item x="1112"/>
        <item x="154"/>
        <item x="1130"/>
        <item x="352"/>
        <item x="1296"/>
        <item x="577"/>
        <item x="155"/>
        <item x="521"/>
        <item x="44"/>
        <item x="1276"/>
        <item x="21"/>
        <item x="413"/>
        <item x="798"/>
        <item x="1227"/>
        <item x="656"/>
        <item x="135"/>
        <item x="1"/>
        <item x="1015"/>
        <item x="573"/>
        <item x="1154"/>
        <item x="235"/>
        <item x="548"/>
        <item x="854"/>
        <item x="195"/>
        <item x="308"/>
        <item x="397"/>
        <item x="1392"/>
        <item x="1247"/>
        <item x="54"/>
        <item x="1345"/>
        <item x="652"/>
        <item x="1166"/>
        <item x="559"/>
        <item x="707"/>
        <item x="1216"/>
        <item x="341"/>
        <item x="553"/>
        <item x="1402"/>
        <item x="917"/>
        <item x="543"/>
        <item x="556"/>
        <item x="204"/>
        <item x="1273"/>
        <item x="1118"/>
        <item x="561"/>
        <item x="744"/>
        <item x="542"/>
        <item x="281"/>
        <item x="311"/>
        <item x="690"/>
        <item x="710"/>
        <item x="1399"/>
        <item x="563"/>
        <item x="89"/>
        <item x="1151"/>
        <item x="86"/>
        <item x="1348"/>
        <item x="1279"/>
        <item x="1226"/>
        <item x="844"/>
        <item x="1103"/>
        <item x="617"/>
        <item x="1100"/>
        <item x="1186"/>
        <item x="138"/>
        <item x="1363"/>
        <item x="1023"/>
        <item x="364"/>
        <item x="335"/>
        <item x="797"/>
        <item x="1084"/>
        <item x="637"/>
        <item x="879"/>
        <item x="215"/>
        <item x="480"/>
        <item x="1331"/>
        <item x="503"/>
        <item x="349"/>
        <item x="238"/>
        <item x="240"/>
        <item x="912"/>
        <item x="608"/>
        <item x="1156"/>
        <item x="1333"/>
        <item x="358"/>
        <item x="272"/>
        <item x="725"/>
        <item x="1185"/>
        <item x="785"/>
        <item x="12"/>
        <item x="1349"/>
        <item x="375"/>
        <item x="1034"/>
        <item x="1143"/>
        <item x="1020"/>
        <item x="495"/>
        <item x="115"/>
        <item x="1094"/>
        <item x="70"/>
        <item x="1180"/>
        <item x="467"/>
        <item x="0"/>
        <item x="884"/>
        <item x="562"/>
        <item x="1385"/>
        <item x="488"/>
        <item x="217"/>
        <item x="1317"/>
        <item x="1240"/>
        <item x="1028"/>
        <item x="1386"/>
        <item x="145"/>
        <item x="291"/>
        <item x="1223"/>
        <item x="1368"/>
        <item x="1341"/>
        <item x="670"/>
        <item x="1030"/>
        <item x="449"/>
        <item x="1061"/>
        <item x="302"/>
        <item x="672"/>
        <item x="268"/>
        <item x="1209"/>
        <item x="1255"/>
        <item x="1268"/>
        <item x="569"/>
        <item x="34"/>
        <item x="613"/>
        <item x="454"/>
        <item x="107"/>
        <item x="255"/>
        <item x="922"/>
        <item x="1182"/>
        <item x="1041"/>
        <item x="79"/>
        <item x="1063"/>
        <item x="229"/>
        <item x="1286"/>
        <item x="299"/>
        <item x="781"/>
        <item x="971"/>
        <item x="809"/>
        <item x="1275"/>
        <item x="1390"/>
        <item x="1190"/>
        <item x="662"/>
        <item x="1037"/>
        <item x="445"/>
        <item x="774"/>
        <item x="384"/>
        <item x="231"/>
        <item x="1269"/>
        <item x="867"/>
        <item x="370"/>
        <item x="292"/>
        <item x="954"/>
        <item x="440"/>
        <item x="458"/>
        <item x="13"/>
        <item x="825"/>
        <item x="848"/>
        <item x="1373"/>
        <item x="447"/>
        <item x="22"/>
        <item x="409"/>
        <item x="81"/>
        <item x="428"/>
        <item x="1280"/>
        <item x="1272"/>
        <item x="1174"/>
        <item x="948"/>
        <item x="9"/>
        <item x="82"/>
        <item x="975"/>
        <item x="469"/>
        <item x="1146"/>
        <item x="604"/>
        <item x="209"/>
        <item x="368"/>
        <item x="1391"/>
        <item x="1371"/>
        <item x="294"/>
        <item x="880"/>
        <item x="1035"/>
        <item x="729"/>
        <item x="1238"/>
        <item x="1008"/>
        <item x="1071"/>
        <item x="894"/>
        <item x="347"/>
        <item x="7"/>
        <item x="432"/>
        <item x="992"/>
        <item x="237"/>
        <item x="1005"/>
        <item x="124"/>
        <item x="56"/>
        <item x="1087"/>
        <item x="896"/>
        <item x="1221"/>
        <item x="1033"/>
        <item x="1259"/>
        <item x="1011"/>
        <item x="41"/>
        <item x="1308"/>
        <item x="1389"/>
        <item x="1328"/>
        <item x="1358"/>
        <item x="1290"/>
        <item x="348"/>
        <item x="1070"/>
        <item x="750"/>
        <item x="426"/>
        <item x="1124"/>
        <item x="1360"/>
        <item x="533"/>
        <item x="1187"/>
        <item x="367"/>
        <item x="897"/>
        <item x="891"/>
        <item x="1138"/>
        <item x="453"/>
        <item x="1357"/>
        <item x="1147"/>
        <item x="1093"/>
        <item x="369"/>
        <item x="232"/>
        <item x="1260"/>
        <item x="1074"/>
        <item x="72"/>
        <item x="199"/>
        <item x="648"/>
        <item x="730"/>
        <item x="328"/>
        <item x="418"/>
        <item x="890"/>
        <item x="300"/>
        <item x="316"/>
        <item x="1258"/>
        <item x="14"/>
        <item x="1342"/>
        <item x="266"/>
        <item x="1064"/>
        <item x="1217"/>
        <item x="1378"/>
        <item x="324"/>
        <item x="1237"/>
        <item x="1408"/>
        <item x="1369"/>
        <item x="1376"/>
        <item x="885"/>
        <item x="1372"/>
        <item x="1017"/>
        <item x="564"/>
        <item x="833"/>
        <item x="288"/>
        <item x="636"/>
        <item x="1134"/>
        <item t="default"/>
      </items>
    </pivotField>
    <pivotField dataField="1" showAll="0">
      <items count="1412">
        <item x="1067"/>
        <item x="1066"/>
        <item x="822"/>
        <item x="260"/>
        <item x="547"/>
        <item x="925"/>
        <item x="551"/>
        <item x="1238"/>
        <item x="361"/>
        <item x="848"/>
        <item x="1036"/>
        <item x="967"/>
        <item x="899"/>
        <item x="1288"/>
        <item x="261"/>
        <item x="1261"/>
        <item x="289"/>
        <item x="1048"/>
        <item x="1044"/>
        <item x="294"/>
        <item x="553"/>
        <item x="290"/>
        <item x="708"/>
        <item x="1396"/>
        <item x="383"/>
        <item x="425"/>
        <item x="1221"/>
        <item x="995"/>
        <item x="414"/>
        <item x="134"/>
        <item x="332"/>
        <item x="321"/>
        <item x="888"/>
        <item x="1130"/>
        <item x="1265"/>
        <item x="1172"/>
        <item x="1071"/>
        <item x="1312"/>
        <item x="226"/>
        <item x="512"/>
        <item x="312"/>
        <item x="178"/>
        <item x="362"/>
        <item x="329"/>
        <item x="545"/>
        <item x="113"/>
        <item x="445"/>
        <item x="431"/>
        <item x="327"/>
        <item x="15"/>
        <item x="293"/>
        <item x="483"/>
        <item x="287"/>
        <item x="1340"/>
        <item x="52"/>
        <item x="36"/>
        <item x="195"/>
        <item x="1282"/>
        <item x="863"/>
        <item x="556"/>
        <item x="656"/>
        <item x="1381"/>
        <item x="114"/>
        <item x="336"/>
        <item x="491"/>
        <item x="409"/>
        <item x="1369"/>
        <item x="339"/>
        <item x="1353"/>
        <item x="923"/>
        <item x="1281"/>
        <item x="1201"/>
        <item x="374"/>
        <item x="1148"/>
        <item x="283"/>
        <item x="133"/>
        <item x="1257"/>
        <item x="241"/>
        <item x="898"/>
        <item x="298"/>
        <item x="1277"/>
        <item x="72"/>
        <item x="579"/>
        <item x="434"/>
        <item x="900"/>
        <item x="1062"/>
        <item x="585"/>
        <item x="74"/>
        <item x="193"/>
        <item x="360"/>
        <item x="286"/>
        <item x="205"/>
        <item x="661"/>
        <item x="442"/>
        <item x="920"/>
        <item x="443"/>
        <item x="306"/>
        <item x="1046"/>
        <item x="430"/>
        <item x="451"/>
        <item x="1296"/>
        <item x="1268"/>
        <item x="619"/>
        <item x="1199"/>
        <item x="1292"/>
        <item x="1222"/>
        <item x="68"/>
        <item x="433"/>
        <item x="535"/>
        <item x="253"/>
        <item x="940"/>
        <item x="231"/>
        <item x="1374"/>
        <item x="242"/>
        <item x="549"/>
        <item x="8"/>
        <item x="802"/>
        <item x="580"/>
        <item x="268"/>
        <item x="354"/>
        <item x="478"/>
        <item x="264"/>
        <item x="1099"/>
        <item x="174"/>
        <item x="1204"/>
        <item x="688"/>
        <item x="1047"/>
        <item x="1029"/>
        <item x="127"/>
        <item x="365"/>
        <item x="345"/>
        <item x="110"/>
        <item x="437"/>
        <item x="125"/>
        <item x="1348"/>
        <item x="1324"/>
        <item x="363"/>
        <item x="87"/>
        <item x="410"/>
        <item x="584"/>
        <item x="1226"/>
        <item x="703"/>
        <item x="1301"/>
        <item x="164"/>
        <item x="51"/>
        <item x="359"/>
        <item x="438"/>
        <item x="391"/>
        <item x="108"/>
        <item x="396"/>
        <item x="528"/>
        <item x="57"/>
        <item x="262"/>
        <item x="511"/>
        <item x="1337"/>
        <item x="40"/>
        <item x="1043"/>
        <item x="558"/>
        <item x="1197"/>
        <item x="1344"/>
        <item x="111"/>
        <item x="1152"/>
        <item x="1075"/>
        <item x="1039"/>
        <item x="338"/>
        <item x="10"/>
        <item x="1190"/>
        <item x="228"/>
        <item x="130"/>
        <item x="346"/>
        <item x="59"/>
        <item x="864"/>
        <item x="988"/>
        <item x="592"/>
        <item x="1260"/>
        <item x="964"/>
        <item x="92"/>
        <item x="481"/>
        <item x="1243"/>
        <item x="356"/>
        <item x="983"/>
        <item x="316"/>
        <item x="1297"/>
        <item x="533"/>
        <item x="586"/>
        <item x="704"/>
        <item x="186"/>
        <item x="1341"/>
        <item x="1129"/>
        <item x="35"/>
        <item x="1009"/>
        <item x="652"/>
        <item x="565"/>
        <item x="513"/>
        <item x="1232"/>
        <item x="1049"/>
        <item x="879"/>
        <item x="858"/>
        <item x="211"/>
        <item x="380"/>
        <item x="1088"/>
        <item x="222"/>
        <item x="279"/>
        <item x="466"/>
        <item x="330"/>
        <item x="1077"/>
        <item x="604"/>
        <item x="1311"/>
        <item x="1251"/>
        <item x="137"/>
        <item x="1328"/>
        <item x="107"/>
        <item x="13"/>
        <item x="1158"/>
        <item x="668"/>
        <item x="441"/>
        <item x="1115"/>
        <item x="808"/>
        <item x="400"/>
        <item x="884"/>
        <item x="155"/>
        <item x="48"/>
        <item x="870"/>
        <item x="67"/>
        <item x="1195"/>
        <item x="1051"/>
        <item x="237"/>
        <item x="958"/>
        <item x="1280"/>
        <item x="297"/>
        <item x="315"/>
        <item x="1061"/>
        <item x="960"/>
        <item x="172"/>
        <item x="234"/>
        <item x="824"/>
        <item x="1363"/>
        <item x="432"/>
        <item x="496"/>
        <item x="647"/>
        <item x="1147"/>
        <item x="745"/>
        <item x="153"/>
        <item x="897"/>
        <item x="962"/>
        <item x="17"/>
        <item x="928"/>
        <item x="670"/>
        <item x="643"/>
        <item x="398"/>
        <item x="701"/>
        <item x="320"/>
        <item x="1038"/>
        <item x="1331"/>
        <item x="369"/>
        <item x="1387"/>
        <item x="772"/>
        <item x="146"/>
        <item x="1223"/>
        <item x="954"/>
        <item x="735"/>
        <item x="599"/>
        <item x="658"/>
        <item x="542"/>
        <item x="685"/>
        <item x="97"/>
        <item x="469"/>
        <item x="385"/>
        <item x="1191"/>
        <item x="1205"/>
        <item x="1097"/>
        <item x="53"/>
        <item x="395"/>
        <item x="942"/>
        <item x="628"/>
        <item x="411"/>
        <item x="607"/>
        <item x="1150"/>
        <item x="1262"/>
        <item x="1037"/>
        <item x="683"/>
        <item x="859"/>
        <item x="976"/>
        <item x="382"/>
        <item x="444"/>
        <item x="280"/>
        <item x="322"/>
        <item x="461"/>
        <item x="809"/>
        <item x="600"/>
        <item x="1293"/>
        <item x="1356"/>
        <item x="156"/>
        <item x="80"/>
        <item x="435"/>
        <item x="797"/>
        <item x="781"/>
        <item x="221"/>
        <item x="689"/>
        <item x="1109"/>
        <item x="672"/>
        <item x="263"/>
        <item x="820"/>
        <item x="1354"/>
        <item x="520"/>
        <item x="407"/>
        <item x="11"/>
        <item x="157"/>
        <item x="892"/>
        <item x="273"/>
        <item x="598"/>
        <item x="931"/>
        <item x="991"/>
        <item x="347"/>
        <item x="1402"/>
        <item x="1323"/>
        <item x="1001"/>
        <item x="371"/>
        <item x="272"/>
        <item x="143"/>
        <item x="834"/>
        <item x="482"/>
        <item x="1156"/>
        <item x="975"/>
        <item x="757"/>
        <item x="225"/>
        <item x="201"/>
        <item x="682"/>
        <item x="326"/>
        <item x="922"/>
        <item x="408"/>
        <item x="12"/>
        <item x="1108"/>
        <item x="639"/>
        <item x="194"/>
        <item x="1002"/>
        <item x="536"/>
        <item x="93"/>
        <item x="816"/>
        <item x="214"/>
        <item x="239"/>
        <item x="641"/>
        <item x="1135"/>
        <item x="1183"/>
        <item x="313"/>
        <item x="309"/>
        <item x="690"/>
        <item x="760"/>
        <item x="470"/>
        <item x="219"/>
        <item x="292"/>
        <item x="1334"/>
        <item x="43"/>
        <item x="295"/>
        <item x="527"/>
        <item x="62"/>
        <item x="851"/>
        <item x="1346"/>
        <item x="419"/>
        <item x="343"/>
        <item x="854"/>
        <item x="1342"/>
        <item x="88"/>
        <item x="813"/>
        <item x="1103"/>
        <item x="1074"/>
        <item x="594"/>
        <item x="428"/>
        <item x="819"/>
        <item x="1064"/>
        <item x="627"/>
        <item x="936"/>
        <item x="766"/>
        <item x="992"/>
        <item x="154"/>
        <item x="895"/>
        <item x="1389"/>
        <item x="377"/>
        <item x="340"/>
        <item x="1245"/>
        <item x="761"/>
        <item x="1073"/>
        <item x="1376"/>
        <item x="492"/>
        <item x="850"/>
        <item x="168"/>
        <item x="853"/>
        <item x="837"/>
        <item x="1388"/>
        <item x="417"/>
        <item x="229"/>
        <item x="546"/>
        <item x="474"/>
        <item x="544"/>
        <item x="984"/>
        <item x="985"/>
        <item x="1384"/>
        <item x="1169"/>
        <item x="1213"/>
        <item x="1124"/>
        <item x="1407"/>
        <item x="651"/>
        <item x="368"/>
        <item x="541"/>
        <item x="706"/>
        <item x="487"/>
        <item x="1050"/>
        <item x="184"/>
        <item x="220"/>
        <item x="762"/>
        <item x="620"/>
        <item x="45"/>
        <item x="1409"/>
        <item x="617"/>
        <item x="994"/>
        <item x="490"/>
        <item x="47"/>
        <item x="1173"/>
        <item x="646"/>
        <item x="1307"/>
        <item x="203"/>
        <item x="1006"/>
        <item x="389"/>
        <item x="1194"/>
        <item x="589"/>
        <item x="372"/>
        <item x="105"/>
        <item x="784"/>
        <item x="523"/>
        <item x="1133"/>
        <item x="311"/>
        <item x="1164"/>
        <item x="373"/>
        <item x="217"/>
        <item x="170"/>
        <item x="1081"/>
        <item x="719"/>
        <item x="921"/>
        <item x="623"/>
        <item x="753"/>
        <item x="472"/>
        <item x="9"/>
        <item x="227"/>
        <item x="911"/>
        <item x="702"/>
        <item x="1330"/>
        <item x="657"/>
        <item x="71"/>
        <item x="681"/>
        <item x="759"/>
        <item x="1300"/>
        <item x="1018"/>
        <item x="1145"/>
        <item x="278"/>
        <item x="793"/>
        <item x="506"/>
        <item x="1366"/>
        <item x="1299"/>
        <item x="14"/>
        <item x="872"/>
        <item x="1361"/>
        <item x="667"/>
        <item x="144"/>
        <item x="1219"/>
        <item x="857"/>
        <item x="24"/>
        <item x="236"/>
        <item x="106"/>
        <item x="825"/>
        <item x="1028"/>
        <item x="989"/>
        <item x="1250"/>
        <item x="769"/>
        <item x="376"/>
        <item x="614"/>
        <item x="393"/>
        <item x="1253"/>
        <item x="319"/>
        <item x="949"/>
        <item x="773"/>
        <item x="778"/>
        <item x="366"/>
        <item x="1023"/>
        <item x="789"/>
        <item x="131"/>
        <item x="1233"/>
        <item x="1236"/>
        <item x="357"/>
        <item x="1202"/>
        <item x="452"/>
        <item x="38"/>
        <item x="873"/>
        <item x="304"/>
        <item x="1224"/>
        <item x="956"/>
        <item x="591"/>
        <item x="379"/>
        <item x="1117"/>
        <item x="165"/>
        <item x="317"/>
        <item x="927"/>
        <item x="562"/>
        <item x="1160"/>
        <item x="717"/>
        <item x="678"/>
        <item x="81"/>
        <item x="576"/>
        <item x="1295"/>
        <item x="815"/>
        <item x="26"/>
        <item x="207"/>
        <item x="947"/>
        <item x="557"/>
        <item x="522"/>
        <item x="1316"/>
        <item x="1162"/>
        <item x="177"/>
        <item x="1136"/>
        <item x="1035"/>
        <item x="415"/>
        <item x="1336"/>
        <item x="1270"/>
        <item x="1286"/>
        <item x="697"/>
        <item x="426"/>
        <item x="1266"/>
        <item x="597"/>
        <item x="728"/>
        <item x="694"/>
        <item x="700"/>
        <item x="66"/>
        <item x="649"/>
        <item x="1021"/>
        <item x="725"/>
        <item x="1372"/>
        <item x="22"/>
        <item x="937"/>
        <item x="138"/>
        <item x="577"/>
        <item x="1024"/>
        <item x="1259"/>
        <item x="1244"/>
        <item x="218"/>
        <item x="285"/>
        <item x="860"/>
        <item x="169"/>
        <item x="94"/>
        <item x="1273"/>
        <item x="862"/>
        <item x="883"/>
        <item x="1113"/>
        <item x="671"/>
        <item x="337"/>
        <item x="459"/>
        <item x="235"/>
        <item x="1091"/>
        <item x="993"/>
        <item x="653"/>
        <item x="1321"/>
        <item x="618"/>
        <item x="116"/>
        <item x="756"/>
        <item x="166"/>
        <item x="212"/>
        <item x="1100"/>
        <item x="1105"/>
        <item x="944"/>
        <item x="1082"/>
        <item x="140"/>
        <item x="775"/>
        <item x="839"/>
        <item x="980"/>
        <item x="680"/>
        <item x="575"/>
        <item x="259"/>
        <item x="1289"/>
        <item x="121"/>
        <item x="664"/>
        <item x="1227"/>
        <item x="751"/>
        <item x="765"/>
        <item x="1188"/>
        <item x="564"/>
        <item x="974"/>
        <item x="1144"/>
        <item x="1345"/>
        <item x="567"/>
        <item x="833"/>
        <item x="149"/>
        <item x="188"/>
        <item x="836"/>
        <item x="1139"/>
        <item x="1252"/>
        <item x="699"/>
        <item x="509"/>
        <item x="489"/>
        <item x="124"/>
        <item x="215"/>
        <item x="889"/>
        <item x="663"/>
        <item x="1279"/>
        <item x="265"/>
        <item x="711"/>
        <item x="945"/>
        <item x="341"/>
        <item x="1189"/>
        <item x="250"/>
        <item x="185"/>
        <item x="1408"/>
        <item x="1016"/>
        <item x="981"/>
        <item x="1142"/>
        <item x="109"/>
        <item x="485"/>
        <item x="878"/>
        <item x="100"/>
        <item x="1170"/>
        <item x="747"/>
        <item x="1333"/>
        <item x="208"/>
        <item x="249"/>
        <item x="248"/>
        <item x="715"/>
        <item x="176"/>
        <item x="1056"/>
        <item x="814"/>
        <item x="1060"/>
        <item x="1358"/>
        <item x="198"/>
        <item x="303"/>
        <item x="1214"/>
        <item x="328"/>
        <item x="1283"/>
        <item x="982"/>
        <item x="504"/>
        <item x="821"/>
        <item x="843"/>
        <item x="387"/>
        <item x="1008"/>
        <item x="570"/>
        <item x="734"/>
        <item x="86"/>
        <item x="98"/>
        <item x="612"/>
        <item x="1151"/>
        <item x="1228"/>
        <item x="216"/>
        <item x="1084"/>
        <item x="102"/>
        <item x="1329"/>
        <item x="622"/>
        <item x="1186"/>
        <item x="179"/>
        <item x="1101"/>
        <item x="416"/>
        <item x="1087"/>
        <item x="891"/>
        <item x="1096"/>
        <item x="420"/>
        <item x="610"/>
        <item x="902"/>
        <item x="1114"/>
        <item x="210"/>
        <item x="799"/>
        <item x="912"/>
        <item x="893"/>
        <item x="676"/>
        <item x="790"/>
        <item x="1210"/>
        <item x="590"/>
        <item x="1237"/>
        <item x="823"/>
        <item x="1089"/>
        <item x="25"/>
        <item x="465"/>
        <item x="866"/>
        <item x="832"/>
        <item x="835"/>
        <item x="103"/>
        <item x="935"/>
        <item x="192"/>
        <item x="673"/>
        <item x="1306"/>
        <item x="882"/>
        <item x="6"/>
        <item x="1179"/>
        <item x="256"/>
        <item x="1184"/>
        <item x="381"/>
        <item x="1033"/>
        <item x="1041"/>
        <item x="257"/>
        <item x="1375"/>
        <item x="1326"/>
        <item x="3"/>
        <item x="970"/>
        <item x="1168"/>
        <item x="126"/>
        <item x="1352"/>
        <item x="616"/>
        <item x="1378"/>
        <item x="779"/>
        <item x="705"/>
        <item x="941"/>
        <item x="1004"/>
        <item x="64"/>
        <item x="454"/>
        <item x="1131"/>
        <item x="578"/>
        <item x="471"/>
        <item x="727"/>
        <item x="1206"/>
        <item x="566"/>
        <item x="831"/>
        <item x="1298"/>
        <item x="1271"/>
        <item x="1140"/>
        <item x="104"/>
        <item x="468"/>
        <item x="1003"/>
        <item x="141"/>
        <item x="934"/>
        <item x="1031"/>
        <item x="484"/>
        <item x="939"/>
        <item x="1126"/>
        <item x="846"/>
        <item x="608"/>
        <item x="282"/>
        <item x="462"/>
        <item x="120"/>
        <item x="636"/>
        <item x="880"/>
        <item x="798"/>
        <item x="777"/>
        <item x="905"/>
        <item x="477"/>
        <item x="1302"/>
        <item x="763"/>
        <item x="611"/>
        <item x="561"/>
        <item x="655"/>
        <item x="679"/>
        <item x="1193"/>
        <item x="758"/>
        <item x="190"/>
        <item x="1185"/>
        <item x="132"/>
        <item x="310"/>
        <item x="729"/>
        <item x="659"/>
        <item x="41"/>
        <item x="726"/>
        <item x="1166"/>
        <item x="890"/>
        <item x="588"/>
        <item x="1399"/>
        <item x="412"/>
        <item x="519"/>
        <item x="601"/>
        <item x="621"/>
        <item x="514"/>
        <item x="76"/>
        <item x="1106"/>
        <item x="1217"/>
        <item x="968"/>
        <item x="1304"/>
        <item x="707"/>
        <item x="770"/>
        <item x="455"/>
        <item x="358"/>
        <item x="1398"/>
        <item x="204"/>
        <item x="405"/>
        <item x="990"/>
        <item x="1154"/>
        <item x="158"/>
        <item x="933"/>
        <item x="972"/>
        <item x="534"/>
        <item x="1305"/>
        <item x="845"/>
        <item x="1383"/>
        <item x="1098"/>
        <item x="247"/>
        <item x="560"/>
        <item x="736"/>
        <item x="724"/>
        <item x="29"/>
        <item x="1395"/>
        <item x="1032"/>
        <item x="1313"/>
        <item x="568"/>
        <item x="998"/>
        <item x="1104"/>
        <item x="275"/>
        <item x="669"/>
        <item x="740"/>
        <item x="30"/>
        <item x="1350"/>
        <item x="85"/>
        <item x="660"/>
        <item x="1403"/>
        <item x="1000"/>
        <item x="938"/>
        <item x="696"/>
        <item x="776"/>
        <item x="665"/>
        <item x="952"/>
        <item x="498"/>
        <item x="325"/>
        <item x="245"/>
        <item x="1159"/>
        <item x="1241"/>
        <item x="738"/>
        <item x="1119"/>
        <item x="603"/>
        <item x="1111"/>
        <item x="571"/>
        <item x="1019"/>
        <item x="637"/>
        <item x="244"/>
        <item x="152"/>
        <item x="812"/>
        <item x="785"/>
        <item x="915"/>
        <item x="209"/>
        <item x="457"/>
        <item x="1209"/>
        <item x="390"/>
        <item x="91"/>
        <item x="950"/>
        <item x="1315"/>
        <item x="918"/>
        <item x="277"/>
        <item x="532"/>
        <item x="692"/>
        <item x="953"/>
        <item x="1025"/>
        <item x="171"/>
        <item x="674"/>
        <item x="529"/>
        <item x="1177"/>
        <item x="531"/>
        <item x="314"/>
        <item x="1380"/>
        <item x="1054"/>
        <item x="780"/>
        <item x="691"/>
        <item x="1263"/>
        <item x="77"/>
        <item x="963"/>
        <item x="916"/>
        <item x="167"/>
        <item x="810"/>
        <item x="284"/>
        <item x="1242"/>
        <item x="1138"/>
        <item x="650"/>
        <item x="497"/>
        <item x="1181"/>
        <item x="1360"/>
        <item x="394"/>
        <item x="423"/>
        <item x="1401"/>
        <item x="517"/>
        <item x="494"/>
        <item x="1020"/>
        <item x="1392"/>
        <item x="633"/>
        <item x="732"/>
        <item x="830"/>
        <item x="569"/>
        <item x="716"/>
        <item x="1196"/>
        <item x="684"/>
        <item x="1182"/>
        <item x="632"/>
        <item x="1373"/>
        <item x="755"/>
        <item x="955"/>
        <item x="788"/>
        <item x="917"/>
        <item x="791"/>
        <item x="730"/>
        <item x="1362"/>
        <item x="1045"/>
        <item x="162"/>
        <item x="796"/>
        <item x="818"/>
        <item x="1267"/>
        <item x="464"/>
        <item x="61"/>
        <item x="750"/>
        <item x="1285"/>
        <item x="1040"/>
        <item x="96"/>
        <item x="1212"/>
        <item x="1161"/>
        <item x="0"/>
        <item x="499"/>
        <item x="1127"/>
        <item x="1216"/>
        <item x="630"/>
        <item x="951"/>
        <item x="258"/>
        <item x="1338"/>
        <item x="746"/>
        <item x="644"/>
        <item x="246"/>
        <item x="500"/>
        <item x="774"/>
        <item x="1083"/>
        <item x="654"/>
        <item x="7"/>
        <item x="686"/>
        <item x="805"/>
        <item x="525"/>
        <item x="748"/>
        <item x="493"/>
        <item x="521"/>
        <item x="1167"/>
        <item x="642"/>
        <item x="749"/>
        <item x="213"/>
        <item x="634"/>
        <item x="743"/>
        <item x="117"/>
        <item x="695"/>
        <item x="1107"/>
        <item x="648"/>
        <item x="855"/>
        <item x="518"/>
        <item x="1022"/>
        <item x="160"/>
        <item x="867"/>
        <item x="1256"/>
        <item x="908"/>
        <item x="1405"/>
        <item x="191"/>
        <item x="1153"/>
        <item x="1410"/>
        <item x="69"/>
        <item x="1404"/>
        <item x="1053"/>
        <item x="1134"/>
        <item x="842"/>
        <item x="78"/>
        <item x="1178"/>
        <item x="826"/>
        <item x="786"/>
        <item x="307"/>
        <item x="1318"/>
        <item x="501"/>
        <item x="754"/>
        <item x="971"/>
        <item x="930"/>
        <item x="645"/>
        <item x="139"/>
        <item x="662"/>
        <item x="961"/>
        <item x="388"/>
        <item x="418"/>
        <item x="910"/>
        <item x="175"/>
        <item x="1095"/>
        <item x="350"/>
        <item x="1112"/>
        <item x="1143"/>
        <item x="979"/>
        <item x="1368"/>
        <item x="112"/>
        <item x="957"/>
        <item x="613"/>
        <item x="353"/>
        <item x="733"/>
        <item x="1274"/>
        <item x="18"/>
        <item x="70"/>
        <item x="508"/>
        <item x="65"/>
        <item x="794"/>
        <item x="714"/>
        <item x="742"/>
        <item x="596"/>
        <item x="502"/>
        <item x="1013"/>
        <item x="987"/>
        <item x="238"/>
        <item x="1320"/>
        <item x="1276"/>
        <item x="914"/>
        <item x="54"/>
        <item x="965"/>
        <item x="838"/>
        <item x="1215"/>
        <item x="629"/>
        <item x="573"/>
        <item x="537"/>
        <item x="1317"/>
        <item x="1371"/>
        <item x="33"/>
        <item x="163"/>
        <item x="626"/>
        <item x="1192"/>
        <item x="801"/>
        <item x="926"/>
        <item x="666"/>
        <item x="800"/>
        <item x="1180"/>
        <item x="1187"/>
        <item x="540"/>
        <item x="593"/>
        <item x="1394"/>
        <item x="869"/>
        <item x="906"/>
        <item x="73"/>
        <item x="904"/>
        <item x="1218"/>
        <item x="986"/>
        <item x="1258"/>
        <item x="142"/>
        <item x="1309"/>
        <item x="516"/>
        <item x="1391"/>
        <item x="1406"/>
        <item x="582"/>
        <item x="1355"/>
        <item x="1146"/>
        <item x="539"/>
        <item x="308"/>
        <item x="721"/>
        <item x="1248"/>
        <item x="874"/>
        <item x="1065"/>
        <item x="1287"/>
        <item x="342"/>
        <item x="739"/>
        <item x="767"/>
        <item x="269"/>
        <item x="507"/>
        <item x="401"/>
        <item x="538"/>
        <item x="1175"/>
        <item x="723"/>
        <item x="1294"/>
        <item x="122"/>
        <item x="792"/>
        <item x="333"/>
        <item x="118"/>
        <item x="817"/>
        <item x="429"/>
        <item x="1085"/>
        <item x="1026"/>
        <item x="503"/>
        <item x="1291"/>
        <item x="602"/>
        <item x="32"/>
        <item x="841"/>
        <item x="913"/>
        <item x="1393"/>
        <item x="267"/>
        <item x="406"/>
        <item x="1303"/>
        <item x="1007"/>
        <item x="609"/>
        <item x="60"/>
        <item x="969"/>
        <item x="1125"/>
        <item x="1347"/>
        <item x="473"/>
        <item x="123"/>
        <item x="255"/>
        <item x="299"/>
        <item x="1249"/>
        <item x="1122"/>
        <item x="1094"/>
        <item x="795"/>
        <item x="1063"/>
        <item x="119"/>
        <item x="1254"/>
        <item x="782"/>
        <item x="1076"/>
        <item x="49"/>
        <item x="1310"/>
        <item x="868"/>
        <item x="1264"/>
        <item x="486"/>
        <item x="397"/>
        <item x="554"/>
        <item x="254"/>
        <item x="476"/>
        <item x="1121"/>
        <item x="530"/>
        <item x="1332"/>
        <item x="266"/>
        <item x="1057"/>
        <item x="101"/>
        <item x="737"/>
        <item x="907"/>
        <item x="865"/>
        <item x="1269"/>
        <item x="1351"/>
        <item x="713"/>
        <item x="574"/>
        <item x="996"/>
        <item x="495"/>
        <item x="615"/>
        <item x="1069"/>
        <item x="1155"/>
        <item x="145"/>
        <item x="95"/>
        <item x="1093"/>
        <item x="731"/>
        <item x="722"/>
        <item x="909"/>
        <item x="20"/>
        <item x="847"/>
        <item x="456"/>
        <item x="182"/>
        <item x="752"/>
        <item x="919"/>
        <item x="1308"/>
        <item x="1386"/>
        <item x="58"/>
        <item x="232"/>
        <item x="424"/>
        <item x="1017"/>
        <item x="364"/>
        <item x="46"/>
        <item x="480"/>
        <item x="458"/>
        <item x="1120"/>
        <item x="151"/>
        <item x="710"/>
        <item x="1200"/>
        <item x="881"/>
        <item x="787"/>
        <item x="563"/>
        <item x="199"/>
        <item x="1034"/>
        <item x="526"/>
        <item x="150"/>
        <item x="1322"/>
        <item x="638"/>
        <item x="1208"/>
        <item x="1059"/>
        <item x="803"/>
        <item x="804"/>
        <item x="687"/>
        <item x="1165"/>
        <item x="1157"/>
        <item x="147"/>
        <item x="302"/>
        <item x="946"/>
        <item x="1235"/>
        <item x="709"/>
        <item x="375"/>
        <item x="159"/>
        <item x="55"/>
        <item x="1211"/>
        <item x="1335"/>
        <item x="1225"/>
        <item x="675"/>
        <item x="806"/>
        <item x="83"/>
        <item x="1325"/>
        <item x="871"/>
        <item x="42"/>
        <item x="1011"/>
        <item x="744"/>
        <item x="1246"/>
        <item x="202"/>
        <item x="581"/>
        <item x="200"/>
        <item x="270"/>
        <item x="1005"/>
        <item x="605"/>
        <item x="1234"/>
        <item x="82"/>
        <item x="1400"/>
        <item x="807"/>
        <item x="243"/>
        <item x="844"/>
        <item x="625"/>
        <item x="1364"/>
        <item x="349"/>
        <item x="352"/>
        <item x="932"/>
        <item x="27"/>
        <item x="973"/>
        <item x="1379"/>
        <item x="1137"/>
        <item x="768"/>
        <item x="129"/>
        <item x="959"/>
        <item x="1171"/>
        <item x="829"/>
        <item x="1110"/>
        <item x="1030"/>
        <item x="281"/>
        <item x="1382"/>
        <item x="1357"/>
        <item x="403"/>
        <item x="718"/>
        <item x="4"/>
        <item x="1015"/>
        <item x="475"/>
        <item x="698"/>
        <item x="233"/>
        <item x="427"/>
        <item x="206"/>
        <item x="1284"/>
        <item x="1220"/>
        <item x="887"/>
        <item x="1230"/>
        <item x="196"/>
        <item x="693"/>
        <item x="861"/>
        <item x="524"/>
        <item x="978"/>
        <item x="488"/>
        <item x="875"/>
        <item x="90"/>
        <item x="99"/>
        <item x="1080"/>
        <item x="240"/>
        <item x="631"/>
        <item x="23"/>
        <item x="63"/>
        <item x="5"/>
        <item x="876"/>
        <item x="331"/>
        <item x="173"/>
        <item x="392"/>
        <item x="355"/>
        <item x="1203"/>
        <item x="446"/>
        <item x="515"/>
        <item x="1343"/>
        <item x="189"/>
        <item x="1090"/>
        <item x="1163"/>
        <item x="999"/>
        <item x="479"/>
        <item x="877"/>
        <item x="1118"/>
        <item x="50"/>
        <item x="1123"/>
        <item x="977"/>
        <item x="856"/>
        <item x="404"/>
        <item x="448"/>
        <item x="56"/>
        <item x="31"/>
        <item x="1176"/>
        <item x="1229"/>
        <item x="1174"/>
        <item x="1149"/>
        <item x="115"/>
        <item x="886"/>
        <item x="894"/>
        <item x="271"/>
        <item x="764"/>
        <item x="351"/>
        <item x="929"/>
        <item x="1102"/>
        <item x="34"/>
        <item x="16"/>
        <item x="1055"/>
        <item x="1231"/>
        <item x="300"/>
        <item x="1132"/>
        <item x="1339"/>
        <item x="1397"/>
        <item x="712"/>
        <item x="460"/>
        <item x="1010"/>
        <item x="741"/>
        <item x="720"/>
        <item x="903"/>
        <item x="1141"/>
        <item x="318"/>
        <item x="543"/>
        <item x="1247"/>
        <item x="323"/>
        <item x="1128"/>
        <item x="135"/>
        <item x="1390"/>
        <item x="1272"/>
        <item x="276"/>
        <item x="421"/>
        <item x="75"/>
        <item x="505"/>
        <item x="180"/>
        <item x="197"/>
        <item x="1014"/>
        <item x="852"/>
        <item x="1370"/>
        <item x="39"/>
        <item x="811"/>
        <item x="677"/>
        <item x="552"/>
        <item x="828"/>
        <item x="79"/>
        <item x="587"/>
        <item x="640"/>
        <item x="1012"/>
        <item x="1068"/>
        <item x="997"/>
        <item x="1207"/>
        <item x="84"/>
        <item x="849"/>
        <item x="1290"/>
        <item x="436"/>
        <item x="840"/>
        <item x="1116"/>
        <item x="924"/>
        <item x="771"/>
        <item x="896"/>
        <item x="1377"/>
        <item x="161"/>
        <item x="324"/>
        <item x="291"/>
        <item x="606"/>
        <item x="187"/>
        <item x="230"/>
        <item x="136"/>
        <item x="251"/>
        <item x="1349"/>
        <item x="305"/>
        <item x="223"/>
        <item x="583"/>
        <item x="334"/>
        <item x="1327"/>
        <item x="1042"/>
        <item x="44"/>
        <item x="1275"/>
        <item x="783"/>
        <item x="1079"/>
        <item x="37"/>
        <item x="1086"/>
        <item x="21"/>
        <item x="1365"/>
        <item x="422"/>
        <item x="1240"/>
        <item x="1198"/>
        <item x="288"/>
        <item x="413"/>
        <item x="224"/>
        <item x="1027"/>
        <item x="28"/>
        <item x="635"/>
        <item x="183"/>
        <item x="367"/>
        <item x="386"/>
        <item x="885"/>
        <item x="1385"/>
        <item x="827"/>
        <item x="510"/>
        <item x="378"/>
        <item x="548"/>
        <item x="550"/>
        <item x="450"/>
        <item x="89"/>
        <item x="274"/>
        <item x="402"/>
        <item x="1255"/>
        <item x="1058"/>
        <item x="555"/>
        <item x="463"/>
        <item x="1092"/>
        <item x="901"/>
        <item x="148"/>
        <item x="559"/>
        <item x="1078"/>
        <item x="370"/>
        <item x="399"/>
        <item x="595"/>
        <item x="19"/>
        <item x="439"/>
        <item x="1239"/>
        <item x="128"/>
        <item x="1052"/>
        <item x="2"/>
        <item x="335"/>
        <item x="344"/>
        <item x="1359"/>
        <item x="181"/>
        <item x="624"/>
        <item x="943"/>
        <item x="1319"/>
        <item x="1314"/>
        <item x="1367"/>
        <item x="252"/>
        <item x="1278"/>
        <item x="1072"/>
        <item x="296"/>
        <item x="467"/>
        <item x="449"/>
        <item x="948"/>
        <item x="301"/>
        <item x="384"/>
        <item x="440"/>
        <item x="1"/>
        <item x="453"/>
        <item x="447"/>
        <item x="348"/>
        <item x="572"/>
        <item x="1070"/>
        <item x="966"/>
        <item t="default"/>
      </items>
    </pivotField>
    <pivotField dataField="1" showAll="0">
      <items count="1411">
        <item x="1018"/>
        <item x="826"/>
        <item x="919"/>
        <item x="425"/>
        <item x="338"/>
        <item x="414"/>
        <item x="1042"/>
        <item x="1040"/>
        <item x="35"/>
        <item x="443"/>
        <item x="362"/>
        <item x="1065"/>
        <item x="418"/>
        <item x="283"/>
        <item x="1066"/>
        <item x="336"/>
        <item x="279"/>
        <item x="498"/>
        <item x="895"/>
        <item x="496"/>
        <item x="42"/>
        <item x="294"/>
        <item x="1074"/>
        <item x="345"/>
        <item x="891"/>
        <item x="240"/>
        <item x="237"/>
        <item x="870"/>
        <item x="897"/>
        <item x="886"/>
        <item x="917"/>
        <item x="899"/>
        <item x="400"/>
        <item x="332"/>
        <item x="1006"/>
        <item x="1359"/>
        <item x="448"/>
        <item x="326"/>
        <item x="361"/>
        <item x="1070"/>
        <item x="520"/>
        <item x="1"/>
        <item x="316"/>
        <item x="253"/>
        <item x="1059"/>
        <item x="1045"/>
        <item x="604"/>
        <item x="466"/>
        <item x="365"/>
        <item x="329"/>
        <item x="882"/>
        <item x="797"/>
        <item x="340"/>
        <item x="1290"/>
        <item x="432"/>
        <item x="372"/>
        <item x="315"/>
        <item x="319"/>
        <item x="273"/>
        <item x="901"/>
        <item x="259"/>
        <item x="1047"/>
        <item x="1393"/>
        <item x="409"/>
        <item x="1196"/>
        <item x="188"/>
        <item x="647"/>
        <item x="529"/>
        <item x="652"/>
        <item x="961"/>
        <item x="949"/>
        <item x="700"/>
        <item x="50"/>
        <item x="1334"/>
        <item x="410"/>
        <item x="471"/>
        <item x="1076"/>
        <item x="318"/>
        <item x="39"/>
        <item x="266"/>
        <item x="231"/>
        <item x="356"/>
        <item x="184"/>
        <item x="1345"/>
        <item x="132"/>
        <item x="349"/>
        <item x="1198"/>
        <item x="1264"/>
        <item x="784"/>
        <item x="380"/>
        <item x="706"/>
        <item x="286"/>
        <item x="322"/>
        <item x="133"/>
        <item x="235"/>
        <item x="375"/>
        <item x="978"/>
        <item x="1291"/>
        <item x="1310"/>
        <item x="1370"/>
        <item x="1020"/>
        <item x="922"/>
        <item x="491"/>
        <item x="1036"/>
        <item x="437"/>
        <item x="389"/>
        <item x="401"/>
        <item x="701"/>
        <item x="1213"/>
        <item x="215"/>
        <item x="834"/>
        <item x="824"/>
        <item x="261"/>
        <item x="15"/>
        <item x="88"/>
        <item x="32"/>
        <item x="1243"/>
        <item x="229"/>
        <item x="854"/>
        <item x="484"/>
        <item x="621"/>
        <item x="1362"/>
        <item x="290"/>
        <item x="912"/>
        <item x="86"/>
        <item x="678"/>
        <item x="1022"/>
        <item x="263"/>
        <item x="939"/>
        <item x="1215"/>
        <item x="268"/>
        <item x="1357"/>
        <item x="654"/>
        <item x="178"/>
        <item x="226"/>
        <item x="1220"/>
        <item x="1395"/>
        <item x="868"/>
        <item x="284"/>
        <item x="1383"/>
        <item x="513"/>
        <item x="1159"/>
        <item x="299"/>
        <item x="707"/>
        <item x="71"/>
        <item x="815"/>
        <item x="1053"/>
        <item x="535"/>
        <item x="1275"/>
        <item x="40"/>
        <item x="311"/>
        <item x="444"/>
        <item x="306"/>
        <item x="533"/>
        <item x="829"/>
        <item x="1167"/>
        <item x="74"/>
        <item x="327"/>
        <item x="638"/>
        <item x="255"/>
        <item x="278"/>
        <item x="1306"/>
        <item x="504"/>
        <item x="293"/>
        <item x="54"/>
        <item x="82"/>
        <item x="1240"/>
        <item x="972"/>
        <item x="801"/>
        <item x="262"/>
        <item x="325"/>
        <item x="869"/>
        <item x="977"/>
        <item x="360"/>
        <item x="264"/>
        <item x="698"/>
        <item x="1225"/>
        <item x="38"/>
        <item x="1017"/>
        <item x="223"/>
        <item x="220"/>
        <item x="1037"/>
        <item x="547"/>
        <item x="671"/>
        <item x="609"/>
        <item x="1296"/>
        <item x="745"/>
        <item x="1008"/>
        <item x="1125"/>
        <item x="579"/>
        <item x="576"/>
        <item x="1218"/>
        <item x="681"/>
        <item x="1104"/>
        <item x="682"/>
        <item x="1273"/>
        <item x="391"/>
        <item x="407"/>
        <item x="1075"/>
        <item x="1403"/>
        <item x="785"/>
        <item x="731"/>
        <item x="1023"/>
        <item x="1274"/>
        <item x="690"/>
        <item x="415"/>
        <item x="1183"/>
        <item x="1223"/>
        <item x="955"/>
        <item x="524"/>
        <item x="1038"/>
        <item x="534"/>
        <item x="29"/>
        <item x="661"/>
        <item x="252"/>
        <item x="373"/>
        <item x="456"/>
        <item x="341"/>
        <item x="751"/>
        <item x="478"/>
        <item x="1171"/>
        <item x="988"/>
        <item x="733"/>
        <item x="821"/>
        <item x="639"/>
        <item x="1179"/>
        <item x="888"/>
        <item x="1228"/>
        <item x="8"/>
        <item x="809"/>
        <item x="68"/>
        <item x="987"/>
        <item x="1139"/>
        <item x="347"/>
        <item x="810"/>
        <item x="343"/>
        <item x="570"/>
        <item x="822"/>
        <item x="155"/>
        <item x="374"/>
        <item x="298"/>
        <item x="726"/>
        <item x="7"/>
        <item x="459"/>
        <item x="664"/>
        <item x="584"/>
        <item x="417"/>
        <item x="1386"/>
        <item x="461"/>
        <item x="1366"/>
        <item x="1409"/>
        <item x="1147"/>
        <item x="1002"/>
        <item x="127"/>
        <item x="434"/>
        <item x="735"/>
        <item x="991"/>
        <item x="914"/>
        <item x="492"/>
        <item x="541"/>
        <item x="1387"/>
        <item x="1282"/>
        <item x="490"/>
        <item x="1311"/>
        <item x="1257"/>
        <item x="156"/>
        <item x="232"/>
        <item x="937"/>
        <item x="910"/>
        <item x="416"/>
        <item x="313"/>
        <item x="228"/>
        <item x="916"/>
        <item x="1114"/>
        <item x="292"/>
        <item x="1000"/>
        <item x="566"/>
        <item x="419"/>
        <item x="241"/>
        <item x="80"/>
        <item x="1081"/>
        <item x="1060"/>
        <item x="502"/>
        <item x="818"/>
        <item x="131"/>
        <item x="247"/>
        <item x="548"/>
        <item x="1210"/>
        <item x="798"/>
        <item x="846"/>
        <item x="589"/>
        <item x="771"/>
        <item x="330"/>
        <item x="1009"/>
        <item x="1012"/>
        <item x="1168"/>
        <item x="928"/>
        <item x="727"/>
        <item x="930"/>
        <item x="1098"/>
        <item x="493"/>
        <item x="878"/>
        <item x="873"/>
        <item x="183"/>
        <item x="1350"/>
        <item x="27"/>
        <item x="620"/>
        <item x="354"/>
        <item x="320"/>
        <item x="1222"/>
        <item x="234"/>
        <item x="738"/>
        <item x="840"/>
        <item x="1333"/>
        <item x="512"/>
        <item x="565"/>
        <item x="623"/>
        <item x="1230"/>
        <item x="986"/>
        <item x="182"/>
        <item x="898"/>
        <item x="1349"/>
        <item x="150"/>
        <item x="1052"/>
        <item x="1214"/>
        <item x="672"/>
        <item x="618"/>
        <item x="892"/>
        <item x="838"/>
        <item x="669"/>
        <item x="473"/>
        <item x="390"/>
        <item x="703"/>
        <item x="782"/>
        <item x="992"/>
        <item x="651"/>
        <item x="920"/>
        <item x="1373"/>
        <item x="1372"/>
        <item x="1281"/>
        <item x="308"/>
        <item x="885"/>
        <item x="1178"/>
        <item x="968"/>
        <item x="775"/>
        <item x="538"/>
        <item x="14"/>
        <item x="1332"/>
        <item x="932"/>
        <item x="1061"/>
        <item x="126"/>
        <item x="1301"/>
        <item x="483"/>
        <item x="599"/>
        <item x="1391"/>
        <item x="1300"/>
        <item x="1239"/>
        <item x="297"/>
        <item x="721"/>
        <item x="833"/>
        <item x="430"/>
        <item x="177"/>
        <item x="427"/>
        <item x="558"/>
        <item x="482"/>
        <item x="477"/>
        <item x="371"/>
        <item x="33"/>
        <item x="569"/>
        <item x="472"/>
        <item x="312"/>
        <item x="1354"/>
        <item x="173"/>
        <item x="359"/>
        <item x="673"/>
        <item x="585"/>
        <item x="1261"/>
        <item x="170"/>
        <item x="990"/>
        <item x="1329"/>
        <item x="544"/>
        <item x="1312"/>
        <item x="70"/>
        <item x="1377"/>
        <item x="249"/>
        <item x="1068"/>
        <item x="970"/>
        <item x="1108"/>
        <item x="960"/>
        <item x="99"/>
        <item x="139"/>
        <item x="420"/>
        <item x="1293"/>
        <item x="1346"/>
        <item x="1367"/>
        <item x="1276"/>
        <item x="608"/>
        <item x="790"/>
        <item x="165"/>
        <item x="148"/>
        <item x="876"/>
        <item x="597"/>
        <item x="894"/>
        <item x="973"/>
        <item x="130"/>
        <item x="111"/>
        <item x="1376"/>
        <item x="1030"/>
        <item x="752"/>
        <item x="368"/>
        <item x="72"/>
        <item x="993"/>
        <item x="24"/>
        <item x="540"/>
        <item x="1250"/>
        <item x="218"/>
        <item x="151"/>
        <item x="479"/>
        <item x="154"/>
        <item x="859"/>
        <item x="1062"/>
        <item x="399"/>
        <item x="1100"/>
        <item x="192"/>
        <item x="980"/>
        <item x="81"/>
        <item x="994"/>
        <item x="115"/>
        <item x="1118"/>
        <item x="12"/>
        <item x="800"/>
        <item x="606"/>
        <item x="545"/>
        <item x="1192"/>
        <item x="634"/>
        <item x="1010"/>
        <item x="1327"/>
        <item x="205"/>
        <item x="694"/>
        <item x="285"/>
        <item x="591"/>
        <item x="248"/>
        <item x="46"/>
        <item x="92"/>
        <item x="1352"/>
        <item x="494"/>
        <item x="657"/>
        <item x="1233"/>
        <item x="1305"/>
        <item x="929"/>
        <item x="680"/>
        <item x="813"/>
        <item x="5"/>
        <item x="1337"/>
        <item x="817"/>
        <item x="487"/>
        <item x="1226"/>
        <item x="1369"/>
        <item x="1149"/>
        <item x="236"/>
        <item x="768"/>
        <item x="744"/>
        <item x="559"/>
        <item x="710"/>
        <item x="725"/>
        <item x="1392"/>
        <item x="106"/>
        <item x="119"/>
        <item x="532"/>
        <item x="62"/>
        <item x="337"/>
        <item x="135"/>
        <item x="185"/>
        <item x="637"/>
        <item x="1097"/>
        <item x="53"/>
        <item x="729"/>
        <item x="497"/>
        <item x="674"/>
        <item x="586"/>
        <item x="1157"/>
        <item x="1155"/>
        <item x="403"/>
        <item x="55"/>
        <item x="1304"/>
        <item x="967"/>
        <item x="200"/>
        <item x="592"/>
        <item x="143"/>
        <item x="369"/>
        <item x="1184"/>
        <item x="317"/>
        <item x="1203"/>
        <item x="406"/>
        <item x="615"/>
        <item x="169"/>
        <item x="1279"/>
        <item x="1166"/>
        <item x="305"/>
        <item x="855"/>
        <item x="1146"/>
        <item x="1112"/>
        <item x="1347"/>
        <item x="890"/>
        <item x="975"/>
        <item x="630"/>
        <item x="160"/>
        <item x="446"/>
        <item x="353"/>
        <item x="685"/>
        <item x="171"/>
        <item x="958"/>
        <item x="445"/>
        <item x="624"/>
        <item x="1272"/>
        <item x="862"/>
        <item x="1303"/>
        <item x="1144"/>
        <item x="1056"/>
        <item x="1128"/>
        <item x="1356"/>
        <item x="78"/>
        <item x="866"/>
        <item x="675"/>
        <item x="89"/>
        <item x="1191"/>
        <item x="438"/>
        <item x="224"/>
        <item x="1381"/>
        <item x="777"/>
        <item x="193"/>
        <item x="162"/>
        <item x="1238"/>
        <item x="1268"/>
        <item x="77"/>
        <item x="884"/>
        <item x="1090"/>
        <item x="499"/>
        <item x="442"/>
        <item x="1138"/>
        <item x="474"/>
        <item x="1086"/>
        <item x="1058"/>
        <item x="250"/>
        <item x="58"/>
        <item x="761"/>
        <item x="1029"/>
        <item x="1335"/>
        <item x="1252"/>
        <item x="814"/>
        <item x="91"/>
        <item x="107"/>
        <item x="22"/>
        <item x="1235"/>
        <item x="1371"/>
        <item x="30"/>
        <item x="1133"/>
        <item x="1102"/>
        <item x="628"/>
        <item x="3"/>
        <item x="642"/>
        <item x="789"/>
        <item x="600"/>
        <item x="1204"/>
        <item x="214"/>
        <item x="646"/>
        <item x="17"/>
        <item x="1255"/>
        <item x="381"/>
        <item x="849"/>
        <item x="560"/>
        <item x="140"/>
        <item x="176"/>
        <item x="1263"/>
        <item x="13"/>
        <item x="44"/>
        <item x="607"/>
        <item x="1116"/>
        <item x="653"/>
        <item x="1254"/>
        <item x="1094"/>
        <item x="723"/>
        <item x="874"/>
        <item x="1251"/>
        <item x="433"/>
        <item x="1153"/>
        <item x="149"/>
        <item x="1137"/>
        <item x="747"/>
        <item x="658"/>
        <item x="1248"/>
        <item x="1202"/>
        <item x="1237"/>
        <item x="242"/>
        <item x="845"/>
        <item x="578"/>
        <item x="598"/>
        <item x="1193"/>
        <item x="1324"/>
        <item x="1308"/>
        <item x="1087"/>
        <item x="1161"/>
        <item x="627"/>
        <item x="702"/>
        <item x="1351"/>
        <item x="1361"/>
        <item x="903"/>
        <item x="999"/>
        <item x="759"/>
        <item x="167"/>
        <item x="1072"/>
        <item x="1211"/>
        <item x="469"/>
        <item x="20"/>
        <item x="138"/>
        <item x="945"/>
        <item x="780"/>
        <item x="212"/>
        <item x="839"/>
        <item x="1050"/>
        <item x="1142"/>
        <item x="1160"/>
        <item x="379"/>
        <item x="1034"/>
        <item x="802"/>
        <item x="122"/>
        <item x="571"/>
        <item x="194"/>
        <item x="1199"/>
        <item x="1401"/>
        <item x="659"/>
        <item x="114"/>
        <item x="1258"/>
        <item x="1169"/>
        <item x="1165"/>
        <item x="1083"/>
        <item x="860"/>
        <item x="1175"/>
        <item x="954"/>
        <item x="1408"/>
        <item x="1407"/>
        <item x="783"/>
        <item x="525"/>
        <item x="985"/>
        <item x="619"/>
        <item x="645"/>
        <item x="1285"/>
        <item x="1177"/>
        <item x="927"/>
        <item x="1404"/>
        <item x="426"/>
        <item x="1007"/>
        <item x="732"/>
        <item x="265"/>
        <item x="947"/>
        <item x="217"/>
        <item x="549"/>
        <item x="812"/>
        <item x="1336"/>
        <item x="832"/>
        <item x="938"/>
        <item x="1216"/>
        <item x="1259"/>
        <item x="577"/>
        <item x="282"/>
        <item x="501"/>
        <item x="670"/>
        <item x="616"/>
        <item x="663"/>
        <item x="1016"/>
        <item x="811"/>
        <item x="112"/>
        <item x="101"/>
        <item x="187"/>
        <item x="1096"/>
        <item x="1316"/>
        <item x="527"/>
        <item x="202"/>
        <item x="679"/>
        <item x="1124"/>
        <item x="1364"/>
        <item x="779"/>
        <item x="1295"/>
        <item x="668"/>
        <item x="1326"/>
        <item x="121"/>
        <item x="677"/>
        <item x="750"/>
        <item x="1119"/>
        <item x="933"/>
        <item x="97"/>
        <item x="164"/>
        <item x="1388"/>
        <item x="105"/>
        <item x="1156"/>
        <item x="412"/>
        <item x="1181"/>
        <item x="1064"/>
        <item x="872"/>
        <item x="166"/>
        <item x="1394"/>
        <item x="1317"/>
        <item x="626"/>
        <item x="1089"/>
        <item x="1082"/>
        <item x="764"/>
        <item x="982"/>
        <item x="749"/>
        <item x="1186"/>
        <item x="87"/>
        <item x="697"/>
        <item x="517"/>
        <item x="199"/>
        <item x="79"/>
        <item x="441"/>
        <item x="145"/>
        <item x="1385"/>
        <item x="1219"/>
        <item x="98"/>
        <item x="971"/>
        <item x="460"/>
        <item x="6"/>
        <item x="788"/>
        <item x="1001"/>
        <item x="357"/>
        <item x="334"/>
        <item x="1189"/>
        <item x="787"/>
        <item x="93"/>
        <item x="1321"/>
        <item x="1176"/>
        <item x="765"/>
        <item x="1378"/>
        <item x="649"/>
        <item x="516"/>
        <item x="49"/>
        <item x="108"/>
        <item x="1135"/>
        <item x="998"/>
        <item x="1033"/>
        <item x="174"/>
        <item x="1185"/>
        <item x="767"/>
        <item x="1095"/>
        <item x="656"/>
        <item x="936"/>
        <item x="708"/>
        <item x="175"/>
        <item x="715"/>
        <item x="84"/>
        <item x="1122"/>
        <item x="396"/>
        <item x="1260"/>
        <item x="536"/>
        <item x="963"/>
        <item x="770"/>
        <item x="1107"/>
        <item x="1132"/>
        <item x="1271"/>
        <item x="959"/>
        <item x="631"/>
        <item x="197"/>
        <item x="976"/>
        <item x="1406"/>
        <item x="382"/>
        <item x="741"/>
        <item x="648"/>
        <item x="256"/>
        <item x="508"/>
        <item x="842"/>
        <item x="65"/>
        <item x="567"/>
        <item x="719"/>
        <item x="219"/>
        <item x="528"/>
        <item x="1154"/>
        <item x="956"/>
        <item x="1170"/>
        <item x="1342"/>
        <item x="875"/>
        <item x="271"/>
        <item x="238"/>
        <item x="179"/>
        <item x="1035"/>
        <item x="848"/>
        <item x="1110"/>
        <item x="431"/>
        <item x="1150"/>
        <item x="258"/>
        <item x="31"/>
        <item x="979"/>
        <item x="450"/>
        <item x="730"/>
        <item x="611"/>
        <item x="564"/>
        <item x="1288"/>
        <item x="554"/>
        <item x="640"/>
        <item x="551"/>
        <item x="1299"/>
        <item x="893"/>
        <item x="451"/>
        <item x="803"/>
        <item x="1379"/>
        <item x="553"/>
        <item x="1241"/>
        <item x="41"/>
        <item x="128"/>
        <item x="358"/>
        <item x="861"/>
        <item x="210"/>
        <item x="83"/>
        <item x="1131"/>
        <item x="1151"/>
        <item x="808"/>
        <item x="825"/>
        <item x="48"/>
        <item x="295"/>
        <item x="1021"/>
        <item x="1172"/>
        <item x="1314"/>
        <item x="1201"/>
        <item x="1353"/>
        <item x="118"/>
        <item x="952"/>
        <item x="1099"/>
        <item x="1280"/>
        <item x="957"/>
        <item x="717"/>
        <item x="1242"/>
        <item x="853"/>
        <item x="142"/>
        <item x="245"/>
        <item x="424"/>
        <item x="1266"/>
        <item x="485"/>
        <item x="57"/>
        <item x="1232"/>
        <item x="794"/>
        <item x="1055"/>
        <item x="411"/>
        <item x="1158"/>
        <item x="758"/>
        <item x="1190"/>
        <item x="951"/>
        <item x="594"/>
        <item x="1027"/>
        <item x="753"/>
        <item x="117"/>
        <item x="740"/>
        <item x="1287"/>
        <item x="573"/>
        <item x="748"/>
        <item x="539"/>
        <item x="37"/>
        <item x="1111"/>
        <item x="1315"/>
        <item x="921"/>
        <item x="1117"/>
        <item x="289"/>
        <item x="137"/>
        <item x="629"/>
        <item x="1136"/>
        <item x="688"/>
        <item x="575"/>
        <item x="51"/>
        <item x="186"/>
        <item x="728"/>
        <item x="911"/>
        <item x="667"/>
        <item x="643"/>
        <item x="21"/>
        <item x="394"/>
        <item x="1256"/>
        <item x="581"/>
        <item x="1319"/>
        <item x="208"/>
        <item x="1249"/>
        <item x="1286"/>
        <item x="1163"/>
        <item x="464"/>
        <item x="556"/>
        <item x="16"/>
        <item x="125"/>
        <item x="1205"/>
        <item x="152"/>
        <item x="123"/>
        <item x="843"/>
        <item x="304"/>
        <item x="804"/>
        <item x="454"/>
        <item x="1152"/>
        <item x="110"/>
        <item x="805"/>
        <item x="1164"/>
        <item x="393"/>
        <item x="346"/>
        <item x="590"/>
        <item x="1269"/>
        <item x="1200"/>
        <item x="302"/>
        <item x="377"/>
        <item x="1129"/>
        <item x="572"/>
        <item x="742"/>
        <item x="244"/>
        <item x="1044"/>
        <item x="103"/>
        <item x="555"/>
        <item x="695"/>
        <item x="1298"/>
        <item x="983"/>
        <item x="806"/>
        <item x="1283"/>
        <item x="452"/>
        <item x="1323"/>
        <item x="691"/>
        <item x="363"/>
        <item x="722"/>
        <item x="190"/>
        <item x="348"/>
        <item x="64"/>
        <item x="1109"/>
        <item x="73"/>
        <item x="857"/>
        <item x="481"/>
        <item x="1253"/>
        <item x="1374"/>
        <item x="61"/>
        <item x="841"/>
        <item x="144"/>
        <item x="9"/>
        <item x="1348"/>
        <item x="195"/>
        <item x="1328"/>
        <item x="280"/>
        <item x="686"/>
        <item x="1127"/>
        <item x="1073"/>
        <item x="716"/>
        <item x="172"/>
        <item x="124"/>
        <item x="388"/>
        <item x="676"/>
        <item x="383"/>
        <item x="1229"/>
        <item x="995"/>
        <item x="260"/>
        <item x="76"/>
        <item x="429"/>
        <item x="699"/>
        <item x="908"/>
        <item x="1289"/>
        <item x="153"/>
        <item x="563"/>
        <item x="883"/>
        <item x="683"/>
        <item x="915"/>
        <item x="1173"/>
        <item x="687"/>
        <item x="692"/>
        <item x="684"/>
        <item x="562"/>
        <item x="1246"/>
        <item x="435"/>
        <item x="918"/>
        <item x="1113"/>
        <item x="257"/>
        <item x="462"/>
        <item x="395"/>
        <item x="924"/>
        <item x="1267"/>
        <item x="141"/>
        <item x="276"/>
        <item x="310"/>
        <item x="274"/>
        <item x="940"/>
        <item x="1270"/>
        <item x="705"/>
        <item x="1284"/>
        <item x="946"/>
        <item x="709"/>
        <item x="1063"/>
        <item x="588"/>
        <item x="823"/>
        <item x="198"/>
        <item x="1302"/>
        <item x="650"/>
        <item x="1231"/>
        <item x="714"/>
        <item x="1294"/>
        <item x="1048"/>
        <item x="1105"/>
        <item x="906"/>
        <item x="1325"/>
        <item x="275"/>
        <item x="942"/>
        <item x="1043"/>
        <item x="756"/>
        <item x="1307"/>
        <item x="398"/>
        <item x="1024"/>
        <item x="1162"/>
        <item x="1236"/>
        <item x="288"/>
        <item x="1360"/>
        <item x="405"/>
        <item x="1141"/>
        <item x="1340"/>
        <item x="865"/>
        <item x="1123"/>
        <item x="1339"/>
        <item x="1221"/>
        <item x="665"/>
        <item x="366"/>
        <item x="147"/>
        <item x="507"/>
        <item x="1130"/>
        <item x="1054"/>
        <item x="191"/>
        <item x="746"/>
        <item x="1195"/>
        <item x="612"/>
        <item x="644"/>
        <item x="791"/>
        <item x="1244"/>
        <item x="1143"/>
        <item x="421"/>
        <item x="762"/>
        <item x="879"/>
        <item x="309"/>
        <item x="18"/>
        <item x="324"/>
        <item x="1115"/>
        <item x="926"/>
        <item x="1046"/>
        <item x="582"/>
        <item x="161"/>
        <item x="203"/>
        <item x="1358"/>
        <item x="737"/>
        <item x="521"/>
        <item x="1341"/>
        <item x="1389"/>
        <item x="819"/>
        <item x="397"/>
        <item x="328"/>
        <item x="1309"/>
        <item x="962"/>
        <item x="85"/>
        <item x="168"/>
        <item x="206"/>
        <item x="568"/>
        <item x="267"/>
        <item x="422"/>
        <item x="63"/>
        <item x="1077"/>
        <item x="1227"/>
        <item x="1187"/>
        <item x="254"/>
        <item x="428"/>
        <item x="969"/>
        <item x="465"/>
        <item x="1234"/>
        <item x="720"/>
        <item x="1262"/>
        <item x="1145"/>
        <item x="981"/>
        <item x="385"/>
        <item x="593"/>
        <item x="1212"/>
        <item x="457"/>
        <item x="561"/>
        <item x="635"/>
        <item x="935"/>
        <item x="230"/>
        <item x="1194"/>
        <item x="696"/>
        <item x="739"/>
        <item x="1363"/>
        <item x="0"/>
        <item x="209"/>
        <item x="636"/>
        <item x="453"/>
        <item x="1318"/>
        <item x="943"/>
        <item x="1140"/>
        <item x="966"/>
        <item x="1206"/>
        <item x="724"/>
        <item x="1014"/>
        <item x="1402"/>
        <item x="470"/>
        <item x="757"/>
        <item x="1343"/>
        <item x="754"/>
        <item x="109"/>
        <item x="1390"/>
        <item x="129"/>
        <item x="146"/>
        <item x="734"/>
        <item x="769"/>
        <item x="510"/>
        <item x="408"/>
        <item x="641"/>
        <item x="736"/>
        <item x="693"/>
        <item x="251"/>
        <item x="19"/>
        <item x="56"/>
        <item x="948"/>
        <item x="314"/>
        <item x="743"/>
        <item x="772"/>
        <item x="816"/>
        <item x="272"/>
        <item x="781"/>
        <item x="530"/>
        <item x="574"/>
        <item x="181"/>
        <item x="28"/>
        <item x="323"/>
        <item x="1084"/>
        <item x="543"/>
        <item x="518"/>
        <item x="880"/>
        <item x="766"/>
        <item x="847"/>
        <item x="116"/>
        <item x="1278"/>
        <item x="207"/>
        <item x="34"/>
        <item x="384"/>
        <item x="602"/>
        <item x="1399"/>
        <item x="1320"/>
        <item x="851"/>
        <item x="163"/>
        <item x="1126"/>
        <item x="495"/>
        <item x="1120"/>
        <item x="1085"/>
        <item x="95"/>
        <item x="4"/>
        <item x="1188"/>
        <item x="436"/>
        <item x="47"/>
        <item x="617"/>
        <item x="10"/>
        <item x="1375"/>
        <item x="887"/>
        <item x="1032"/>
        <item x="1396"/>
        <item x="52"/>
        <item x="201"/>
        <item x="881"/>
        <item x="542"/>
        <item x="1297"/>
        <item x="580"/>
        <item x="557"/>
        <item x="776"/>
        <item x="610"/>
        <item x="712"/>
        <item x="75"/>
        <item x="1106"/>
        <item x="1207"/>
        <item x="1197"/>
        <item x="964"/>
        <item x="423"/>
        <item x="519"/>
        <item x="1224"/>
        <item x="1028"/>
        <item x="225"/>
        <item x="1397"/>
        <item x="1398"/>
        <item x="1265"/>
        <item x="689"/>
        <item x="718"/>
        <item x="1368"/>
        <item x="1292"/>
        <item x="1209"/>
        <item x="603"/>
        <item x="1003"/>
        <item x="476"/>
        <item x="1247"/>
        <item x="1405"/>
        <item x="503"/>
        <item x="376"/>
        <item x="760"/>
        <item x="36"/>
        <item x="622"/>
        <item x="489"/>
        <item x="439"/>
        <item x="996"/>
        <item x="1026"/>
        <item x="67"/>
        <item x="1013"/>
        <item x="1088"/>
        <item x="807"/>
        <item x="1071"/>
        <item x="950"/>
        <item x="989"/>
        <item x="488"/>
        <item x="1057"/>
        <item x="102"/>
        <item x="216"/>
        <item x="1031"/>
        <item x="662"/>
        <item x="291"/>
        <item x="795"/>
        <item x="509"/>
        <item x="1101"/>
        <item x="1103"/>
        <item x="321"/>
        <item x="180"/>
        <item x="26"/>
        <item x="595"/>
        <item x="835"/>
        <item x="941"/>
        <item x="1011"/>
        <item x="134"/>
        <item x="1005"/>
        <item x="1400"/>
        <item x="713"/>
        <item x="836"/>
        <item x="60"/>
        <item x="984"/>
        <item x="1180"/>
        <item x="867"/>
        <item x="25"/>
        <item x="864"/>
        <item x="632"/>
        <item x="1067"/>
        <item x="213"/>
        <item x="1365"/>
        <item x="923"/>
        <item x="863"/>
        <item x="778"/>
        <item x="844"/>
        <item x="104"/>
        <item x="793"/>
        <item x="1148"/>
        <item x="1079"/>
        <item x="625"/>
        <item x="189"/>
        <item x="1380"/>
        <item x="828"/>
        <item x="523"/>
        <item x="468"/>
        <item x="1039"/>
        <item x="997"/>
        <item x="59"/>
        <item x="830"/>
        <item x="335"/>
        <item x="11"/>
        <item x="837"/>
        <item x="900"/>
        <item x="711"/>
        <item x="1322"/>
        <item x="339"/>
        <item x="546"/>
        <item x="704"/>
        <item x="1174"/>
        <item x="196"/>
        <item x="1078"/>
        <item x="94"/>
        <item x="613"/>
        <item x="1182"/>
        <item x="1245"/>
        <item x="934"/>
        <item x="931"/>
        <item x="1041"/>
        <item x="157"/>
        <item x="447"/>
        <item x="792"/>
        <item x="1331"/>
        <item x="413"/>
        <item x="1382"/>
        <item x="500"/>
        <item x="1134"/>
        <item x="944"/>
        <item x="907"/>
        <item x="587"/>
        <item x="1384"/>
        <item x="965"/>
        <item x="904"/>
        <item x="269"/>
        <item x="820"/>
        <item x="222"/>
        <item x="96"/>
        <item x="953"/>
        <item x="666"/>
        <item x="1093"/>
        <item x="505"/>
        <item x="763"/>
        <item x="583"/>
        <item x="45"/>
        <item x="90"/>
        <item x="404"/>
        <item x="136"/>
        <item x="1080"/>
        <item x="367"/>
        <item x="1330"/>
        <item x="1121"/>
        <item x="909"/>
        <item x="827"/>
        <item x="364"/>
        <item x="1344"/>
        <item x="246"/>
        <item x="1015"/>
        <item x="1004"/>
        <item x="796"/>
        <item x="913"/>
        <item x="877"/>
        <item x="475"/>
        <item x="633"/>
        <item x="511"/>
        <item x="113"/>
        <item x="889"/>
        <item x="550"/>
        <item x="774"/>
        <item x="387"/>
        <item x="378"/>
        <item x="614"/>
        <item x="100"/>
        <item x="243"/>
        <item x="974"/>
        <item x="856"/>
        <item x="596"/>
        <item x="773"/>
        <item x="1208"/>
        <item x="458"/>
        <item x="120"/>
        <item x="350"/>
        <item x="605"/>
        <item x="526"/>
        <item x="158"/>
        <item x="858"/>
        <item x="351"/>
        <item x="506"/>
        <item x="1025"/>
        <item x="440"/>
        <item x="455"/>
        <item x="1051"/>
        <item x="344"/>
        <item x="333"/>
        <item x="352"/>
        <item x="552"/>
        <item x="531"/>
        <item x="1091"/>
        <item x="463"/>
        <item x="159"/>
        <item x="386"/>
        <item x="370"/>
        <item x="1313"/>
        <item x="66"/>
        <item x="69"/>
        <item x="1092"/>
        <item x="1338"/>
        <item x="2"/>
        <item x="1217"/>
        <item x="449"/>
        <item x="402"/>
        <item x="227"/>
        <item x="287"/>
        <item x="902"/>
        <item x="831"/>
        <item x="23"/>
        <item x="1355"/>
        <item x="277"/>
        <item x="514"/>
        <item x="1049"/>
        <item x="755"/>
        <item x="486"/>
        <item x="905"/>
        <item x="301"/>
        <item x="204"/>
        <item x="871"/>
        <item x="303"/>
        <item x="355"/>
        <item x="296"/>
        <item x="852"/>
        <item x="655"/>
        <item x="799"/>
        <item x="522"/>
        <item x="270"/>
        <item x="331"/>
        <item x="239"/>
        <item x="515"/>
        <item x="392"/>
        <item x="300"/>
        <item x="1277"/>
        <item x="233"/>
        <item x="43"/>
        <item x="925"/>
        <item x="480"/>
        <item x="221"/>
        <item x="660"/>
        <item x="1019"/>
        <item x="281"/>
        <item x="850"/>
        <item x="342"/>
        <item x="307"/>
        <item x="211"/>
        <item x="896"/>
        <item x="537"/>
        <item x="467"/>
        <item x="786"/>
        <item x="1069"/>
        <item x="601"/>
        <item t="default"/>
      </items>
    </pivotField>
    <pivotField dataField="1" showAll="0">
      <items count="1409">
        <item x="345"/>
        <item x="394"/>
        <item x="1065"/>
        <item x="894"/>
        <item x="1031"/>
        <item x="295"/>
        <item x="1078"/>
        <item x="1234"/>
        <item x="15"/>
        <item x="733"/>
        <item x="1302"/>
        <item x="363"/>
        <item x="228"/>
        <item x="1378"/>
        <item x="964"/>
        <item x="813"/>
        <item x="435"/>
        <item x="1048"/>
        <item x="1004"/>
        <item x="1293"/>
        <item x="287"/>
        <item x="511"/>
        <item x="362"/>
        <item x="740"/>
        <item x="597"/>
        <item x="1225"/>
        <item x="1334"/>
        <item x="297"/>
        <item x="436"/>
        <item x="36"/>
        <item x="982"/>
        <item x="1144"/>
        <item x="414"/>
        <item x="1370"/>
        <item x="1291"/>
        <item x="346"/>
        <item x="1353"/>
        <item x="99"/>
        <item x="241"/>
        <item x="1075"/>
        <item x="1290"/>
        <item x="903"/>
        <item x="1007"/>
        <item x="924"/>
        <item x="1066"/>
        <item x="512"/>
        <item x="441"/>
        <item x="628"/>
        <item x="1132"/>
        <item x="1339"/>
        <item x="425"/>
        <item x="1018"/>
        <item x="76"/>
        <item x="544"/>
        <item x="411"/>
        <item x="261"/>
        <item x="437"/>
        <item x="1181"/>
        <item x="1107"/>
        <item x="1179"/>
        <item x="1393"/>
        <item x="31"/>
        <item x="336"/>
        <item x="1298"/>
        <item x="1331"/>
        <item x="360"/>
        <item x="1367"/>
        <item x="1047"/>
        <item x="1113"/>
        <item x="419"/>
        <item x="707"/>
        <item x="674"/>
        <item x="332"/>
        <item x="442"/>
        <item x="986"/>
        <item x="387"/>
        <item x="1297"/>
        <item x="1208"/>
        <item x="329"/>
        <item x="1057"/>
        <item x="1282"/>
        <item x="1324"/>
        <item x="290"/>
        <item x="17"/>
        <item x="595"/>
        <item x="350"/>
        <item x="372"/>
        <item x="1128"/>
        <item x="1352"/>
        <item x="417"/>
        <item x="1083"/>
        <item x="274"/>
        <item x="1162"/>
        <item x="1145"/>
        <item x="186"/>
        <item x="1211"/>
        <item x="1242"/>
        <item x="743"/>
        <item x="1382"/>
        <item x="58"/>
        <item x="602"/>
        <item x="278"/>
        <item x="354"/>
        <item x="1325"/>
        <item x="691"/>
        <item x="289"/>
        <item x="141"/>
        <item x="294"/>
        <item x="1196"/>
        <item x="1115"/>
        <item x="1394"/>
        <item x="114"/>
        <item x="101"/>
        <item x="1389"/>
        <item x="198"/>
        <item x="1000"/>
        <item x="460"/>
        <item x="340"/>
        <item x="112"/>
        <item x="1376"/>
        <item x="849"/>
        <item x="862"/>
        <item x="1042"/>
        <item x="334"/>
        <item x="930"/>
        <item x="256"/>
        <item x="333"/>
        <item x="1091"/>
        <item x="514"/>
        <item x="851"/>
        <item x="669"/>
        <item x="1254"/>
        <item x="874"/>
        <item x="685"/>
        <item x="1173"/>
        <item x="67"/>
        <item x="183"/>
        <item x="1233"/>
        <item x="532"/>
        <item x="498"/>
        <item x="451"/>
        <item x="431"/>
        <item x="1077"/>
        <item x="1303"/>
        <item x="1365"/>
        <item x="958"/>
        <item x="985"/>
        <item x="1221"/>
        <item x="10"/>
        <item x="286"/>
        <item x="359"/>
        <item x="1337"/>
        <item x="1104"/>
        <item x="503"/>
        <item x="1073"/>
        <item x="285"/>
        <item x="695"/>
        <item x="1244"/>
        <item x="1191"/>
        <item x="505"/>
        <item x="1373"/>
        <item x="883"/>
        <item x="385"/>
        <item x="1193"/>
        <item x="765"/>
        <item x="1052"/>
        <item x="642"/>
        <item x="898"/>
        <item x="298"/>
        <item x="199"/>
        <item x="1260"/>
        <item x="1198"/>
        <item x="1341"/>
        <item x="257"/>
        <item x="106"/>
        <item x="579"/>
        <item x="1276"/>
        <item x="722"/>
        <item x="1067"/>
        <item x="1287"/>
        <item x="539"/>
        <item x="490"/>
        <item x="420"/>
        <item x="929"/>
        <item x="527"/>
        <item x="648"/>
        <item x="266"/>
        <item x="156"/>
        <item x="1319"/>
        <item x="598"/>
        <item x="1155"/>
        <item x="1230"/>
        <item x="1351"/>
        <item x="416"/>
        <item x="7"/>
        <item x="1251"/>
        <item x="88"/>
        <item x="146"/>
        <item x="1085"/>
        <item x="940"/>
        <item x="1379"/>
        <item x="1308"/>
        <item x="942"/>
        <item x="526"/>
        <item x="312"/>
        <item x="1315"/>
        <item x="811"/>
        <item x="1349"/>
        <item x="588"/>
        <item x="92"/>
        <item x="1318"/>
        <item x="656"/>
        <item x="873"/>
        <item x="952"/>
        <item x="482"/>
        <item x="1216"/>
        <item x="178"/>
        <item x="1385"/>
        <item x="967"/>
        <item x="1252"/>
        <item x="1002"/>
        <item x="364"/>
        <item x="619"/>
        <item x="607"/>
        <item x="74"/>
        <item x="1406"/>
        <item x="1358"/>
        <item x="525"/>
        <item x="447"/>
        <item x="889"/>
        <item x="376"/>
        <item x="988"/>
        <item x="323"/>
        <item x="870"/>
        <item x="1213"/>
        <item x="2"/>
        <item x="616"/>
        <item x="736"/>
        <item x="1232"/>
        <item x="807"/>
        <item x="1131"/>
        <item x="712"/>
        <item x="356"/>
        <item x="852"/>
        <item x="819"/>
        <item x="1109"/>
        <item x="684"/>
        <item x="1292"/>
        <item x="43"/>
        <item x="381"/>
        <item x="9"/>
        <item x="267"/>
        <item x="1120"/>
        <item x="681"/>
        <item x="249"/>
        <item x="60"/>
        <item x="524"/>
        <item x="1021"/>
        <item x="35"/>
        <item x="254"/>
        <item x="677"/>
        <item x="1402"/>
        <item x="859"/>
        <item x="327"/>
        <item x="1165"/>
        <item x="567"/>
        <item x="753"/>
        <item x="599"/>
        <item x="956"/>
        <item x="40"/>
        <item x="1398"/>
        <item x="1180"/>
        <item x="265"/>
        <item x="160"/>
        <item x="507"/>
        <item x="1400"/>
        <item x="83"/>
        <item x="226"/>
        <item x="1343"/>
        <item x="611"/>
        <item x="654"/>
        <item x="1038"/>
        <item x="1403"/>
        <item x="830"/>
        <item x="427"/>
        <item x="12"/>
        <item x="1267"/>
        <item x="777"/>
        <item x="928"/>
        <item x="1345"/>
        <item x="148"/>
        <item x="478"/>
        <item x="371"/>
        <item x="729"/>
        <item x="881"/>
        <item x="184"/>
        <item x="1142"/>
        <item x="8"/>
        <item x="275"/>
        <item x="213"/>
        <item x="1189"/>
        <item x="546"/>
        <item x="993"/>
        <item x="941"/>
        <item x="1243"/>
        <item x="554"/>
        <item x="366"/>
        <item x="201"/>
        <item x="657"/>
        <item x="205"/>
        <item x="522"/>
        <item x="403"/>
        <item x="1280"/>
        <item x="634"/>
        <item x="1133"/>
        <item x="306"/>
        <item x="176"/>
        <item x="790"/>
        <item x="1321"/>
        <item x="440"/>
        <item x="1387"/>
        <item x="311"/>
        <item x="949"/>
        <item x="109"/>
        <item x="772"/>
        <item x="461"/>
        <item x="121"/>
        <item x="686"/>
        <item x="1176"/>
        <item x="4"/>
        <item x="500"/>
        <item x="1268"/>
        <item x="1313"/>
        <item x="379"/>
        <item x="995"/>
        <item x="396"/>
        <item x="891"/>
        <item x="73"/>
        <item x="314"/>
        <item x="65"/>
        <item x="939"/>
        <item x="914"/>
        <item x="600"/>
        <item x="655"/>
        <item x="1263"/>
        <item x="1171"/>
        <item x="1089"/>
        <item x="1056"/>
        <item x="1063"/>
        <item x="1016"/>
        <item x="471"/>
        <item x="683"/>
        <item x="1054"/>
        <item x="751"/>
        <item x="959"/>
        <item x="39"/>
        <item x="1195"/>
        <item x="886"/>
        <item x="960"/>
        <item x="841"/>
        <item x="895"/>
        <item x="5"/>
        <item x="761"/>
        <item x="1306"/>
        <item x="912"/>
        <item x="857"/>
        <item x="1212"/>
        <item x="788"/>
        <item x="1386"/>
        <item x="188"/>
        <item x="934"/>
        <item x="353"/>
        <item x="508"/>
        <item x="537"/>
        <item x="530"/>
        <item x="701"/>
        <item x="731"/>
        <item x="279"/>
        <item x="322"/>
        <item x="1105"/>
        <item x="27"/>
        <item x="1106"/>
        <item x="1026"/>
        <item x="759"/>
        <item x="51"/>
        <item x="779"/>
        <item x="135"/>
        <item x="706"/>
        <item x="723"/>
        <item x="867"/>
        <item x="339"/>
        <item x="558"/>
        <item x="630"/>
        <item x="225"/>
        <item x="906"/>
        <item x="879"/>
        <item x="1250"/>
        <item x="1055"/>
        <item x="75"/>
        <item x="1003"/>
        <item x="159"/>
        <item x="571"/>
        <item x="693"/>
        <item x="659"/>
        <item x="787"/>
        <item x="652"/>
        <item x="872"/>
        <item x="87"/>
        <item x="800"/>
        <item x="1206"/>
        <item x="1160"/>
        <item x="1229"/>
        <item x="741"/>
        <item x="1361"/>
        <item x="603"/>
        <item x="992"/>
        <item x="587"/>
        <item x="71"/>
        <item x="662"/>
        <item x="433"/>
        <item x="585"/>
        <item x="407"/>
        <item x="1175"/>
        <item x="720"/>
        <item x="688"/>
        <item x="259"/>
        <item x="814"/>
        <item x="1111"/>
        <item x="1355"/>
        <item x="1092"/>
        <item x="182"/>
        <item x="491"/>
        <item x="271"/>
        <item x="1266"/>
        <item x="724"/>
        <item x="412"/>
        <item x="672"/>
        <item x="543"/>
        <item x="32"/>
        <item x="594"/>
        <item x="171"/>
        <item x="415"/>
        <item x="1301"/>
        <item x="838"/>
        <item x="1119"/>
        <item x="251"/>
        <item x="192"/>
        <item x="518"/>
        <item x="443"/>
        <item x="780"/>
        <item x="458"/>
        <item x="623"/>
        <item x="341"/>
        <item x="49"/>
        <item x="1060"/>
        <item x="517"/>
        <item x="1088"/>
        <item x="606"/>
        <item x="732"/>
        <item x="357"/>
        <item x="1072"/>
        <item x="24"/>
        <item x="1304"/>
        <item x="715"/>
        <item x="762"/>
        <item x="137"/>
        <item x="1372"/>
        <item x="319"/>
        <item x="361"/>
        <item x="165"/>
        <item x="169"/>
        <item x="1023"/>
        <item x="1182"/>
        <item x="999"/>
        <item x="682"/>
        <item x="1050"/>
        <item x="1249"/>
        <item x="1218"/>
        <item x="161"/>
        <item x="430"/>
        <item x="136"/>
        <item x="25"/>
        <item x="469"/>
        <item x="82"/>
        <item x="301"/>
        <item x="1123"/>
        <item x="45"/>
        <item x="687"/>
        <item x="1253"/>
        <item x="820"/>
        <item x="1281"/>
        <item x="1141"/>
        <item x="848"/>
        <item x="536"/>
        <item x="1143"/>
        <item x="1116"/>
        <item x="38"/>
        <item x="23"/>
        <item x="1188"/>
        <item x="933"/>
        <item x="776"/>
        <item x="320"/>
        <item x="383"/>
        <item x="679"/>
        <item x="510"/>
        <item x="216"/>
        <item x="344"/>
        <item x="710"/>
        <item x="330"/>
        <item x="410"/>
        <item x="486"/>
        <item x="233"/>
        <item x="1027"/>
        <item x="925"/>
        <item x="932"/>
        <item x="338"/>
        <item x="144"/>
        <item x="208"/>
        <item x="1314"/>
        <item x="920"/>
        <item x="1207"/>
        <item x="1312"/>
        <item x="1098"/>
        <item x="465"/>
        <item x="612"/>
        <item x="1101"/>
        <item x="1129"/>
        <item x="401"/>
        <item x="1294"/>
        <item x="714"/>
        <item x="531"/>
        <item x="1126"/>
        <item x="748"/>
        <item x="277"/>
        <item x="276"/>
        <item x="98"/>
        <item x="1202"/>
        <item x="719"/>
        <item x="770"/>
        <item x="810"/>
        <item x="1121"/>
        <item x="175"/>
        <item x="429"/>
        <item x="1127"/>
        <item x="222"/>
        <item x="91"/>
        <item x="937"/>
        <item x="1305"/>
        <item x="568"/>
        <item x="778"/>
        <item x="846"/>
        <item x="670"/>
        <item x="1220"/>
        <item x="1311"/>
        <item x="902"/>
        <item x="111"/>
        <item x="945"/>
        <item x="1322"/>
        <item x="1184"/>
        <item x="983"/>
        <item x="162"/>
        <item x="593"/>
        <item x="174"/>
        <item x="626"/>
        <item x="796"/>
        <item x="1148"/>
        <item x="627"/>
        <item x="1227"/>
        <item x="398"/>
        <item x="187"/>
        <item x="488"/>
        <item x="793"/>
        <item x="467"/>
        <item x="194"/>
        <item x="910"/>
        <item x="117"/>
        <item x="219"/>
        <item x="19"/>
        <item x="556"/>
        <item x="384"/>
        <item x="702"/>
        <item x="845"/>
        <item x="584"/>
        <item x="651"/>
        <item x="1097"/>
        <item x="130"/>
        <item x="806"/>
        <item x="1366"/>
        <item x="1248"/>
        <item x="1163"/>
        <item x="968"/>
        <item x="915"/>
        <item x="802"/>
        <item x="735"/>
        <item x="506"/>
        <item x="11"/>
        <item x="850"/>
        <item x="100"/>
        <item x="727"/>
        <item x="938"/>
        <item x="583"/>
        <item x="538"/>
        <item x="680"/>
        <item x="413"/>
        <item x="477"/>
        <item x="805"/>
        <item x="326"/>
        <item x="163"/>
        <item x="1025"/>
        <item x="734"/>
        <item x="801"/>
        <item x="1194"/>
        <item x="534"/>
        <item x="954"/>
        <item x="516"/>
        <item x="644"/>
        <item x="1261"/>
        <item x="842"/>
        <item x="243"/>
        <item x="555"/>
        <item x="220"/>
        <item x="77"/>
        <item x="1228"/>
        <item x="950"/>
        <item x="581"/>
        <item x="791"/>
        <item x="1010"/>
        <item x="980"/>
        <item x="255"/>
        <item x="303"/>
        <item x="1183"/>
        <item x="134"/>
        <item x="961"/>
        <item x="1137"/>
        <item x="3"/>
        <item x="876"/>
        <item x="816"/>
        <item x="1161"/>
        <item x="107"/>
        <item x="378"/>
        <item x="1219"/>
        <item x="645"/>
        <item x="270"/>
        <item x="829"/>
        <item x="54"/>
        <item x="96"/>
        <item x="409"/>
        <item x="492"/>
        <item x="1139"/>
        <item x="622"/>
        <item x="907"/>
        <item x="59"/>
        <item x="127"/>
        <item x="1125"/>
        <item x="836"/>
        <item x="962"/>
        <item x="812"/>
        <item x="911"/>
        <item x="95"/>
        <item x="951"/>
        <item x="973"/>
        <item x="501"/>
        <item x="1204"/>
        <item x="601"/>
        <item x="468"/>
        <item x="70"/>
        <item x="85"/>
        <item x="768"/>
        <item x="1151"/>
        <item x="221"/>
        <item x="203"/>
        <item x="545"/>
        <item x="899"/>
        <item x="574"/>
        <item x="955"/>
        <item x="1019"/>
        <item x="1087"/>
        <item x="578"/>
        <item x="979"/>
        <item x="552"/>
        <item x="1044"/>
        <item x="996"/>
        <item x="592"/>
        <item x="572"/>
        <item x="128"/>
        <item x="62"/>
        <item x="110"/>
        <item x="116"/>
        <item x="660"/>
        <item x="493"/>
        <item x="629"/>
        <item x="991"/>
        <item x="399"/>
        <item x="147"/>
        <item x="284"/>
        <item x="281"/>
        <item x="1240"/>
        <item x="665"/>
        <item x="125"/>
        <item x="758"/>
        <item x="480"/>
        <item x="21"/>
        <item x="150"/>
        <item x="347"/>
        <item x="994"/>
        <item x="1286"/>
        <item x="855"/>
        <item x="632"/>
        <item x="703"/>
        <item x="118"/>
        <item x="921"/>
        <item x="158"/>
        <item x="168"/>
        <item x="1153"/>
        <item x="540"/>
        <item x="1147"/>
        <item x="104"/>
        <item x="456"/>
        <item x="773"/>
        <item x="974"/>
        <item x="167"/>
        <item x="821"/>
        <item x="861"/>
        <item x="1187"/>
        <item x="129"/>
        <item x="610"/>
        <item x="1062"/>
        <item x="747"/>
        <item x="738"/>
        <item x="26"/>
        <item x="1029"/>
        <item x="953"/>
        <item x="388"/>
        <item x="434"/>
        <item x="172"/>
        <item x="804"/>
        <item x="1299"/>
        <item x="785"/>
        <item x="760"/>
        <item x="775"/>
        <item x="620"/>
        <item x="641"/>
        <item x="573"/>
        <item x="650"/>
        <item x="217"/>
        <item x="34"/>
        <item x="668"/>
        <item x="666"/>
        <item x="869"/>
        <item x="1168"/>
        <item x="1333"/>
        <item x="1399"/>
        <item x="1146"/>
        <item x="582"/>
        <item x="833"/>
        <item x="990"/>
        <item x="20"/>
        <item x="1404"/>
        <item x="483"/>
        <item x="989"/>
        <item x="1380"/>
        <item x="699"/>
        <item x="1049"/>
        <item x="422"/>
        <item x="1236"/>
        <item x="1190"/>
        <item x="1329"/>
        <item x="6"/>
        <item x="179"/>
        <item x="459"/>
        <item x="664"/>
        <item x="794"/>
        <item x="177"/>
        <item x="445"/>
        <item x="155"/>
        <item x="78"/>
        <item x="1392"/>
        <item x="1110"/>
        <item x="307"/>
        <item x="888"/>
        <item x="1247"/>
        <item x="860"/>
        <item x="63"/>
        <item x="1046"/>
        <item x="1008"/>
        <item x="577"/>
        <item x="1036"/>
        <item x="476"/>
        <item x="211"/>
        <item x="635"/>
        <item x="1082"/>
        <item x="391"/>
        <item x="667"/>
        <item x="936"/>
        <item x="763"/>
        <item x="1405"/>
        <item x="692"/>
        <item x="1309"/>
        <item x="93"/>
        <item x="1154"/>
        <item x="689"/>
        <item x="589"/>
        <item x="90"/>
        <item x="608"/>
        <item x="207"/>
        <item x="646"/>
        <item x="50"/>
        <item x="1288"/>
        <item x="258"/>
        <item x="696"/>
        <item x="808"/>
        <item x="716"/>
        <item x="464"/>
        <item x="864"/>
        <item x="799"/>
        <item x="831"/>
        <item x="123"/>
        <item x="1185"/>
        <item x="495"/>
        <item x="1407"/>
        <item x="152"/>
        <item x="195"/>
        <item x="1214"/>
        <item x="590"/>
        <item x="640"/>
        <item x="28"/>
        <item x="798"/>
        <item x="726"/>
        <item x="426"/>
        <item x="1256"/>
        <item x="744"/>
        <item x="981"/>
        <item x="151"/>
        <item x="1338"/>
        <item x="1081"/>
        <item x="242"/>
        <item x="1360"/>
        <item x="197"/>
        <item x="647"/>
        <item x="1086"/>
        <item x="922"/>
        <item x="834"/>
        <item x="569"/>
        <item x="559"/>
        <item x="496"/>
        <item x="658"/>
        <item x="1172"/>
        <item x="321"/>
        <item x="904"/>
        <item x="280"/>
        <item x="786"/>
        <item x="48"/>
        <item x="120"/>
        <item x="970"/>
        <item x="214"/>
        <item x="560"/>
        <item x="523"/>
        <item x="519"/>
        <item x="291"/>
        <item x="302"/>
        <item x="887"/>
        <item x="908"/>
        <item x="782"/>
        <item x="639"/>
        <item x="822"/>
        <item x="47"/>
        <item x="690"/>
        <item x="1342"/>
        <item x="1396"/>
        <item x="767"/>
        <item x="586"/>
        <item x="1140"/>
        <item x="1001"/>
        <item x="1084"/>
        <item x="97"/>
        <item x="618"/>
        <item x="180"/>
        <item x="1245"/>
        <item x="105"/>
        <item x="1136"/>
        <item x="252"/>
        <item x="1371"/>
        <item x="315"/>
        <item x="139"/>
        <item x="926"/>
        <item x="868"/>
        <item x="1275"/>
        <item x="432"/>
        <item x="408"/>
        <item x="871"/>
        <item x="68"/>
        <item x="1013"/>
        <item x="575"/>
        <item x="238"/>
        <item x="1395"/>
        <item x="1201"/>
        <item x="818"/>
        <item x="292"/>
        <item x="1326"/>
        <item x="1114"/>
        <item x="678"/>
        <item x="835"/>
        <item x="304"/>
        <item x="444"/>
        <item x="400"/>
        <item x="757"/>
        <item x="64"/>
        <item x="1203"/>
        <item x="264"/>
        <item x="1340"/>
        <item x="803"/>
        <item x="1354"/>
        <item x="239"/>
        <item x="513"/>
        <item x="189"/>
        <item x="200"/>
        <item x="1039"/>
        <item x="1012"/>
        <item x="489"/>
        <item x="122"/>
        <item x="817"/>
        <item x="1156"/>
        <item x="66"/>
        <item x="140"/>
        <item x="755"/>
        <item x="181"/>
        <item x="963"/>
        <item x="1150"/>
        <item x="499"/>
        <item x="193"/>
        <item x="815"/>
        <item x="22"/>
        <item x="596"/>
        <item x="1356"/>
        <item x="535"/>
        <item x="29"/>
        <item x="865"/>
        <item x="756"/>
        <item x="1332"/>
        <item x="1034"/>
        <item x="502"/>
        <item x="164"/>
        <item x="1005"/>
        <item x="561"/>
        <item x="102"/>
        <item x="1401"/>
        <item x="969"/>
        <item x="792"/>
        <item x="234"/>
        <item x="843"/>
        <item x="253"/>
        <item x="547"/>
        <item x="746"/>
        <item x="737"/>
        <item x="570"/>
        <item x="705"/>
        <item x="789"/>
        <item x="774"/>
        <item x="564"/>
        <item x="153"/>
        <item x="893"/>
        <item x="840"/>
        <item x="124"/>
        <item x="245"/>
        <item x="997"/>
        <item x="212"/>
        <item x="1006"/>
        <item x="250"/>
        <item x="901"/>
        <item x="625"/>
        <item x="1099"/>
        <item x="293"/>
        <item x="1296"/>
        <item x="386"/>
        <item x="1053"/>
        <item x="1080"/>
        <item x="709"/>
        <item x="142"/>
        <item x="1330"/>
        <item x="631"/>
        <item x="1170"/>
        <item x="1024"/>
        <item x="984"/>
        <item x="1096"/>
        <item x="1210"/>
        <item x="1307"/>
        <item x="1011"/>
        <item x="1094"/>
        <item x="247"/>
        <item x="1374"/>
        <item x="263"/>
        <item x="825"/>
        <item x="1258"/>
        <item x="1209"/>
        <item x="149"/>
        <item x="515"/>
        <item x="752"/>
        <item x="563"/>
        <item x="935"/>
        <item x="749"/>
        <item x="1320"/>
        <item x="1009"/>
        <item x="1363"/>
        <item x="521"/>
        <item x="475"/>
        <item x="218"/>
        <item x="916"/>
        <item x="853"/>
        <item x="1278"/>
        <item x="1344"/>
        <item x="713"/>
        <item x="1215"/>
        <item x="1231"/>
        <item x="653"/>
        <item x="235"/>
        <item x="230"/>
        <item x="839"/>
        <item x="18"/>
        <item x="827"/>
        <item x="206"/>
        <item x="1167"/>
        <item x="428"/>
        <item x="365"/>
        <item x="453"/>
        <item x="948"/>
        <item x="37"/>
        <item x="1130"/>
        <item x="268"/>
        <item x="847"/>
        <item x="943"/>
        <item x="977"/>
        <item x="866"/>
        <item x="566"/>
        <item x="1164"/>
        <item x="783"/>
        <item x="0"/>
        <item x="1033"/>
        <item x="957"/>
        <item x="14"/>
        <item x="484"/>
        <item x="1169"/>
        <item x="882"/>
        <item x="823"/>
        <item x="663"/>
        <item x="382"/>
        <item x="795"/>
        <item x="1112"/>
        <item x="944"/>
        <item x="223"/>
        <item x="1117"/>
        <item x="1237"/>
        <item x="1347"/>
        <item x="1186"/>
        <item x="390"/>
        <item x="828"/>
        <item x="636"/>
        <item x="565"/>
        <item x="80"/>
        <item x="309"/>
        <item x="210"/>
        <item x="1134"/>
        <item x="880"/>
        <item x="548"/>
        <item x="718"/>
        <item x="55"/>
        <item x="728"/>
        <item x="1388"/>
        <item x="154"/>
        <item x="675"/>
        <item x="913"/>
        <item x="1159"/>
        <item x="455"/>
        <item x="380"/>
        <item x="717"/>
        <item x="745"/>
        <item x="1020"/>
        <item x="972"/>
        <item x="509"/>
        <item x="1102"/>
        <item x="485"/>
        <item x="998"/>
        <item x="875"/>
        <item x="1348"/>
        <item x="542"/>
        <item x="615"/>
        <item x="335"/>
        <item x="131"/>
        <item x="633"/>
        <item x="1045"/>
        <item x="108"/>
        <item x="33"/>
        <item x="863"/>
        <item x="551"/>
        <item x="797"/>
        <item x="1108"/>
        <item x="126"/>
        <item x="1279"/>
        <item x="282"/>
        <item x="170"/>
        <item x="1069"/>
        <item x="305"/>
        <item x="1122"/>
        <item x="1177"/>
        <item x="318"/>
        <item x="1369"/>
        <item x="115"/>
        <item x="1103"/>
        <item x="919"/>
        <item x="878"/>
        <item x="191"/>
        <item x="1222"/>
        <item x="837"/>
        <item x="328"/>
        <item x="1346"/>
        <item x="449"/>
        <item x="844"/>
        <item x="637"/>
        <item x="1174"/>
        <item x="424"/>
        <item x="1223"/>
        <item x="1043"/>
        <item x="1391"/>
        <item x="890"/>
        <item x="248"/>
        <item x="947"/>
        <item x="30"/>
        <item x="72"/>
        <item x="562"/>
        <item x="877"/>
        <item x="79"/>
        <item x="1030"/>
        <item x="769"/>
        <item x="132"/>
        <item x="1015"/>
        <item x="1362"/>
        <item x="824"/>
        <item x="1265"/>
        <item x="474"/>
        <item x="269"/>
        <item x="754"/>
        <item x="617"/>
        <item x="497"/>
        <item x="987"/>
        <item x="351"/>
        <item x="1157"/>
        <item x="528"/>
        <item x="1205"/>
        <item x="781"/>
        <item x="917"/>
        <item x="470"/>
        <item x="1166"/>
        <item x="905"/>
        <item x="1381"/>
        <item x="373"/>
        <item x="481"/>
        <item x="113"/>
        <item x="1095"/>
        <item x="1246"/>
        <item x="494"/>
        <item x="44"/>
        <item x="406"/>
        <item x="450"/>
        <item x="721"/>
        <item x="1235"/>
        <item x="377"/>
        <item x="1079"/>
        <item x="661"/>
        <item x="1271"/>
        <item x="613"/>
        <item x="725"/>
        <item x="402"/>
        <item x="273"/>
        <item x="621"/>
        <item x="392"/>
        <item x="832"/>
        <item x="671"/>
        <item x="698"/>
        <item x="697"/>
        <item x="1152"/>
        <item x="260"/>
        <item x="46"/>
        <item x="133"/>
        <item x="404"/>
        <item x="520"/>
        <item x="1300"/>
        <item x="343"/>
        <item x="923"/>
        <item x="215"/>
        <item x="244"/>
        <item x="694"/>
        <item x="209"/>
        <item x="337"/>
        <item x="1273"/>
        <item x="1041"/>
        <item x="591"/>
        <item x="185"/>
        <item x="166"/>
        <item x="604"/>
        <item x="94"/>
        <item x="310"/>
        <item x="487"/>
        <item x="1226"/>
        <item x="1335"/>
        <item x="1295"/>
        <item x="1390"/>
        <item x="227"/>
        <item x="1"/>
        <item x="42"/>
        <item x="649"/>
        <item x="1051"/>
        <item x="342"/>
        <item x="173"/>
        <item x="202"/>
        <item x="355"/>
        <item x="978"/>
        <item x="1283"/>
        <item x="1040"/>
        <item x="975"/>
        <item x="676"/>
        <item x="1274"/>
        <item x="224"/>
        <item x="1277"/>
        <item x="358"/>
        <item x="374"/>
        <item x="1257"/>
        <item x="196"/>
        <item x="1197"/>
        <item x="609"/>
        <item x="1028"/>
        <item x="283"/>
        <item x="1100"/>
        <item x="900"/>
        <item x="454"/>
        <item x="308"/>
        <item x="246"/>
        <item x="157"/>
        <item x="704"/>
        <item x="909"/>
        <item x="81"/>
        <item x="673"/>
        <item x="784"/>
        <item x="1124"/>
        <item x="1200"/>
        <item x="854"/>
        <item x="472"/>
        <item x="69"/>
        <item x="1317"/>
        <item x="580"/>
        <item x="711"/>
        <item x="1118"/>
        <item x="1135"/>
        <item x="418"/>
        <item x="1037"/>
        <item x="439"/>
        <item x="549"/>
        <item x="1270"/>
        <item x="452"/>
        <item x="84"/>
        <item x="229"/>
        <item x="946"/>
        <item x="473"/>
        <item x="299"/>
        <item x="1059"/>
        <item x="809"/>
        <item x="1076"/>
        <item x="405"/>
        <item x="317"/>
        <item x="771"/>
        <item x="529"/>
        <item x="892"/>
        <item x="1071"/>
        <item x="190"/>
        <item x="1383"/>
        <item x="296"/>
        <item x="1364"/>
        <item x="614"/>
        <item x="1272"/>
        <item x="236"/>
        <item x="1284"/>
        <item x="1310"/>
        <item x="550"/>
        <item x="1192"/>
        <item x="240"/>
        <item x="204"/>
        <item x="237"/>
        <item x="1061"/>
        <item x="708"/>
        <item x="119"/>
        <item x="316"/>
        <item x="856"/>
        <item x="884"/>
        <item x="370"/>
        <item x="1178"/>
        <item x="138"/>
        <item x="858"/>
        <item x="145"/>
        <item x="1259"/>
        <item x="965"/>
        <item x="971"/>
        <item x="56"/>
        <item x="1238"/>
        <item x="1199"/>
        <item x="885"/>
        <item x="324"/>
        <item x="313"/>
        <item x="750"/>
        <item x="446"/>
        <item x="421"/>
        <item x="232"/>
        <item x="826"/>
        <item x="423"/>
        <item x="352"/>
        <item x="463"/>
        <item x="742"/>
        <item x="553"/>
        <item x="16"/>
        <item x="1032"/>
        <item x="1149"/>
        <item x="368"/>
        <item x="931"/>
        <item x="57"/>
        <item x="638"/>
        <item x="624"/>
        <item x="730"/>
        <item x="389"/>
        <item x="1239"/>
        <item x="89"/>
        <item x="375"/>
        <item x="61"/>
        <item x="541"/>
        <item x="393"/>
        <item x="1022"/>
        <item x="52"/>
        <item x="1064"/>
        <item x="1262"/>
        <item x="1158"/>
        <item x="13"/>
        <item x="918"/>
        <item x="1269"/>
        <item x="605"/>
        <item x="349"/>
        <item x="231"/>
        <item x="438"/>
        <item x="272"/>
        <item x="1241"/>
        <item x="103"/>
        <item x="1035"/>
        <item x="448"/>
        <item x="739"/>
        <item x="927"/>
        <item x="462"/>
        <item x="1224"/>
        <item x="53"/>
        <item x="86"/>
        <item x="1014"/>
        <item x="143"/>
        <item x="1327"/>
        <item x="557"/>
        <item x="976"/>
        <item x="1070"/>
        <item x="1090"/>
        <item x="397"/>
        <item x="1336"/>
        <item x="1217"/>
        <item x="533"/>
        <item x="1397"/>
        <item x="1289"/>
        <item x="1138"/>
        <item x="1368"/>
        <item x="1058"/>
        <item x="348"/>
        <item x="766"/>
        <item x="1377"/>
        <item x="1384"/>
        <item x="504"/>
        <item x="1359"/>
        <item x="1328"/>
        <item x="1068"/>
        <item x="1255"/>
        <item x="479"/>
        <item x="457"/>
        <item x="331"/>
        <item x="1316"/>
        <item x="1074"/>
        <item x="700"/>
        <item x="966"/>
        <item x="897"/>
        <item x="1264"/>
        <item x="325"/>
        <item x="1323"/>
        <item x="1375"/>
        <item x="1285"/>
        <item x="369"/>
        <item x="1093"/>
        <item x="643"/>
        <item x="395"/>
        <item x="367"/>
        <item x="896"/>
        <item x="41"/>
        <item x="1350"/>
        <item x="262"/>
        <item x="1017"/>
        <item x="466"/>
        <item x="576"/>
        <item x="300"/>
        <item x="1357"/>
        <item x="764"/>
        <item x="288"/>
        <item t="default"/>
      </items>
    </pivotField>
    <pivotField dataField="1" showAll="0">
      <items count="1411">
        <item x="1066"/>
        <item x="1065"/>
        <item x="1070"/>
        <item x="425"/>
        <item x="345"/>
        <item x="362"/>
        <item x="332"/>
        <item x="336"/>
        <item x="414"/>
        <item x="365"/>
        <item x="338"/>
        <item x="994"/>
        <item x="294"/>
        <item x="899"/>
        <item x="361"/>
        <item x="329"/>
        <item x="443"/>
        <item x="327"/>
        <item x="1196"/>
        <item x="1047"/>
        <item x="1359"/>
        <item x="461"/>
        <item x="491"/>
        <item x="15"/>
        <item x="35"/>
        <item x="1076"/>
        <item x="360"/>
        <item x="273"/>
        <item x="448"/>
        <item x="891"/>
        <item x="226"/>
        <item x="1074"/>
        <item x="283"/>
        <item x="88"/>
        <item x="437"/>
        <item x="410"/>
        <item x="466"/>
        <item x="919"/>
        <item x="372"/>
        <item x="1264"/>
        <item x="184"/>
        <item x="1061"/>
        <item x="535"/>
        <item x="17"/>
        <item x="279"/>
        <item x="264"/>
        <item x="961"/>
        <item x="228"/>
        <item x="253"/>
        <item x="898"/>
        <item x="547"/>
        <item x="483"/>
        <item x="278"/>
        <item x="1310"/>
        <item x="1045"/>
        <item x="286"/>
        <item x="261"/>
        <item x="1042"/>
        <item x="431"/>
        <item x="1036"/>
        <item x="319"/>
        <item x="1311"/>
        <item x="556"/>
        <item x="1098"/>
        <item x="922"/>
        <item x="433"/>
        <item x="178"/>
        <item x="1220"/>
        <item x="681"/>
        <item x="356"/>
        <item x="1147"/>
        <item x="771"/>
        <item x="1040"/>
        <item x="478"/>
        <item x="340"/>
        <item x="579"/>
        <item x="833"/>
        <item x="512"/>
        <item x="1362"/>
        <item x="1068"/>
        <item x="438"/>
        <item x="1281"/>
        <item x="312"/>
        <item x="1395"/>
        <item x="545"/>
        <item x="1008"/>
        <item x="1225"/>
        <item x="290"/>
        <item x="1300"/>
        <item x="326"/>
        <item x="134"/>
        <item x="684"/>
        <item x="50"/>
        <item x="1370"/>
        <item x="548"/>
        <item x="484"/>
        <item x="705"/>
        <item x="1306"/>
        <item x="496"/>
        <item x="897"/>
        <item x="1018"/>
        <item x="886"/>
        <item x="1304"/>
        <item x="646"/>
        <item x="662"/>
        <item x="744"/>
        <item x="821"/>
        <item x="259"/>
        <item x="780"/>
        <item x="533"/>
        <item x="114"/>
        <item x="409"/>
        <item x="689"/>
        <item x="1050"/>
        <item x="700"/>
        <item x="39"/>
        <item x="1296"/>
        <item x="188"/>
        <item x="306"/>
        <item x="972"/>
        <item x="298"/>
        <item x="315"/>
        <item x="520"/>
        <item x="822"/>
        <item x="1276"/>
        <item x="1367"/>
        <item x="322"/>
        <item x="499"/>
        <item x="40"/>
        <item x="1391"/>
        <item x="702"/>
        <item x="186"/>
        <item x="266"/>
        <item x="815"/>
        <item x="677"/>
        <item x="1345"/>
        <item x="706"/>
        <item x="1059"/>
        <item x="1213"/>
        <item x="1043"/>
        <item x="391"/>
        <item x="492"/>
        <item x="553"/>
        <item x="655"/>
        <item x="430"/>
        <item x="380"/>
        <item x="504"/>
        <item x="1001"/>
        <item x="427"/>
        <item x="1006"/>
        <item x="584"/>
        <item x="599"/>
        <item x="1114"/>
        <item x="229"/>
        <item x="263"/>
        <item x="1243"/>
        <item x="1210"/>
        <item x="416"/>
        <item x="156"/>
        <item x="527"/>
        <item x="359"/>
        <item x="1053"/>
        <item x="1240"/>
        <item x="285"/>
        <item x="1215"/>
        <item x="538"/>
        <item x="241"/>
        <item x="242"/>
        <item x="524"/>
        <item x="419"/>
        <item x="1000"/>
        <item x="262"/>
        <item x="442"/>
        <item x="462"/>
        <item x="1287"/>
        <item x="819"/>
        <item x="316"/>
        <item x="794"/>
        <item x="86"/>
        <item x="1387"/>
        <item x="434"/>
        <item x="177"/>
        <item x="1222"/>
        <item x="389"/>
        <item x="680"/>
        <item x="1027"/>
        <item x="955"/>
        <item x="74"/>
        <item x="943"/>
        <item x="939"/>
        <item x="87"/>
        <item x="237"/>
        <item x="381"/>
        <item x="240"/>
        <item x="1293"/>
        <item x="701"/>
        <item x="826"/>
        <item x="231"/>
        <item x="528"/>
        <item x="882"/>
        <item x="92"/>
        <item x="1116"/>
        <item x="469"/>
        <item x="493"/>
        <item x="1274"/>
        <item x="432"/>
        <item x="1223"/>
        <item x="452"/>
        <item x="1087"/>
        <item x="1048"/>
        <item x="385"/>
        <item x="752"/>
        <item x="127"/>
        <item x="293"/>
        <item x="374"/>
        <item x="354"/>
        <item x="215"/>
        <item x="172"/>
        <item x="53"/>
        <item x="912"/>
        <item x="133"/>
        <item x="628"/>
        <item x="38"/>
        <item x="716"/>
        <item x="949"/>
        <item x="32"/>
        <item x="887"/>
        <item x="1383"/>
        <item x="444"/>
        <item x="349"/>
        <item x="471"/>
        <item x="428"/>
        <item x="657"/>
        <item x="417"/>
        <item x="295"/>
        <item x="620"/>
        <item x="456"/>
        <item x="487"/>
        <item x="1128"/>
        <item x="1168"/>
        <item x="1252"/>
        <item x="656"/>
        <item x="72"/>
        <item x="299"/>
        <item x="850"/>
        <item x="8"/>
        <item x="513"/>
        <item x="600"/>
        <item x="193"/>
        <item x="1373"/>
        <item x="459"/>
        <item x="407"/>
        <item x="451"/>
        <item x="586"/>
        <item x="1357"/>
        <item x="853"/>
        <item x="238"/>
        <item x="802"/>
        <item x="585"/>
        <item x="1100"/>
        <item x="1200"/>
        <item x="1409"/>
        <item x="235"/>
        <item x="4"/>
        <item x="1023"/>
        <item x="670"/>
        <item x="651"/>
        <item x="901"/>
        <item x="594"/>
        <item x="1347"/>
        <item x="888"/>
        <item x="638"/>
        <item x="854"/>
        <item x="642"/>
        <item x="415"/>
        <item x="396"/>
        <item x="80"/>
        <item x="155"/>
        <item x="1327"/>
        <item x="284"/>
        <item x="971"/>
        <item x="490"/>
        <item x="813"/>
        <item x="445"/>
        <item x="551"/>
        <item x="311"/>
        <item x="82"/>
        <item x="346"/>
        <item x="525"/>
        <item x="696"/>
        <item x="797"/>
        <item x="337"/>
        <item x="1167"/>
        <item x="1366"/>
        <item x="824"/>
        <item x="162"/>
        <item x="916"/>
        <item x="1102"/>
        <item x="1086"/>
        <item x="1301"/>
        <item x="353"/>
        <item x="751"/>
        <item x="112"/>
        <item x="1295"/>
        <item x="761"/>
        <item x="1290"/>
        <item x="565"/>
        <item x="604"/>
        <item x="784"/>
        <item x="674"/>
        <item x="576"/>
        <item x="1183"/>
        <item x="1159"/>
        <item x="1386"/>
        <item x="174"/>
        <item x="457"/>
        <item x="1022"/>
        <item x="382"/>
        <item x="732"/>
        <item x="892"/>
        <item x="1204"/>
        <item x="617"/>
        <item x="36"/>
        <item x="990"/>
        <item x="987"/>
        <item x="618"/>
        <item x="54"/>
        <item x="1149"/>
        <item x="895"/>
        <item x="697"/>
        <item x="783"/>
        <item x="42"/>
        <item x="292"/>
        <item x="1038"/>
        <item x="268"/>
        <item x="146"/>
        <item x="1261"/>
        <item x="71"/>
        <item x="1332"/>
        <item x="143"/>
        <item x="1275"/>
        <item x="1108"/>
        <item x="1291"/>
        <item x="1379"/>
        <item x="1408"/>
        <item x="1185"/>
        <item x="1231"/>
        <item x="140"/>
        <item x="1037"/>
        <item x="707"/>
        <item x="648"/>
        <item x="297"/>
        <item x="1020"/>
        <item x="205"/>
        <item x="1163"/>
        <item x="589"/>
        <item x="460"/>
        <item x="650"/>
        <item x="669"/>
        <item x="171"/>
        <item x="1134"/>
        <item x="30"/>
        <item x="580"/>
        <item x="502"/>
        <item x="1035"/>
        <item x="993"/>
        <item x="621"/>
        <item x="570"/>
        <item x="343"/>
        <item x="734"/>
        <item x="1161"/>
        <item x="401"/>
        <item x="255"/>
        <item x="498"/>
        <item x="874"/>
        <item x="1329"/>
        <item x="541"/>
        <item x="371"/>
        <item x="830"/>
        <item x="420"/>
        <item x="1146"/>
        <item x="103"/>
        <item x="1193"/>
        <item x="320"/>
        <item x="540"/>
        <item x="760"/>
        <item x="1336"/>
        <item x="788"/>
        <item x="774"/>
        <item x="1002"/>
        <item x="474"/>
        <item x="169"/>
        <item x="1250"/>
        <item x="12"/>
        <item x="1132"/>
        <item x="7"/>
        <item x="609"/>
        <item x="132"/>
        <item x="68"/>
        <item x="130"/>
        <item x="616"/>
        <item x="1097"/>
        <item x="1308"/>
        <item x="1312"/>
        <item x="214"/>
        <item x="446"/>
        <item x="280"/>
        <item x="870"/>
        <item x="834"/>
        <item x="1256"/>
        <item x="1030"/>
        <item x="753"/>
        <item x="275"/>
        <item x="1404"/>
        <item x="1184"/>
        <item x="1369"/>
        <item x="988"/>
        <item x="969"/>
        <item x="1380"/>
        <item x="671"/>
        <item x="1339"/>
        <item x="472"/>
        <item x="980"/>
        <item x="960"/>
        <item x="363"/>
        <item x="1236"/>
        <item x="1272"/>
        <item x="930"/>
        <item x="395"/>
        <item x="1361"/>
        <item x="1017"/>
        <item x="1195"/>
        <item x="1171"/>
        <item x="750"/>
        <item x="1055"/>
        <item x="849"/>
        <item x="647"/>
        <item x="645"/>
        <item x="183"/>
        <item x="1112"/>
        <item x="223"/>
        <item x="1073"/>
        <item x="249"/>
        <item x="808"/>
        <item x="1242"/>
        <item x="868"/>
        <item x="660"/>
        <item x="318"/>
        <item x="1160"/>
        <item x="1060"/>
        <item x="58"/>
        <item x="1144"/>
        <item x="1285"/>
        <item x="1279"/>
        <item x="501"/>
        <item x="93"/>
        <item x="566"/>
        <item x="289"/>
        <item x="435"/>
        <item x="91"/>
        <item x="629"/>
        <item x="250"/>
        <item x="267"/>
        <item x="534"/>
        <item x="1305"/>
        <item x="194"/>
        <item x="1003"/>
        <item x="572"/>
        <item x="921"/>
        <item x="220"/>
        <item x="383"/>
        <item x="687"/>
        <item x="411"/>
        <item x="914"/>
        <item x="1118"/>
        <item x="1157"/>
        <item x="441"/>
        <item x="682"/>
        <item x="560"/>
        <item x="97"/>
        <item x="935"/>
        <item x="724"/>
        <item x="963"/>
        <item x="144"/>
        <item x="679"/>
        <item x="825"/>
        <item x="845"/>
        <item x="920"/>
        <item x="1326"/>
        <item x="1260"/>
        <item x="1400"/>
        <item x="1271"/>
        <item x="1407"/>
        <item x="1153"/>
        <item x="801"/>
        <item x="1012"/>
        <item x="607"/>
        <item x="807"/>
        <item x="51"/>
        <item x="809"/>
        <item x="111"/>
        <item x="511"/>
        <item x="941"/>
        <item x="192"/>
        <item x="823"/>
        <item x="125"/>
        <item x="368"/>
        <item x="727"/>
        <item x="222"/>
        <item x="1067"/>
        <item x="31"/>
        <item x="946"/>
        <item x="591"/>
        <item x="812"/>
        <item x="703"/>
        <item x="932"/>
        <item x="479"/>
        <item x="485"/>
        <item x="399"/>
        <item x="741"/>
        <item x="985"/>
        <item x="953"/>
        <item x="910"/>
        <item x="1388"/>
        <item x="1298"/>
        <item x="1401"/>
        <item x="176"/>
        <item x="890"/>
        <item x="800"/>
        <item x="14"/>
        <item x="756"/>
        <item x="1342"/>
        <item x="1241"/>
        <item x="107"/>
        <item x="627"/>
        <item x="165"/>
        <item x="667"/>
        <item x="597"/>
        <item x="937"/>
        <item x="549"/>
        <item x="536"/>
        <item x="1178"/>
        <item x="1376"/>
        <item x="869"/>
        <item x="790"/>
        <item x="1377"/>
        <item x="592"/>
        <item x="1090"/>
        <item x="768"/>
        <item x="48"/>
        <item x="1145"/>
        <item x="1299"/>
        <item x="256"/>
        <item x="1179"/>
        <item x="1198"/>
        <item x="1251"/>
        <item x="170"/>
        <item x="860"/>
        <item x="117"/>
        <item x="1390"/>
        <item x="400"/>
        <item x="482"/>
        <item x="1104"/>
        <item x="516"/>
        <item x="793"/>
        <item x="341"/>
        <item x="202"/>
        <item x="583"/>
        <item x="105"/>
        <item x="718"/>
        <item x="179"/>
        <item x="254"/>
        <item x="101"/>
        <item x="28"/>
        <item x="1237"/>
        <item x="798"/>
        <item x="1263"/>
        <item x="1151"/>
        <item x="379"/>
        <item x="95"/>
        <item x="247"/>
        <item x="373"/>
        <item x="149"/>
        <item x="770"/>
        <item x="325"/>
        <item x="481"/>
        <item x="1137"/>
        <item x="1346"/>
        <item x="729"/>
        <item x="398"/>
        <item x="24"/>
        <item x="1320"/>
        <item x="634"/>
        <item x="62"/>
        <item x="653"/>
        <item x="506"/>
        <item x="1129"/>
        <item x="954"/>
        <item x="57"/>
        <item x="829"/>
        <item x="1371"/>
        <item x="531"/>
        <item x="758"/>
        <item x="779"/>
        <item x="25"/>
        <item x="141"/>
        <item x="688"/>
        <item x="691"/>
        <item x="957"/>
        <item x="252"/>
        <item x="1176"/>
        <item x="113"/>
        <item x="1125"/>
        <item x="995"/>
        <item x="1403"/>
        <item x="304"/>
        <item x="78"/>
        <item x="1107"/>
        <item x="1143"/>
        <item x="168"/>
        <item x="1280"/>
        <item x="477"/>
        <item x="1158"/>
        <item x="77"/>
        <item x="991"/>
        <item x="733"/>
        <item x="811"/>
        <item x="1352"/>
        <item x="575"/>
        <item x="1221"/>
        <item x="1333"/>
        <item x="1117"/>
        <item x="1257"/>
        <item x="1249"/>
        <item x="1270"/>
        <item x="1032"/>
        <item x="699"/>
        <item x="859"/>
        <item x="1203"/>
        <item x="1191"/>
        <item x="403"/>
        <item x="999"/>
        <item x="951"/>
        <item x="917"/>
        <item x="1156"/>
        <item x="839"/>
        <item x="842"/>
        <item x="1139"/>
        <item x="641"/>
        <item x="5"/>
        <item x="106"/>
        <item x="1393"/>
        <item x="29"/>
        <item x="588"/>
        <item x="569"/>
        <item x="83"/>
        <item x="216"/>
        <item x="1056"/>
        <item x="1141"/>
        <item x="975"/>
        <item x="218"/>
        <item x="652"/>
        <item x="1267"/>
        <item x="66"/>
        <item x="517"/>
        <item x="749"/>
        <item x="603"/>
        <item x="1081"/>
        <item x="1099"/>
        <item x="1083"/>
        <item x="685"/>
        <item x="598"/>
        <item x="929"/>
        <item x="260"/>
        <item x="323"/>
        <item x="940"/>
        <item x="347"/>
        <item x="1317"/>
        <item x="777"/>
        <item x="983"/>
        <item x="1209"/>
        <item x="658"/>
        <item x="970"/>
        <item x="623"/>
        <item x="1039"/>
        <item x="99"/>
        <item x="904"/>
        <item x="166"/>
        <item x="121"/>
        <item x="1219"/>
        <item x="817"/>
        <item x="1121"/>
        <item x="1292"/>
        <item x="678"/>
        <item x="894"/>
        <item x="865"/>
        <item x="726"/>
        <item x="574"/>
        <item x="787"/>
        <item x="544"/>
        <item x="759"/>
        <item x="852"/>
        <item x="1282"/>
        <item x="1234"/>
        <item x="715"/>
        <item x="1029"/>
        <item x="577"/>
        <item x="20"/>
        <item x="856"/>
        <item x="122"/>
        <item x="213"/>
        <item x="204"/>
        <item x="1315"/>
        <item x="1110"/>
        <item x="785"/>
        <item x="11"/>
        <item x="968"/>
        <item x="880"/>
        <item x="1216"/>
        <item x="728"/>
        <item x="1392"/>
        <item x="568"/>
        <item x="578"/>
        <item x="766"/>
        <item x="1096"/>
        <item x="814"/>
        <item x="838"/>
        <item x="857"/>
        <item x="282"/>
        <item x="626"/>
        <item x="1190"/>
        <item x="847"/>
        <item x="879"/>
        <item x="818"/>
        <item x="63"/>
        <item x="675"/>
        <item x="614"/>
        <item x="33"/>
        <item x="390"/>
        <item x="721"/>
        <item x="722"/>
        <item x="150"/>
        <item x="872"/>
        <item x="1093"/>
        <item x="248"/>
        <item x="841"/>
        <item x="224"/>
        <item x="46"/>
        <item x="1356"/>
        <item x="494"/>
        <item x="754"/>
        <item x="915"/>
        <item x="1010"/>
        <item x="1075"/>
        <item x="846"/>
        <item x="1372"/>
        <item x="1007"/>
        <item x="928"/>
        <item x="131"/>
        <item x="672"/>
        <item x="157"/>
        <item x="1009"/>
        <item x="1259"/>
        <item x="102"/>
        <item x="873"/>
        <item x="160"/>
        <item x="1283"/>
        <item x="26"/>
        <item x="959"/>
        <item x="546"/>
        <item x="182"/>
        <item x="148"/>
        <item x="109"/>
        <item x="185"/>
        <item x="208"/>
        <item x="1331"/>
        <item x="100"/>
        <item x="982"/>
        <item x="611"/>
        <item x="748"/>
        <item x="153"/>
        <item x="1253"/>
        <item x="1232"/>
        <item x="789"/>
        <item x="668"/>
        <item x="559"/>
        <item x="1212"/>
        <item x="376"/>
        <item x="986"/>
        <item x="1138"/>
        <item x="1235"/>
        <item x="644"/>
        <item x="1133"/>
        <item x="406"/>
        <item x="1349"/>
        <item x="98"/>
        <item x="746"/>
        <item x="864"/>
        <item x="120"/>
        <item x="207"/>
        <item x="875"/>
        <item x="76"/>
        <item x="137"/>
        <item x="161"/>
        <item x="764"/>
        <item x="720"/>
        <item x="366"/>
        <item x="81"/>
        <item x="956"/>
        <item x="608"/>
        <item x="637"/>
        <item x="110"/>
        <item x="908"/>
        <item x="1360"/>
        <item x="1341"/>
        <item x="1165"/>
        <item x="1218"/>
        <item x="519"/>
        <item x="713"/>
        <item x="339"/>
        <item x="1173"/>
        <item x="1239"/>
        <item x="529"/>
        <item x="154"/>
        <item x="1034"/>
        <item x="1394"/>
        <item x="1058"/>
        <item x="862"/>
        <item x="848"/>
        <item x="139"/>
        <item x="1172"/>
        <item x="1324"/>
        <item x="151"/>
        <item x="1354"/>
        <item x="933"/>
        <item x="1405"/>
        <item x="630"/>
        <item x="867"/>
        <item x="173"/>
        <item x="201"/>
        <item x="1303"/>
        <item x="234"/>
        <item x="1208"/>
        <item x="225"/>
        <item x="6"/>
        <item x="557"/>
        <item x="258"/>
        <item x="1355"/>
        <item x="1262"/>
        <item x="640"/>
        <item x="884"/>
        <item x="1335"/>
        <item x="1187"/>
        <item x="330"/>
        <item x="1131"/>
        <item x="1063"/>
        <item x="313"/>
        <item x="714"/>
        <item x="934"/>
        <item x="1174"/>
        <item x="775"/>
        <item x="408"/>
        <item x="765"/>
        <item x="1033"/>
        <item x="198"/>
        <item x="67"/>
        <item x="152"/>
        <item x="357"/>
        <item x="167"/>
        <item x="861"/>
        <item x="958"/>
        <item x="977"/>
        <item x="418"/>
        <item x="906"/>
        <item x="412"/>
        <item x="740"/>
        <item x="532"/>
        <item x="1211"/>
        <item x="806"/>
        <item x="70"/>
        <item x="1135"/>
        <item x="377"/>
        <item x="978"/>
        <item x="221"/>
        <item x="539"/>
        <item x="1189"/>
        <item x="49"/>
        <item x="1155"/>
        <item x="911"/>
        <item x="593"/>
        <item x="1233"/>
        <item x="1214"/>
        <item x="212"/>
        <item x="635"/>
        <item x="1026"/>
        <item x="1248"/>
        <item x="126"/>
        <item x="832"/>
        <item x="1166"/>
        <item x="1384"/>
        <item x="119"/>
        <item x="129"/>
        <item x="1192"/>
        <item x="573"/>
        <item x="791"/>
        <item x="195"/>
        <item x="619"/>
        <item x="509"/>
        <item x="974"/>
        <item x="1188"/>
        <item x="1358"/>
        <item x="564"/>
        <item x="426"/>
        <item x="952"/>
        <item x="871"/>
        <item x="725"/>
        <item x="1224"/>
        <item x="510"/>
        <item x="737"/>
        <item x="567"/>
        <item x="200"/>
        <item x="1350"/>
        <item x="22"/>
        <item x="730"/>
        <item x="624"/>
        <item x="13"/>
        <item x="1103"/>
        <item x="219"/>
        <item x="1385"/>
        <item x="936"/>
        <item x="1113"/>
        <item x="1269"/>
        <item x="938"/>
        <item x="209"/>
        <item x="59"/>
        <item x="1025"/>
        <item x="695"/>
        <item x="973"/>
        <item x="666"/>
        <item x="405"/>
        <item x="142"/>
        <item x="190"/>
        <item x="1164"/>
        <item x="683"/>
        <item x="1088"/>
        <item x="962"/>
        <item x="747"/>
        <item x="1142"/>
        <item x="265"/>
        <item x="992"/>
        <item x="736"/>
        <item x="1382"/>
        <item x="967"/>
        <item x="950"/>
        <item x="924"/>
        <item x="164"/>
        <item x="903"/>
        <item x="1199"/>
        <item x="877"/>
        <item x="639"/>
        <item x="1126"/>
        <item x="473"/>
        <item x="738"/>
        <item x="1247"/>
        <item x="334"/>
        <item x="843"/>
        <item x="108"/>
        <item x="1180"/>
        <item x="590"/>
        <item x="274"/>
        <item x="211"/>
        <item x="1316"/>
        <item x="1182"/>
        <item x="64"/>
        <item x="1124"/>
        <item x="1278"/>
        <item x="308"/>
        <item x="1094"/>
        <item x="27"/>
        <item x="1181"/>
        <item x="1123"/>
        <item x="1273"/>
        <item x="1284"/>
        <item x="317"/>
        <item x="795"/>
        <item x="1268"/>
        <item x="694"/>
        <item x="979"/>
        <item x="927"/>
        <item x="1266"/>
        <item x="1049"/>
        <item x="537"/>
        <item x="1177"/>
        <item x="116"/>
        <item x="203"/>
        <item x="1021"/>
        <item x="976"/>
        <item x="465"/>
        <item x="1364"/>
        <item x="1169"/>
        <item x="767"/>
        <item x="1016"/>
        <item x="1230"/>
        <item x="1353"/>
        <item x="654"/>
        <item x="123"/>
        <item x="804"/>
        <item x="1309"/>
        <item x="1343"/>
        <item x="1046"/>
        <item x="1015"/>
        <item x="742"/>
        <item x="55"/>
        <item x="1105"/>
        <item x="757"/>
        <item x="1111"/>
        <item x="1201"/>
        <item x="3"/>
        <item x="1106"/>
        <item x="1186"/>
        <item x="497"/>
        <item x="1005"/>
        <item x="840"/>
        <item x="878"/>
        <item x="1319"/>
        <item x="778"/>
        <item x="251"/>
        <item x="686"/>
        <item x="328"/>
        <item x="562"/>
        <item x="118"/>
        <item x="731"/>
        <item x="885"/>
        <item x="1205"/>
        <item x="803"/>
        <item x="1255"/>
        <item x="1194"/>
        <item x="47"/>
        <item x="1"/>
        <item x="947"/>
        <item x="997"/>
        <item x="1130"/>
        <item x="333"/>
        <item x="610"/>
        <item x="743"/>
        <item x="210"/>
        <item x="1402"/>
        <item x="1136"/>
        <item x="984"/>
        <item x="981"/>
        <item x="245"/>
        <item x="44"/>
        <item x="1246"/>
        <item x="709"/>
        <item x="1082"/>
        <item x="476"/>
        <item x="883"/>
        <item x="1064"/>
        <item x="147"/>
        <item x="1095"/>
        <item x="664"/>
        <item x="631"/>
        <item x="79"/>
        <item x="387"/>
        <item x="693"/>
        <item x="659"/>
        <item x="422"/>
        <item x="558"/>
        <item x="673"/>
        <item x="613"/>
        <item x="1092"/>
        <item x="1258"/>
        <item x="851"/>
        <item x="1238"/>
        <item x="1351"/>
        <item x="1254"/>
        <item x="1024"/>
        <item x="1062"/>
        <item x="876"/>
        <item x="271"/>
        <item x="1028"/>
        <item x="0"/>
        <item x="782"/>
        <item x="1229"/>
        <item x="945"/>
        <item x="1089"/>
        <item x="1406"/>
        <item x="507"/>
        <item x="663"/>
        <item x="1294"/>
        <item x="1084"/>
        <item x="309"/>
        <item x="1397"/>
        <item x="23"/>
        <item x="1080"/>
        <item x="1286"/>
        <item x="1288"/>
        <item x="65"/>
        <item x="85"/>
        <item x="690"/>
        <item x="636"/>
        <item x="1314"/>
        <item x="704"/>
        <item x="820"/>
        <item x="217"/>
        <item x="1244"/>
        <item x="489"/>
        <item x="197"/>
        <item x="735"/>
        <item x="124"/>
        <item x="1150"/>
        <item x="723"/>
        <item x="1052"/>
        <item x="199"/>
        <item x="503"/>
        <item x="989"/>
        <item x="966"/>
        <item x="1330"/>
        <item x="429"/>
        <item x="542"/>
        <item x="1375"/>
        <item x="1152"/>
        <item x="1122"/>
        <item x="486"/>
        <item x="9"/>
        <item x="1127"/>
        <item x="1323"/>
        <item x="1344"/>
        <item x="769"/>
        <item x="633"/>
        <item x="158"/>
        <item x="866"/>
        <item x="52"/>
        <item x="84"/>
        <item x="1337"/>
        <item x="632"/>
        <item x="136"/>
        <item x="145"/>
        <item x="1206"/>
        <item x="948"/>
        <item x="863"/>
        <item x="276"/>
        <item x="1340"/>
        <item x="1175"/>
        <item x="776"/>
        <item x="1389"/>
        <item x="175"/>
        <item x="1170"/>
        <item x="810"/>
        <item x="926"/>
        <item x="1289"/>
        <item x="1381"/>
        <item x="1140"/>
        <item x="470"/>
        <item x="582"/>
        <item x="314"/>
        <item x="1019"/>
        <item x="16"/>
        <item x="676"/>
        <item x="191"/>
        <item x="601"/>
        <item x="1378"/>
        <item x="649"/>
        <item x="1297"/>
        <item x="159"/>
        <item x="350"/>
        <item x="762"/>
        <item x="163"/>
        <item x="1245"/>
        <item x="612"/>
        <item x="942"/>
        <item x="781"/>
        <item x="855"/>
        <item x="257"/>
        <item x="712"/>
        <item x="104"/>
        <item x="1014"/>
        <item x="827"/>
        <item x="900"/>
        <item x="805"/>
        <item x="835"/>
        <item x="792"/>
        <item x="1228"/>
        <item x="236"/>
        <item x="944"/>
        <item x="73"/>
        <item x="831"/>
        <item x="745"/>
        <item x="605"/>
        <item x="1115"/>
        <item x="918"/>
        <item x="909"/>
        <item x="464"/>
        <item x="358"/>
        <item x="554"/>
        <item x="596"/>
        <item x="206"/>
        <item x="468"/>
        <item x="1072"/>
        <item x="272"/>
        <item x="180"/>
        <item x="1321"/>
        <item x="643"/>
        <item x="369"/>
        <item x="1119"/>
        <item x="881"/>
        <item x="796"/>
        <item x="1334"/>
        <item x="1226"/>
        <item x="244"/>
        <item x="1013"/>
        <item x="1328"/>
        <item x="45"/>
        <item x="1302"/>
        <item x="388"/>
        <item x="96"/>
        <item x="1348"/>
        <item x="925"/>
        <item x="1109"/>
        <item x="138"/>
        <item x="889"/>
        <item x="837"/>
        <item x="1368"/>
        <item x="1202"/>
        <item x="189"/>
        <item x="816"/>
        <item x="1307"/>
        <item x="698"/>
        <item x="773"/>
        <item x="1031"/>
        <item x="375"/>
        <item x="913"/>
        <item x="522"/>
        <item x="1154"/>
        <item x="710"/>
        <item x="128"/>
        <item x="69"/>
        <item x="424"/>
        <item x="1044"/>
        <item x="799"/>
        <item x="94"/>
        <item x="60"/>
        <item x="75"/>
        <item x="1054"/>
        <item x="303"/>
        <item x="622"/>
        <item x="518"/>
        <item x="34"/>
        <item x="1120"/>
        <item x="998"/>
        <item x="661"/>
        <item x="923"/>
        <item x="893"/>
        <item x="21"/>
        <item x="321"/>
        <item x="1265"/>
        <item x="305"/>
        <item x="530"/>
        <item x="450"/>
        <item x="1207"/>
        <item x="625"/>
        <item x="232"/>
        <item x="828"/>
        <item x="692"/>
        <item x="187"/>
        <item x="858"/>
        <item x="708"/>
        <item x="515"/>
        <item x="996"/>
        <item x="89"/>
        <item x="1325"/>
        <item x="964"/>
        <item x="595"/>
        <item x="181"/>
        <item x="1322"/>
        <item x="454"/>
        <item x="227"/>
        <item x="310"/>
        <item x="844"/>
        <item x="836"/>
        <item x="615"/>
        <item x="763"/>
        <item x="1004"/>
        <item x="302"/>
        <item x="393"/>
        <item x="508"/>
        <item x="602"/>
        <item x="526"/>
        <item x="772"/>
        <item x="555"/>
        <item x="571"/>
        <item x="475"/>
        <item x="739"/>
        <item x="10"/>
        <item x="1338"/>
        <item x="563"/>
        <item x="413"/>
        <item x="19"/>
        <item x="246"/>
        <item x="1398"/>
        <item x="364"/>
        <item x="755"/>
        <item x="43"/>
        <item x="115"/>
        <item x="135"/>
        <item x="61"/>
        <item x="463"/>
        <item x="488"/>
        <item x="665"/>
        <item x="606"/>
        <item x="561"/>
        <item x="523"/>
        <item x="394"/>
        <item x="277"/>
        <item x="521"/>
        <item x="1227"/>
        <item x="1085"/>
        <item x="2"/>
        <item x="495"/>
        <item x="378"/>
        <item x="287"/>
        <item x="307"/>
        <item x="1148"/>
        <item x="230"/>
        <item x="1197"/>
        <item x="90"/>
        <item x="1162"/>
        <item x="1078"/>
        <item x="423"/>
        <item x="1217"/>
        <item x="717"/>
        <item x="1041"/>
        <item x="239"/>
        <item x="397"/>
        <item x="455"/>
        <item x="543"/>
        <item x="56"/>
        <item x="281"/>
        <item x="324"/>
        <item x="896"/>
        <item x="905"/>
        <item x="1374"/>
        <item x="550"/>
        <item x="18"/>
        <item x="1396"/>
        <item x="196"/>
        <item x="404"/>
        <item x="1363"/>
        <item x="931"/>
        <item x="907"/>
        <item x="552"/>
        <item x="1365"/>
        <item x="243"/>
        <item x="1071"/>
        <item x="1057"/>
        <item x="421"/>
        <item x="500"/>
        <item x="270"/>
        <item x="1399"/>
        <item x="1011"/>
        <item x="291"/>
        <item x="41"/>
        <item x="587"/>
        <item x="514"/>
        <item x="348"/>
        <item x="355"/>
        <item x="384"/>
        <item x="711"/>
        <item x="1277"/>
        <item x="719"/>
        <item x="436"/>
        <item x="581"/>
        <item x="351"/>
        <item x="344"/>
        <item x="1051"/>
        <item x="233"/>
        <item x="786"/>
        <item x="1101"/>
        <item x="402"/>
        <item x="1079"/>
        <item x="300"/>
        <item x="288"/>
        <item x="301"/>
        <item x="505"/>
        <item x="902"/>
        <item x="458"/>
        <item x="342"/>
        <item x="37"/>
        <item x="453"/>
        <item x="352"/>
        <item x="269"/>
        <item x="965"/>
        <item x="367"/>
        <item x="331"/>
        <item x="1318"/>
        <item x="449"/>
        <item x="392"/>
        <item x="1077"/>
        <item x="447"/>
        <item x="439"/>
        <item x="296"/>
        <item x="386"/>
        <item x="1313"/>
        <item x="335"/>
        <item x="440"/>
        <item x="480"/>
        <item x="370"/>
        <item x="1091"/>
        <item x="467"/>
        <item x="1069"/>
        <item t="default"/>
      </items>
    </pivotField>
    <pivotField dataField="1" showAll="0">
      <items count="1410">
        <item x="338"/>
        <item x="1066"/>
        <item x="366"/>
        <item x="300"/>
        <item x="296"/>
        <item x="1070"/>
        <item x="433"/>
        <item x="1065"/>
        <item x="1313"/>
        <item x="551"/>
        <item x="8"/>
        <item x="1317"/>
        <item x="222"/>
        <item x="362"/>
        <item x="466"/>
        <item x="50"/>
        <item x="398"/>
        <item x="1364"/>
        <item x="1337"/>
        <item x="584"/>
        <item x="368"/>
        <item x="1347"/>
        <item x="534"/>
        <item x="416"/>
        <item x="691"/>
        <item x="628"/>
        <item x="373"/>
        <item x="365"/>
        <item x="1324"/>
        <item x="924"/>
        <item x="696"/>
        <item x="299"/>
        <item x="226"/>
        <item x="1137"/>
        <item x="634"/>
        <item x="319"/>
        <item x="1254"/>
        <item x="134"/>
        <item x="502"/>
        <item x="328"/>
        <item x="910"/>
        <item x="1350"/>
        <item x="113"/>
        <item x="397"/>
        <item x="1042"/>
        <item x="87"/>
        <item x="376"/>
        <item x="523"/>
        <item x="583"/>
        <item x="157"/>
        <item x="1120"/>
        <item x="369"/>
        <item x="1030"/>
        <item x="949"/>
        <item x="478"/>
        <item x="1280"/>
        <item x="427"/>
        <item x="80"/>
        <item x="984"/>
        <item x="11"/>
        <item x="125"/>
        <item x="228"/>
        <item x="92"/>
        <item x="1171"/>
        <item x="374"/>
        <item x="309"/>
        <item x="484"/>
        <item x="831"/>
        <item x="1086"/>
        <item x="133"/>
        <item x="483"/>
        <item x="1362"/>
        <item x="178"/>
        <item x="944"/>
        <item x="17"/>
        <item x="448"/>
        <item x="1241"/>
        <item x="1380"/>
        <item x="205"/>
        <item x="276"/>
        <item x="1119"/>
        <item x="656"/>
        <item x="114"/>
        <item x="1187"/>
        <item x="120"/>
        <item x="47"/>
        <item x="395"/>
        <item x="1083"/>
        <item x="26"/>
        <item x="1022"/>
        <item x="36"/>
        <item x="1285"/>
        <item x="594"/>
        <item x="1169"/>
        <item x="93"/>
        <item x="856"/>
        <item x="1048"/>
        <item x="146"/>
        <item x="425"/>
        <item x="143"/>
        <item x="888"/>
        <item x="617"/>
        <item x="556"/>
        <item x="97"/>
        <item x="761"/>
        <item x="692"/>
        <item x="332"/>
        <item x="1321"/>
        <item x="131"/>
        <item x="14"/>
        <item x="237"/>
        <item x="241"/>
        <item x="327"/>
        <item x="444"/>
        <item x="360"/>
        <item x="992"/>
        <item x="1272"/>
        <item x="48"/>
        <item x="779"/>
        <item x="1255"/>
        <item x="1068"/>
        <item x="72"/>
        <item x="156"/>
        <item x="919"/>
        <item x="1367"/>
        <item x="1148"/>
        <item x="434"/>
        <item x="461"/>
        <item x="512"/>
        <item x="1370"/>
        <item x="496"/>
        <item x="849"/>
        <item x="383"/>
        <item x="585"/>
        <item x="215"/>
        <item x="1044"/>
        <item x="935"/>
        <item x="772"/>
        <item x="734"/>
        <item x="1019"/>
        <item x="545"/>
        <item x="1196"/>
        <item x="708"/>
        <item x="834"/>
        <item x="1360"/>
        <item x="506"/>
        <item x="190"/>
        <item x="633"/>
        <item x="361"/>
        <item x="519"/>
        <item x="201"/>
        <item x="591"/>
        <item x="899"/>
        <item x="377"/>
        <item x="418"/>
        <item x="601"/>
        <item x="1147"/>
        <item x="604"/>
        <item x="405"/>
        <item x="520"/>
        <item x="714"/>
        <item x="186"/>
        <item x="586"/>
        <item x="1015"/>
        <item x="703"/>
        <item x="936"/>
        <item x="428"/>
        <item x="850"/>
        <item x="657"/>
        <item x="1007"/>
        <item x="745"/>
        <item x="693"/>
        <item x="388"/>
        <item x="979"/>
        <item x="756"/>
        <item x="689"/>
        <item x="567"/>
        <item x="35"/>
        <item x="499"/>
        <item x="1319"/>
        <item x="353"/>
        <item x="890"/>
        <item x="431"/>
        <item x="1096"/>
        <item x="345"/>
        <item x="688"/>
        <item x="739"/>
        <item x="30"/>
        <item x="715"/>
        <item x="962"/>
        <item x="126"/>
        <item x="857"/>
        <item x="61"/>
        <item x="1292"/>
        <item x="438"/>
        <item x="43"/>
        <item x="678"/>
        <item x="1297"/>
        <item x="280"/>
        <item x="1282"/>
        <item x="59"/>
        <item x="336"/>
        <item x="1399"/>
        <item x="1210"/>
        <item x="730"/>
        <item x="264"/>
        <item x="978"/>
        <item x="994"/>
        <item x="1076"/>
        <item x="704"/>
        <item x="154"/>
        <item x="546"/>
        <item x="242"/>
        <item x="750"/>
        <item x="1107"/>
        <item x="1124"/>
        <item x="1097"/>
        <item x="174"/>
        <item x="579"/>
        <item x="312"/>
        <item x="1338"/>
        <item x="12"/>
        <item x="1224"/>
        <item x="682"/>
        <item x="794"/>
        <item x="974"/>
        <item x="1358"/>
        <item x="1219"/>
        <item x="1038"/>
        <item x="897"/>
        <item x="1392"/>
        <item x="166"/>
        <item x="210"/>
        <item x="1339"/>
        <item x="959"/>
        <item x="1102"/>
        <item x="1017"/>
        <item x="162"/>
        <item x="1222"/>
        <item x="1067"/>
        <item x="381"/>
        <item x="735"/>
        <item x="1293"/>
        <item x="1026"/>
        <item x="1133"/>
        <item x="74"/>
        <item x="536"/>
        <item x="1188"/>
        <item x="590"/>
        <item x="1308"/>
        <item x="1351"/>
        <item x="287"/>
        <item x="364"/>
        <item x="1228"/>
        <item x="674"/>
        <item x="281"/>
        <item x="647"/>
        <item x="757"/>
        <item x="548"/>
        <item x="58"/>
        <item x="209"/>
        <item x="53"/>
        <item x="89"/>
        <item x="414"/>
        <item x="1098"/>
        <item x="716"/>
        <item x="920"/>
        <item x="713"/>
        <item x="598"/>
        <item x="878"/>
        <item x="660"/>
        <item x="614"/>
        <item x="644"/>
        <item x="177"/>
        <item x="1180"/>
        <item x="553"/>
        <item x="531"/>
        <item x="24"/>
        <item x="1036"/>
        <item x="273"/>
        <item x="821"/>
        <item x="285"/>
        <item x="573"/>
        <item x="1401"/>
        <item x="165"/>
        <item x="722"/>
        <item x="1353"/>
        <item x="549"/>
        <item x="833"/>
        <item x="149"/>
        <item x="15"/>
        <item x="557"/>
        <item x="137"/>
        <item x="1393"/>
        <item x="13"/>
        <item x="284"/>
        <item x="140"/>
        <item x="863"/>
        <item x="880"/>
        <item x="522"/>
        <item x="164"/>
        <item x="220"/>
        <item x="221"/>
        <item x="1329"/>
        <item x="1232"/>
        <item x="853"/>
        <item x="860"/>
        <item x="471"/>
        <item x="176"/>
        <item x="326"/>
        <item x="1312"/>
        <item x="986"/>
        <item x="879"/>
        <item x="894"/>
        <item x="64"/>
        <item x="972"/>
        <item x="52"/>
        <item x="1334"/>
        <item x="1275"/>
        <item x="267"/>
        <item x="153"/>
        <item x="443"/>
        <item x="193"/>
        <item x="1287"/>
        <item x="925"/>
        <item x="474"/>
        <item x="1281"/>
        <item x="916"/>
        <item x="758"/>
        <item x="1396"/>
        <item x="132"/>
        <item x="1181"/>
        <item x="1195"/>
        <item x="1128"/>
        <item x="705"/>
        <item x="278"/>
        <item x="491"/>
        <item x="905"/>
        <item x="565"/>
        <item x="915"/>
        <item x="1227"/>
        <item x="785"/>
        <item x="406"/>
        <item x="109"/>
        <item x="580"/>
        <item x="170"/>
        <item x="707"/>
        <item x="1153"/>
        <item x="612"/>
        <item x="1093"/>
        <item x="676"/>
        <item x="324"/>
        <item x="1240"/>
        <item x="1134"/>
        <item x="603"/>
        <item x="662"/>
        <item x="788"/>
        <item x="869"/>
        <item x="991"/>
        <item x="248"/>
        <item x="754"/>
        <item x="620"/>
        <item x="527"/>
        <item x="1200"/>
        <item x="1145"/>
        <item x="473"/>
        <item x="781"/>
        <item x="1078"/>
        <item x="995"/>
        <item x="421"/>
        <item x="445"/>
        <item x="482"/>
        <item x="865"/>
        <item x="487"/>
        <item x="823"/>
        <item x="1261"/>
        <item x="430"/>
        <item x="847"/>
        <item x="862"/>
        <item x="864"/>
        <item x="576"/>
        <item x="681"/>
        <item x="1366"/>
        <item x="1208"/>
        <item x="921"/>
        <item x="547"/>
        <item x="1303"/>
        <item x="389"/>
        <item x="217"/>
        <item x="1014"/>
        <item x="1318"/>
        <item x="809"/>
        <item x="417"/>
        <item x="663"/>
        <item x="45"/>
        <item x="1243"/>
        <item x="611"/>
        <item x="490"/>
        <item x="1372"/>
        <item x="762"/>
        <item x="616"/>
        <item x="259"/>
        <item x="1405"/>
        <item x="1117"/>
        <item x="1398"/>
        <item x="1182"/>
        <item x="492"/>
        <item x="736"/>
        <item x="848"/>
        <item x="889"/>
        <item x="866"/>
        <item x="1150"/>
        <item x="155"/>
        <item x="876"/>
        <item x="1001"/>
        <item x="817"/>
        <item x="455"/>
        <item x="1189"/>
        <item x="420"/>
        <item x="742"/>
        <item x="989"/>
        <item x="1099"/>
        <item x="66"/>
        <item x="602"/>
        <item x="105"/>
        <item x="99"/>
        <item x="800"/>
        <item x="911"/>
        <item x="231"/>
        <item x="1352"/>
        <item x="1348"/>
        <item x="932"/>
        <item x="1190"/>
        <item x="121"/>
        <item x="687"/>
        <item x="1199"/>
        <item x="721"/>
        <item x="1239"/>
        <item x="1135"/>
        <item x="845"/>
        <item x="256"/>
        <item x="69"/>
        <item x="987"/>
        <item x="249"/>
        <item x="38"/>
        <item x="728"/>
        <item x="169"/>
        <item x="552"/>
        <item x="540"/>
        <item x="646"/>
        <item x="822"/>
        <item x="956"/>
        <item x="51"/>
        <item x="70"/>
        <item x="661"/>
        <item x="1234"/>
        <item x="642"/>
        <item x="1123"/>
        <item x="619"/>
        <item x="733"/>
        <item x="1251"/>
        <item x="57"/>
        <item x="900"/>
        <item x="310"/>
        <item x="968"/>
        <item x="517"/>
        <item x="1151"/>
        <item x="1212"/>
        <item x="515"/>
        <item x="194"/>
        <item x="315"/>
        <item x="298"/>
        <item x="1235"/>
        <item x="627"/>
        <item x="380"/>
        <item x="1296"/>
        <item x="1206"/>
        <item x="1136"/>
        <item x="960"/>
        <item x="476"/>
        <item x="838"/>
        <item x="958"/>
        <item x="782"/>
        <item x="672"/>
        <item x="481"/>
        <item x="1330"/>
        <item x="1236"/>
        <item x="277"/>
        <item x="1377"/>
        <item x="130"/>
        <item x="908"/>
        <item x="749"/>
        <item x="922"/>
        <item x="1258"/>
        <item x="1108"/>
        <item x="636"/>
        <item x="127"/>
        <item x="607"/>
        <item x="568"/>
        <item x="239"/>
        <item x="724"/>
        <item x="305"/>
        <item x="396"/>
        <item x="726"/>
        <item x="993"/>
        <item x="695"/>
        <item x="1050"/>
        <item x="432"/>
        <item x="775"/>
        <item x="774"/>
        <item x="773"/>
        <item x="841"/>
        <item x="1214"/>
        <item x="1384"/>
        <item x="1379"/>
        <item x="303"/>
        <item x="391"/>
        <item x="530"/>
        <item x="168"/>
        <item x="1104"/>
        <item x="301"/>
        <item x="1008"/>
        <item x="1095"/>
        <item x="112"/>
        <item x="955"/>
        <item x="477"/>
        <item x="1142"/>
        <item x="1373"/>
        <item x="1289"/>
        <item x="1056"/>
        <item x="1130"/>
        <item x="820"/>
        <item x="100"/>
        <item x="247"/>
        <item x="1375"/>
        <item x="1060"/>
        <item x="1357"/>
        <item x="1175"/>
        <item x="409"/>
        <item x="71"/>
        <item x="575"/>
        <item x="610"/>
        <item x="1064"/>
        <item x="532"/>
        <item x="258"/>
        <item x="533"/>
        <item x="1211"/>
        <item x="55"/>
        <item x="62"/>
        <item x="952"/>
        <item x="1225"/>
        <item x="1073"/>
        <item x="195"/>
        <item x="934"/>
        <item x="680"/>
        <item x="980"/>
        <item x="272"/>
        <item x="951"/>
        <item x="357"/>
        <item x="1082"/>
        <item x="1039"/>
        <item x="1397"/>
        <item x="1003"/>
        <item x="1349"/>
        <item x="94"/>
        <item x="1146"/>
        <item x="65"/>
        <item x="152"/>
        <item x="1164"/>
        <item x="485"/>
        <item x="1333"/>
        <item x="790"/>
        <item x="1194"/>
        <item x="751"/>
        <item x="836"/>
        <item x="650"/>
        <item x="1156"/>
        <item x="1043"/>
        <item x="988"/>
        <item x="172"/>
        <item x="437"/>
        <item x="711"/>
        <item x="511"/>
        <item x="763"/>
        <item x="539"/>
        <item x="803"/>
        <item x="355"/>
        <item x="1012"/>
        <item x="525"/>
        <item x="1247"/>
        <item x="189"/>
        <item x="110"/>
        <item x="918"/>
        <item x="1322"/>
        <item x="283"/>
        <item x="983"/>
        <item x="238"/>
        <item x="124"/>
        <item x="875"/>
        <item x="1061"/>
        <item x="765"/>
        <item x="1288"/>
        <item x="138"/>
        <item x="1149"/>
        <item x="977"/>
        <item x="1005"/>
        <item x="1053"/>
        <item x="570"/>
        <item x="969"/>
        <item x="535"/>
        <item x="42"/>
        <item x="129"/>
        <item x="1267"/>
        <item x="1088"/>
        <item x="982"/>
        <item x="179"/>
        <item x="825"/>
        <item x="1248"/>
        <item x="990"/>
        <item x="806"/>
        <item x="787"/>
        <item x="893"/>
        <item x="957"/>
        <item x="229"/>
        <item x="851"/>
        <item x="410"/>
        <item x="1025"/>
        <item x="927"/>
        <item x="185"/>
        <item x="510"/>
        <item x="898"/>
        <item x="729"/>
        <item x="1314"/>
        <item x="1080"/>
        <item x="824"/>
        <item x="198"/>
        <item x="842"/>
        <item x="725"/>
        <item x="967"/>
        <item x="1404"/>
        <item x="777"/>
        <item x="710"/>
        <item x="1049"/>
        <item x="759"/>
        <item x="697"/>
        <item x="839"/>
        <item x="429"/>
        <item x="592"/>
        <item x="1000"/>
        <item x="784"/>
        <item x="1403"/>
        <item x="670"/>
        <item x="1203"/>
        <item x="538"/>
        <item x="829"/>
        <item x="814"/>
        <item x="144"/>
        <item x="883"/>
        <item x="1176"/>
        <item x="613"/>
        <item x="158"/>
        <item x="1265"/>
        <item x="589"/>
        <item x="1121"/>
        <item x="717"/>
        <item x="1391"/>
        <item x="872"/>
        <item x="329"/>
        <item x="945"/>
        <item x="262"/>
        <item x="1198"/>
        <item x="314"/>
        <item x="245"/>
        <item x="1226"/>
        <item x="1193"/>
        <item x="1081"/>
        <item x="1100"/>
        <item x="953"/>
        <item x="702"/>
        <item x="971"/>
        <item x="738"/>
        <item x="699"/>
        <item x="171"/>
        <item x="961"/>
        <item x="655"/>
        <item x="999"/>
        <item x="1320"/>
        <item x="1063"/>
        <item x="1157"/>
        <item x="998"/>
        <item x="459"/>
        <item x="1032"/>
        <item x="558"/>
        <item x="1355"/>
        <item x="966"/>
        <item x="770"/>
        <item x="904"/>
        <item x="1244"/>
        <item x="472"/>
        <item x="452"/>
        <item x="95"/>
        <item x="1395"/>
        <item x="1084"/>
        <item x="1034"/>
        <item x="641"/>
        <item x="685"/>
        <item x="764"/>
        <item x="563"/>
        <item x="683"/>
        <item x="108"/>
        <item x="379"/>
        <item x="240"/>
        <item x="1177"/>
        <item x="690"/>
        <item x="747"/>
        <item x="18"/>
        <item x="450"/>
        <item x="161"/>
        <item x="835"/>
        <item x="706"/>
        <item x="216"/>
        <item x="593"/>
        <item x="874"/>
        <item x="792"/>
        <item x="1284"/>
        <item x="626"/>
        <item x="76"/>
        <item x="269"/>
        <item x="1158"/>
        <item x="119"/>
        <item x="263"/>
        <item x="748"/>
        <item x="1229"/>
        <item x="325"/>
        <item x="830"/>
        <item x="629"/>
        <item x="86"/>
        <item x="572"/>
        <item x="1072"/>
        <item x="732"/>
        <item x="1023"/>
        <item x="207"/>
        <item x="622"/>
        <item x="1278"/>
        <item x="981"/>
        <item x="235"/>
        <item x="950"/>
        <item x="1057"/>
        <item x="1138"/>
        <item x="363"/>
        <item x="1092"/>
        <item x="791"/>
        <item x="668"/>
        <item x="1363"/>
        <item x="649"/>
        <item x="871"/>
        <item x="206"/>
        <item x="1311"/>
        <item x="191"/>
        <item x="1154"/>
        <item x="123"/>
        <item x="234"/>
        <item x="503"/>
        <item x="469"/>
        <item x="151"/>
        <item x="861"/>
        <item x="964"/>
        <item x="1295"/>
        <item x="307"/>
        <item x="755"/>
        <item x="909"/>
        <item x="709"/>
        <item x="643"/>
        <item x="465"/>
        <item x="854"/>
        <item x="577"/>
        <item x="1115"/>
        <item x="1316"/>
        <item x="1213"/>
        <item x="996"/>
        <item x="1168"/>
        <item x="930"/>
        <item x="815"/>
        <item x="351"/>
        <item x="896"/>
        <item x="1304"/>
        <item x="550"/>
        <item x="528"/>
        <item x="67"/>
        <item x="948"/>
        <item x="1250"/>
        <item x="947"/>
        <item x="457"/>
        <item x="1113"/>
        <item x="720"/>
        <item x="828"/>
        <item x="731"/>
        <item x="1010"/>
        <item x="103"/>
        <item x="789"/>
        <item x="588"/>
        <item x="858"/>
        <item x="1383"/>
        <item x="382"/>
        <item x="118"/>
        <item x="286"/>
        <item x="997"/>
        <item x="1085"/>
        <item x="1202"/>
        <item x="1163"/>
        <item x="1027"/>
        <item x="1055"/>
        <item x="873"/>
        <item x="943"/>
        <item x="1132"/>
        <item x="635"/>
        <item x="985"/>
        <item x="1170"/>
        <item x="446"/>
        <item x="1263"/>
        <item x="49"/>
        <item x="104"/>
        <item x="807"/>
        <item x="63"/>
        <item x="493"/>
        <item x="1139"/>
        <item x="341"/>
        <item x="746"/>
        <item x="542"/>
        <item x="1326"/>
        <item x="282"/>
        <item x="597"/>
        <item x="639"/>
        <item x="571"/>
        <item x="1371"/>
        <item x="1101"/>
        <item x="1207"/>
        <item x="1368"/>
        <item x="1374"/>
        <item x="562"/>
        <item x="632"/>
        <item x="651"/>
        <item x="877"/>
        <item x="653"/>
        <item x="1004"/>
        <item x="625"/>
        <item x="954"/>
        <item x="413"/>
        <item x="818"/>
        <item x="1037"/>
        <item x="1179"/>
        <item x="1166"/>
        <item x="1184"/>
        <item x="88"/>
        <item x="727"/>
        <item x="346"/>
        <item x="75"/>
        <item x="349"/>
        <item x="1269"/>
        <item x="200"/>
        <item x="225"/>
        <item x="227"/>
        <item x="797"/>
        <item x="400"/>
        <item x="1016"/>
        <item x="1220"/>
        <item x="827"/>
        <item x="1172"/>
        <item x="1103"/>
        <item x="1020"/>
        <item x="1262"/>
        <item x="799"/>
        <item x="412"/>
        <item x="1376"/>
        <item x="666"/>
        <item x="843"/>
        <item x="1231"/>
        <item x="1335"/>
        <item x="907"/>
        <item x="1342"/>
        <item x="1294"/>
        <item x="82"/>
        <item x="1040"/>
        <item x="1029"/>
        <item x="292"/>
        <item x="147"/>
        <item x="1271"/>
        <item x="1341"/>
        <item x="236"/>
        <item x="313"/>
        <item x="513"/>
        <item x="1161"/>
        <item x="812"/>
        <item x="837"/>
        <item x="1159"/>
        <item x="250"/>
        <item x="339"/>
        <item x="479"/>
        <item x="1365"/>
        <item x="470"/>
        <item x="1110"/>
        <item x="31"/>
        <item x="141"/>
        <item x="1387"/>
        <item x="1058"/>
        <item x="202"/>
        <item x="1328"/>
        <item x="776"/>
        <item x="524"/>
        <item x="637"/>
        <item x="615"/>
        <item x="454"/>
        <item x="805"/>
        <item x="569"/>
        <item x="1301"/>
        <item x="885"/>
        <item x="1215"/>
        <item x="480"/>
        <item x="1031"/>
        <item x="1106"/>
        <item x="1173"/>
        <item x="1105"/>
        <item x="122"/>
        <item x="117"/>
        <item x="486"/>
        <item x="743"/>
        <item x="289"/>
        <item x="211"/>
        <item x="859"/>
        <item x="500"/>
        <item x="295"/>
        <item x="718"/>
        <item x="1327"/>
        <item x="912"/>
        <item x="844"/>
        <item x="1336"/>
        <item x="1141"/>
        <item x="2"/>
        <item x="347"/>
        <item x="102"/>
        <item x="1343"/>
        <item x="1152"/>
        <item x="39"/>
        <item x="679"/>
        <item x="407"/>
        <item x="244"/>
        <item x="623"/>
        <item x="903"/>
        <item x="608"/>
        <item x="422"/>
        <item x="160"/>
        <item x="255"/>
        <item x="323"/>
        <item x="1021"/>
        <item x="1167"/>
        <item x="1192"/>
        <item x="107"/>
        <item x="973"/>
        <item x="753"/>
        <item x="665"/>
        <item x="819"/>
        <item x="1325"/>
        <item x="769"/>
        <item x="1217"/>
        <item x="265"/>
        <item x="946"/>
        <item x="218"/>
        <item x="671"/>
        <item x="404"/>
        <item x="941"/>
        <item x="881"/>
        <item x="544"/>
        <item x="740"/>
        <item x="541"/>
        <item x="182"/>
        <item x="1013"/>
        <item x="1185"/>
        <item x="270"/>
        <item x="596"/>
        <item x="1369"/>
        <item x="1306"/>
        <item x="537"/>
        <item x="906"/>
        <item x="804"/>
        <item x="970"/>
        <item x="516"/>
        <item x="1006"/>
        <item x="1406"/>
        <item x="798"/>
        <item x="867"/>
        <item x="1143"/>
        <item x="212"/>
        <item x="402"/>
        <item x="84"/>
        <item x="197"/>
        <item x="1305"/>
        <item x="290"/>
        <item x="1386"/>
        <item x="25"/>
        <item x="214"/>
        <item x="667"/>
        <item x="352"/>
        <item x="887"/>
        <item x="460"/>
        <item x="1131"/>
        <item x="1266"/>
        <item x="1385"/>
        <item x="1230"/>
        <item x="1302"/>
        <item x="501"/>
        <item x="219"/>
        <item x="1094"/>
        <item x="1062"/>
        <item x="808"/>
        <item x="1381"/>
        <item x="1160"/>
        <item x="1127"/>
        <item x="810"/>
        <item x="184"/>
        <item x="719"/>
        <item x="1074"/>
        <item x="796"/>
        <item x="1041"/>
        <item x="1246"/>
        <item x="46"/>
        <item x="213"/>
        <item x="145"/>
        <item x="463"/>
        <item x="1238"/>
        <item x="489"/>
        <item x="387"/>
        <item x="135"/>
        <item x="811"/>
        <item x="1205"/>
        <item x="316"/>
        <item x="3"/>
        <item x="801"/>
        <item x="600"/>
        <item x="618"/>
        <item x="233"/>
        <item x="684"/>
        <item x="766"/>
        <item x="6"/>
        <item x="1291"/>
        <item x="1165"/>
        <item x="232"/>
        <item x="1223"/>
        <item x="826"/>
        <item x="737"/>
        <item x="1361"/>
        <item x="424"/>
        <item x="148"/>
        <item x="605"/>
        <item x="508"/>
        <item x="98"/>
        <item x="393"/>
        <item x="1090"/>
        <item x="96"/>
        <item x="1079"/>
        <item x="322"/>
        <item x="359"/>
        <item x="464"/>
        <item x="882"/>
        <item x="456"/>
        <item x="1249"/>
        <item x="581"/>
        <item x="275"/>
        <item x="505"/>
        <item x="938"/>
        <item x="142"/>
        <item x="1359"/>
        <item x="631"/>
        <item x="795"/>
        <item x="624"/>
        <item x="1209"/>
        <item x="931"/>
        <item x="253"/>
        <item x="560"/>
        <item x="1245"/>
        <item x="793"/>
        <item x="543"/>
        <item x="852"/>
        <item x="344"/>
        <item x="1140"/>
        <item x="268"/>
        <item x="1346"/>
        <item x="495"/>
        <item x="73"/>
        <item x="1299"/>
        <item x="1144"/>
        <item x="582"/>
        <item x="188"/>
        <item x="760"/>
        <item x="1221"/>
        <item x="1046"/>
        <item x="929"/>
        <item x="700"/>
        <item x="77"/>
        <item x="744"/>
        <item x="1218"/>
        <item x="940"/>
        <item x="1309"/>
        <item x="901"/>
        <item x="1118"/>
        <item x="1125"/>
        <item x="976"/>
        <item x="1116"/>
        <item x="462"/>
        <item x="333"/>
        <item x="599"/>
        <item x="1197"/>
        <item x="27"/>
        <item x="780"/>
        <item x="926"/>
        <item x="816"/>
        <item x="886"/>
        <item x="33"/>
        <item x="917"/>
        <item x="1257"/>
        <item x="223"/>
        <item x="1155"/>
        <item x="913"/>
        <item x="498"/>
        <item x="1018"/>
        <item x="1087"/>
        <item x="1089"/>
        <item x="701"/>
        <item x="928"/>
        <item x="1186"/>
        <item x="891"/>
        <item x="10"/>
        <item x="321"/>
        <item x="832"/>
        <item x="975"/>
        <item x="246"/>
        <item x="79"/>
        <item x="85"/>
        <item x="1059"/>
        <item x="449"/>
        <item x="399"/>
        <item x="494"/>
        <item x="1201"/>
        <item x="1277"/>
        <item x="356"/>
        <item x="673"/>
        <item x="467"/>
        <item x="1268"/>
        <item x="630"/>
        <item x="507"/>
        <item x="1122"/>
        <item x="846"/>
        <item x="1407"/>
        <item x="199"/>
        <item x="659"/>
        <item x="196"/>
        <item x="337"/>
        <item x="1035"/>
        <item x="654"/>
        <item x="29"/>
        <item x="1054"/>
        <item x="16"/>
        <item x="640"/>
        <item x="306"/>
        <item x="1390"/>
        <item x="19"/>
        <item x="1331"/>
        <item x="1345"/>
        <item x="1011"/>
        <item x="1126"/>
        <item x="509"/>
        <item x="1052"/>
        <item x="771"/>
        <item x="1315"/>
        <item x="1174"/>
        <item x="317"/>
        <item x="423"/>
        <item x="261"/>
        <item x="384"/>
        <item x="1300"/>
        <item x="652"/>
        <item x="1002"/>
        <item x="311"/>
        <item x="778"/>
        <item x="884"/>
        <item x="566"/>
        <item x="150"/>
        <item x="965"/>
        <item x="561"/>
        <item x="291"/>
        <item x="1183"/>
        <item x="1091"/>
        <item x="767"/>
        <item x="648"/>
        <item x="1033"/>
        <item x="260"/>
        <item x="638"/>
        <item x="106"/>
        <item x="1191"/>
        <item x="802"/>
        <item x="1204"/>
        <item x="895"/>
        <item x="677"/>
        <item x="664"/>
        <item x="208"/>
        <item x="1389"/>
        <item x="128"/>
        <item x="933"/>
        <item x="514"/>
        <item x="419"/>
        <item x="942"/>
        <item x="401"/>
        <item x="385"/>
        <item x="621"/>
        <item x="453"/>
        <item x="1162"/>
        <item x="578"/>
        <item x="1028"/>
        <item x="902"/>
        <item x="354"/>
        <item x="116"/>
        <item x="21"/>
        <item x="1252"/>
        <item x="658"/>
        <item x="163"/>
        <item x="203"/>
        <item x="1112"/>
        <item x="574"/>
        <item x="1237"/>
        <item x="813"/>
        <item x="840"/>
        <item x="370"/>
        <item x="9"/>
        <item x="1356"/>
        <item x="1323"/>
        <item x="350"/>
        <item x="1259"/>
        <item x="54"/>
        <item x="1276"/>
        <item x="786"/>
        <item x="334"/>
        <item x="1045"/>
        <item x="1178"/>
        <item x="340"/>
        <item x="320"/>
        <item x="669"/>
        <item x="435"/>
        <item x="1233"/>
        <item x="923"/>
        <item x="892"/>
        <item x="318"/>
        <item x="1400"/>
        <item x="1270"/>
        <item x="914"/>
        <item x="1111"/>
        <item x="521"/>
        <item x="868"/>
        <item x="392"/>
        <item x="274"/>
        <item x="1114"/>
        <item x="308"/>
        <item x="559"/>
        <item x="1253"/>
        <item x="348"/>
        <item x="5"/>
        <item x="375"/>
        <item x="504"/>
        <item x="609"/>
        <item x="595"/>
        <item x="1388"/>
        <item x="243"/>
        <item x="415"/>
        <item x="939"/>
        <item x="204"/>
        <item x="606"/>
        <item x="1298"/>
        <item x="91"/>
        <item x="343"/>
        <item x="254"/>
        <item x="1286"/>
        <item x="408"/>
        <item x="1216"/>
        <item x="752"/>
        <item x="1242"/>
        <item x="1109"/>
        <item x="1264"/>
        <item x="1394"/>
        <item x="167"/>
        <item x="723"/>
        <item x="371"/>
        <item x="426"/>
        <item x="488"/>
        <item x="90"/>
        <item x="587"/>
        <item x="230"/>
        <item x="192"/>
        <item x="279"/>
        <item x="386"/>
        <item x="139"/>
        <item x="1408"/>
        <item x="768"/>
        <item x="1047"/>
        <item x="1"/>
        <item x="173"/>
        <item x="1009"/>
        <item x="554"/>
        <item x="1279"/>
        <item x="1075"/>
        <item x="224"/>
        <item x="1307"/>
        <item x="497"/>
        <item x="302"/>
        <item x="1290"/>
        <item x="937"/>
        <item x="1024"/>
        <item x="1274"/>
        <item x="741"/>
        <item x="288"/>
        <item x="56"/>
        <item x="1332"/>
        <item x="81"/>
        <item x="1129"/>
        <item x="372"/>
        <item x="60"/>
        <item x="1077"/>
        <item x="1354"/>
        <item x="526"/>
        <item x="330"/>
        <item x="783"/>
        <item x="855"/>
        <item x="68"/>
        <item x="1260"/>
        <item x="475"/>
        <item x="403"/>
        <item x="675"/>
        <item x="180"/>
        <item x="458"/>
        <item x="266"/>
        <item x="645"/>
        <item x="442"/>
        <item x="451"/>
        <item x="342"/>
        <item x="183"/>
        <item x="870"/>
        <item x="1051"/>
        <item x="34"/>
        <item x="83"/>
        <item x="28"/>
        <item x="78"/>
        <item x="331"/>
        <item x="4"/>
        <item x="44"/>
        <item x="1283"/>
        <item x="297"/>
        <item x="468"/>
        <item x="963"/>
        <item x="698"/>
        <item x="378"/>
        <item x="1071"/>
        <item x="136"/>
        <item x="686"/>
        <item x="712"/>
        <item x="390"/>
        <item x="22"/>
        <item x="1310"/>
        <item x="175"/>
        <item x="181"/>
        <item x="447"/>
        <item x="694"/>
        <item x="1340"/>
        <item x="101"/>
        <item x="187"/>
        <item x="294"/>
        <item x="115"/>
        <item x="436"/>
        <item x="111"/>
        <item x="440"/>
        <item x="32"/>
        <item x="1256"/>
        <item x="37"/>
        <item x="252"/>
        <item x="293"/>
        <item x="41"/>
        <item x="251"/>
        <item x="1378"/>
        <item x="1273"/>
        <item x="40"/>
        <item x="7"/>
        <item x="20"/>
        <item x="335"/>
        <item x="518"/>
        <item x="441"/>
        <item x="1382"/>
        <item x="1344"/>
        <item x="159"/>
        <item x="257"/>
        <item x="529"/>
        <item x="411"/>
        <item x="23"/>
        <item x="1402"/>
        <item x="555"/>
        <item x="304"/>
        <item x="358"/>
        <item x="394"/>
        <item x="0"/>
        <item x="1069"/>
        <item x="439"/>
        <item x="564"/>
        <item x="367"/>
        <item x="271"/>
        <item t="default"/>
      </items>
    </pivotField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Items count="1">
    <i/>
  </colItems>
  <dataFields count="7">
    <dataField name="Average of NVDA" fld="4" subtotal="average" baseField="0" baseItem="0"/>
    <dataField name="Average of XOM" fld="7" subtotal="average" baseField="0" baseItem="0"/>
    <dataField name="Average of JPM" fld="3" subtotal="average" baseField="0" baseItem="0"/>
    <dataField name="Average of AAPL" fld="1" subtotal="average" baseField="0" baseItem="0"/>
    <dataField name="Average of SPY" fld="6" subtotal="average" baseField="0" baseItem="0"/>
    <dataField name="Average of JNJ" fld="2" subtotal="average" baseField="0" baseItem="0"/>
    <dataField name="Average of PG" fld="5" subtotal="average" baseField="0" baseItem="0"/>
  </dataFields>
  <formats count="5">
    <format dxfId="22">
      <pivotArea outline="0" collapsedLevelsAreSubtotals="1" fieldPosition="0"/>
    </format>
    <format dxfId="2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20">
      <pivotArea outline="0" collapsedLevelsAreSubtotals="1" fieldPosition="0"/>
    </format>
    <format dxfId="19">
      <pivotArea field="-2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C018FD5-5BEF-8F4A-8FB1-7718108C6C70}" autoFormatId="16" applyNumberFormats="0" applyBorderFormats="0" applyFontFormats="0" applyPatternFormats="0" applyAlignmentFormats="0" applyWidthHeightFormats="0">
  <queryTableRefresh nextId="13">
    <queryTableFields count="8">
      <queryTableField id="1" name="Date" tableColumnId="1"/>
      <queryTableField id="5" name="NVDA" tableColumnId="5"/>
      <queryTableField id="8" name="XOM" tableColumnId="8"/>
      <queryTableField id="4" name="JPM" tableColumnId="4"/>
      <queryTableField id="2" name="AAPL" tableColumnId="2"/>
      <queryTableField id="7" name="SPY" tableColumnId="7"/>
      <queryTableField id="3" name="JNJ" tableColumnId="3"/>
      <queryTableField id="6" name="PG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3F110401-F11F-AE4D-890F-11E3BCE564BD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AAPL" tableColumnId="2"/>
      <queryTableField id="3" name="JNJ" tableColumnId="3"/>
      <queryTableField id="4" name="JPM" tableColumnId="4"/>
      <queryTableField id="5" name="NVDA" tableColumnId="5"/>
      <queryTableField id="6" name="PG" tableColumnId="6"/>
      <queryTableField id="7" name="SPY" tableColumnId="7"/>
      <queryTableField id="8" name="XOM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00B0FF-5F75-7C4E-89F2-DA93D588D69E}" name="stock_prices6" displayName="stock_prices6" ref="L2:S1414" tableType="queryTable" totalsRowShown="0" headerRowDxfId="9">
  <autoFilter ref="L2:S1414" xr:uid="{AB00B0FF-5F75-7C4E-89F2-DA93D588D69E}"/>
  <tableColumns count="8">
    <tableColumn id="1" xr3:uid="{AAEA5427-D301-E349-A9B1-A6E538452295}" uniqueName="1" name="Date" queryTableFieldId="1" dataDxfId="10"/>
    <tableColumn id="5" xr3:uid="{258DD8B0-9349-AD49-9308-F409762A7F4E}" uniqueName="5" name="NVDA" queryTableFieldId="5" dataDxfId="11" dataCellStyle="Currency"/>
    <tableColumn id="8" xr3:uid="{3FAA7845-3ABD-B244-843D-BB18A9DC46D1}" uniqueName="8" name="XOM" queryTableFieldId="8" dataDxfId="17" dataCellStyle="Currency"/>
    <tableColumn id="4" xr3:uid="{CFCFE406-62B3-C745-903D-C969223F7A96}" uniqueName="4" name="JPM" queryTableFieldId="4" dataDxfId="16" dataCellStyle="Currency"/>
    <tableColumn id="2" xr3:uid="{99DBC60F-CD3E-4446-812D-1B640081EDD4}" uniqueName="2" name="AAPL" queryTableFieldId="2" dataDxfId="15" dataCellStyle="Currency"/>
    <tableColumn id="7" xr3:uid="{82321292-5E27-554B-81E9-5A473557D88A}" uniqueName="7" name="SPY" queryTableFieldId="7" dataDxfId="14" dataCellStyle="Currency"/>
    <tableColumn id="3" xr3:uid="{835FD908-A47C-A842-855A-C413375663B9}" uniqueName="3" name="JNJ" queryTableFieldId="3" dataDxfId="13" dataCellStyle="Currency"/>
    <tableColumn id="6" xr3:uid="{5CBD62A9-EF31-134A-A9A3-515C62F445D8}" uniqueName="6" name="PG" queryTableFieldId="6" dataDxfId="12" dataCellStyle="Currenc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28B0C7-5AA7-6144-9BD1-B7B534FBB0DE}" name="daily_returns__28" displayName="daily_returns__28" ref="V2:AC1413" tableType="queryTable" totalsRowShown="0" headerRowDxfId="8">
  <autoFilter ref="V2:AC1413" xr:uid="{D528B0C7-5AA7-6144-9BD1-B7B534FBB0DE}"/>
  <tableColumns count="8">
    <tableColumn id="1" xr3:uid="{623A3EC3-DDC0-7C45-8B88-EFDDA7D79069}" uniqueName="1" name="Date" queryTableFieldId="1" dataDxfId="0"/>
    <tableColumn id="2" xr3:uid="{A0086B25-A426-0545-997C-DB9F230704A9}" uniqueName="2" name="AAPL" queryTableFieldId="2" dataDxfId="1" dataCellStyle="Percent"/>
    <tableColumn id="3" xr3:uid="{C11CFD35-DC64-B747-8734-7325D0211686}" uniqueName="3" name="JNJ" queryTableFieldId="3" dataDxfId="7" dataCellStyle="Percent"/>
    <tableColumn id="4" xr3:uid="{F323388D-07BB-BD43-AEEE-A55290E7B2AA}" uniqueName="4" name="JPM" queryTableFieldId="4" dataDxfId="6" dataCellStyle="Percent"/>
    <tableColumn id="5" xr3:uid="{B03168EF-7F80-AD45-ADD2-89E2B34F8F45}" uniqueName="5" name="NVDA" queryTableFieldId="5" dataDxfId="5" dataCellStyle="Percent"/>
    <tableColumn id="6" xr3:uid="{2FB340FE-C003-9445-8F1D-9FE2A1A7A3BC}" uniqueName="6" name="PG" queryTableFieldId="6" dataDxfId="4" dataCellStyle="Percent"/>
    <tableColumn id="7" xr3:uid="{127A9CED-0964-C64F-B8C0-2204C7733E1E}" uniqueName="7" name="SPY" queryTableFieldId="7" dataDxfId="3" dataCellStyle="Percent"/>
    <tableColumn id="8" xr3:uid="{80C5A33E-C03F-7E41-A265-9AADB02D47C9}" uniqueName="8" name="XOM" queryTableFieldId="8" dataDxfId="2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D2B6-8B74-8145-9E32-94594AB5AF16}">
  <dimension ref="B1:AC1414"/>
  <sheetViews>
    <sheetView tabSelected="1" zoomScale="50" workbookViewId="0">
      <selection activeCell="F56" sqref="F56"/>
    </sheetView>
  </sheetViews>
  <sheetFormatPr baseColWidth="10" defaultRowHeight="16" x14ac:dyDescent="0.2"/>
  <cols>
    <col min="1" max="1" width="14.33203125" bestFit="1" customWidth="1"/>
    <col min="2" max="2" width="17.83203125" customWidth="1"/>
    <col min="3" max="3" width="8.83203125" customWidth="1"/>
    <col min="4" max="4" width="10.1640625" customWidth="1"/>
    <col min="5" max="5" width="20.33203125" customWidth="1"/>
    <col min="6" max="6" width="9.5" customWidth="1"/>
    <col min="7" max="7" width="19.83203125" customWidth="1"/>
    <col min="8" max="11" width="7.5" bestFit="1" customWidth="1"/>
    <col min="12" max="12" width="11" customWidth="1"/>
    <col min="13" max="19" width="12.1640625" bestFit="1" customWidth="1"/>
    <col min="20" max="21" width="6.83203125" bestFit="1" customWidth="1"/>
    <col min="22" max="22" width="12" customWidth="1"/>
    <col min="23" max="29" width="12.83203125" bestFit="1" customWidth="1"/>
    <col min="30" max="38" width="7.5" bestFit="1" customWidth="1"/>
    <col min="39" max="39" width="6.5" bestFit="1" customWidth="1"/>
    <col min="40" max="42" width="6.83203125" bestFit="1" customWidth="1"/>
    <col min="43" max="43" width="6.5" bestFit="1" customWidth="1"/>
    <col min="44" max="45" width="6.83203125" bestFit="1" customWidth="1"/>
    <col min="46" max="61" width="7.5" bestFit="1" customWidth="1"/>
    <col min="62" max="64" width="6.83203125" bestFit="1" customWidth="1"/>
    <col min="65" max="65" width="6.5" bestFit="1" customWidth="1"/>
    <col min="66" max="67" width="6.83203125" bestFit="1" customWidth="1"/>
    <col min="68" max="82" width="7.5" bestFit="1" customWidth="1"/>
    <col min="83" max="85" width="6.83203125" bestFit="1" customWidth="1"/>
    <col min="86" max="87" width="6.5" bestFit="1" customWidth="1"/>
    <col min="88" max="102" width="7.5" bestFit="1" customWidth="1"/>
    <col min="103" max="103" width="6.83203125" bestFit="1" customWidth="1"/>
    <col min="104" max="104" width="6.5" bestFit="1" customWidth="1"/>
    <col min="105" max="109" width="6.83203125" bestFit="1" customWidth="1"/>
    <col min="110" max="124" width="7.5" bestFit="1" customWidth="1"/>
    <col min="125" max="125" width="6.5" bestFit="1" customWidth="1"/>
    <col min="126" max="129" width="6.83203125" bestFit="1" customWidth="1"/>
    <col min="130" max="130" width="6.5" bestFit="1" customWidth="1"/>
    <col min="131" max="145" width="7.5" bestFit="1" customWidth="1"/>
    <col min="146" max="146" width="6.83203125" bestFit="1" customWidth="1"/>
    <col min="147" max="147" width="6.5" bestFit="1" customWidth="1"/>
    <col min="148" max="148" width="6.83203125" bestFit="1" customWidth="1"/>
    <col min="149" max="149" width="6.5" bestFit="1" customWidth="1"/>
    <col min="150" max="151" width="6.83203125" bestFit="1" customWidth="1"/>
    <col min="152" max="167" width="7.5" bestFit="1" customWidth="1"/>
    <col min="168" max="173" width="6.83203125" bestFit="1" customWidth="1"/>
    <col min="174" max="194" width="7.5" bestFit="1" customWidth="1"/>
    <col min="195" max="209" width="8.5" bestFit="1" customWidth="1"/>
    <col min="210" max="216" width="7.5" bestFit="1" customWidth="1"/>
    <col min="217" max="230" width="8.5" bestFit="1" customWidth="1"/>
    <col min="231" max="237" width="7.5" bestFit="1" customWidth="1"/>
    <col min="238" max="252" width="8.5" bestFit="1" customWidth="1"/>
    <col min="253" max="257" width="6.83203125" bestFit="1" customWidth="1"/>
    <col min="258" max="272" width="7.5" bestFit="1" customWidth="1"/>
    <col min="273" max="279" width="6.83203125" bestFit="1" customWidth="1"/>
    <col min="280" max="291" width="7.5" bestFit="1" customWidth="1"/>
    <col min="292" max="292" width="6.83203125" bestFit="1" customWidth="1"/>
    <col min="293" max="293" width="6.5" bestFit="1" customWidth="1"/>
    <col min="294" max="298" width="6.83203125" bestFit="1" customWidth="1"/>
    <col min="299" max="314" width="7.5" bestFit="1" customWidth="1"/>
    <col min="315" max="320" width="6.83203125" bestFit="1" customWidth="1"/>
    <col min="321" max="334" width="7.5" bestFit="1" customWidth="1"/>
    <col min="335" max="336" width="6.83203125" bestFit="1" customWidth="1"/>
    <col min="337" max="337" width="6.5" bestFit="1" customWidth="1"/>
    <col min="338" max="340" width="6.83203125" bestFit="1" customWidth="1"/>
    <col min="341" max="355" width="7.5" bestFit="1" customWidth="1"/>
    <col min="356" max="359" width="6.83203125" bestFit="1" customWidth="1"/>
    <col min="360" max="360" width="6.5" bestFit="1" customWidth="1"/>
    <col min="361" max="362" width="6.83203125" bestFit="1" customWidth="1"/>
    <col min="363" max="376" width="7.5" bestFit="1" customWidth="1"/>
    <col min="377" max="381" width="6.83203125" bestFit="1" customWidth="1"/>
    <col min="382" max="396" width="7.5" bestFit="1" customWidth="1"/>
    <col min="397" max="403" width="6.83203125" bestFit="1" customWidth="1"/>
    <col min="404" max="419" width="7.5" bestFit="1" customWidth="1"/>
    <col min="420" max="424" width="6.83203125" bestFit="1" customWidth="1"/>
    <col min="425" max="425" width="6.5" bestFit="1" customWidth="1"/>
    <col min="426" max="445" width="7.5" bestFit="1" customWidth="1"/>
    <col min="446" max="461" width="8.5" bestFit="1" customWidth="1"/>
    <col min="462" max="468" width="7.5" bestFit="1" customWidth="1"/>
    <col min="469" max="482" width="8.5" bestFit="1" customWidth="1"/>
    <col min="483" max="489" width="7.5" bestFit="1" customWidth="1"/>
    <col min="490" max="503" width="8.5" bestFit="1" customWidth="1"/>
    <col min="504" max="504" width="6.83203125" bestFit="1" customWidth="1"/>
    <col min="505" max="505" width="6.5" bestFit="1" customWidth="1"/>
    <col min="506" max="506" width="6.83203125" bestFit="1" customWidth="1"/>
    <col min="507" max="507" width="6.5" bestFit="1" customWidth="1"/>
    <col min="508" max="508" width="6.83203125" bestFit="1" customWidth="1"/>
    <col min="509" max="523" width="7.5" bestFit="1" customWidth="1"/>
    <col min="524" max="530" width="6.83203125" bestFit="1" customWidth="1"/>
    <col min="531" max="542" width="7.5" bestFit="1" customWidth="1"/>
    <col min="543" max="544" width="6.83203125" bestFit="1" customWidth="1"/>
    <col min="545" max="545" width="6.5" bestFit="1" customWidth="1"/>
    <col min="546" max="549" width="6.83203125" bestFit="1" customWidth="1"/>
    <col min="550" max="565" width="7.5" bestFit="1" customWidth="1"/>
    <col min="566" max="569" width="6.83203125" bestFit="1" customWidth="1"/>
    <col min="570" max="584" width="7.5" bestFit="1" customWidth="1"/>
    <col min="585" max="588" width="6.83203125" bestFit="1" customWidth="1"/>
    <col min="589" max="589" width="6.5" bestFit="1" customWidth="1"/>
    <col min="590" max="591" width="6.83203125" bestFit="1" customWidth="1"/>
    <col min="592" max="606" width="7.5" bestFit="1" customWidth="1"/>
    <col min="607" max="613" width="6.83203125" bestFit="1" customWidth="1"/>
    <col min="614" max="627" width="7.5" bestFit="1" customWidth="1"/>
    <col min="628" max="631" width="6.83203125" bestFit="1" customWidth="1"/>
    <col min="632" max="647" width="7.5" bestFit="1" customWidth="1"/>
    <col min="648" max="654" width="6.83203125" bestFit="1" customWidth="1"/>
    <col min="655" max="670" width="7.5" bestFit="1" customWidth="1"/>
    <col min="671" max="675" width="6.83203125" bestFit="1" customWidth="1"/>
    <col min="676" max="696" width="7.5" bestFit="1" customWidth="1"/>
    <col min="697" max="712" width="8.5" bestFit="1" customWidth="1"/>
    <col min="713" max="719" width="7.5" bestFit="1" customWidth="1"/>
    <col min="720" max="733" width="8.5" bestFit="1" customWidth="1"/>
    <col min="734" max="739" width="7.5" bestFit="1" customWidth="1"/>
    <col min="740" max="753" width="8.5" bestFit="1" customWidth="1"/>
    <col min="754" max="759" width="6.83203125" bestFit="1" customWidth="1"/>
    <col min="760" max="774" width="7.5" bestFit="1" customWidth="1"/>
    <col min="775" max="781" width="6.83203125" bestFit="1" customWidth="1"/>
    <col min="782" max="794" width="7.5" bestFit="1" customWidth="1"/>
    <col min="795" max="800" width="6.83203125" bestFit="1" customWidth="1"/>
    <col min="801" max="814" width="7.5" bestFit="1" customWidth="1"/>
    <col min="815" max="821" width="6.83203125" bestFit="1" customWidth="1"/>
    <col min="822" max="828" width="7.5" bestFit="1" customWidth="1"/>
    <col min="829" max="829" width="7.83203125" bestFit="1" customWidth="1"/>
    <col min="830" max="836" width="7.5" bestFit="1" customWidth="1"/>
    <col min="837" max="843" width="6.83203125" bestFit="1" customWidth="1"/>
    <col min="844" max="858" width="7.5" bestFit="1" customWidth="1"/>
    <col min="859" max="863" width="6.83203125" bestFit="1" customWidth="1"/>
    <col min="864" max="877" width="7.5" bestFit="1" customWidth="1"/>
    <col min="878" max="883" width="6.83203125" bestFit="1" customWidth="1"/>
    <col min="884" max="899" width="7.5" bestFit="1" customWidth="1"/>
    <col min="900" max="904" width="6.83203125" bestFit="1" customWidth="1"/>
    <col min="905" max="905" width="6.5" bestFit="1" customWidth="1"/>
    <col min="906" max="906" width="6.83203125" bestFit="1" customWidth="1"/>
    <col min="907" max="921" width="7.5" bestFit="1" customWidth="1"/>
    <col min="922" max="925" width="6.83203125" bestFit="1" customWidth="1"/>
    <col min="926" max="926" width="6.5" bestFit="1" customWidth="1"/>
    <col min="927" max="948" width="7.5" bestFit="1" customWidth="1"/>
    <col min="949" max="964" width="8.5" bestFit="1" customWidth="1"/>
    <col min="965" max="970" width="7.5" bestFit="1" customWidth="1"/>
    <col min="971" max="984" width="8.5" bestFit="1" customWidth="1"/>
    <col min="985" max="990" width="7.5" bestFit="1" customWidth="1"/>
    <col min="991" max="1005" width="8.5" bestFit="1" customWidth="1"/>
    <col min="1006" max="1010" width="6.83203125" bestFit="1" customWidth="1"/>
    <col min="1011" max="1020" width="7.5" bestFit="1" customWidth="1"/>
    <col min="1021" max="1021" width="7.83203125" bestFit="1" customWidth="1"/>
    <col min="1022" max="1025" width="7.5" bestFit="1" customWidth="1"/>
    <col min="1026" max="1030" width="6.83203125" bestFit="1" customWidth="1"/>
    <col min="1031" max="1044" width="7.5" bestFit="1" customWidth="1"/>
    <col min="1045" max="1049" width="6.83203125" bestFit="1" customWidth="1"/>
    <col min="1050" max="1065" width="7.5" bestFit="1" customWidth="1"/>
    <col min="1066" max="1071" width="6.83203125" bestFit="1" customWidth="1"/>
    <col min="1072" max="1072" width="7.1640625" bestFit="1" customWidth="1"/>
    <col min="1073" max="1086" width="7.5" bestFit="1" customWidth="1"/>
    <col min="1087" max="1093" width="6.83203125" bestFit="1" customWidth="1"/>
    <col min="1094" max="1107" width="7.5" bestFit="1" customWidth="1"/>
    <col min="1108" max="1111" width="6.83203125" bestFit="1" customWidth="1"/>
    <col min="1112" max="1112" width="6.5" bestFit="1" customWidth="1"/>
    <col min="1113" max="1113" width="6.83203125" bestFit="1" customWidth="1"/>
    <col min="1114" max="1127" width="7.5" bestFit="1" customWidth="1"/>
    <col min="1128" max="1133" width="6.83203125" bestFit="1" customWidth="1"/>
    <col min="1134" max="1149" width="7.5" bestFit="1" customWidth="1"/>
    <col min="1150" max="1154" width="6.83203125" bestFit="1" customWidth="1"/>
    <col min="1155" max="1155" width="6.5" bestFit="1" customWidth="1"/>
    <col min="1156" max="1170" width="7.5" bestFit="1" customWidth="1"/>
    <col min="1171" max="1172" width="6.83203125" bestFit="1" customWidth="1"/>
    <col min="1173" max="1173" width="6.5" bestFit="1" customWidth="1"/>
    <col min="1174" max="1176" width="6.83203125" bestFit="1" customWidth="1"/>
    <col min="1177" max="1198" width="7.5" bestFit="1" customWidth="1"/>
    <col min="1199" max="1214" width="8.5" bestFit="1" customWidth="1"/>
    <col min="1215" max="1219" width="7.5" bestFit="1" customWidth="1"/>
    <col min="1220" max="1233" width="8.5" bestFit="1" customWidth="1"/>
    <col min="1234" max="1240" width="7.5" bestFit="1" customWidth="1"/>
    <col min="1241" max="1255" width="8.5" bestFit="1" customWidth="1"/>
    <col min="1256" max="1261" width="6.83203125" bestFit="1" customWidth="1"/>
    <col min="1262" max="1275" width="7.5" bestFit="1" customWidth="1"/>
    <col min="1276" max="1279" width="6.83203125" bestFit="1" customWidth="1"/>
    <col min="1280" max="1280" width="6.5" bestFit="1" customWidth="1"/>
    <col min="1281" max="1281" width="6.83203125" bestFit="1" customWidth="1"/>
    <col min="1282" max="1294" width="7.5" bestFit="1" customWidth="1"/>
    <col min="1295" max="1300" width="6.83203125" bestFit="1" customWidth="1"/>
    <col min="1301" max="1316" width="7.5" bestFit="1" customWidth="1"/>
    <col min="1317" max="1322" width="6.83203125" bestFit="1" customWidth="1"/>
    <col min="1323" max="1337" width="7.5" bestFit="1" customWidth="1"/>
    <col min="1338" max="1343" width="6.83203125" bestFit="1" customWidth="1"/>
    <col min="1344" max="1357" width="7.5" bestFit="1" customWidth="1"/>
    <col min="1358" max="1364" width="6.83203125" bestFit="1" customWidth="1"/>
    <col min="1365" max="1378" width="7.5" bestFit="1" customWidth="1"/>
    <col min="1379" max="1384" width="6.83203125" bestFit="1" customWidth="1"/>
    <col min="1385" max="1400" width="7.5" bestFit="1" customWidth="1"/>
    <col min="1401" max="1405" width="6.83203125" bestFit="1" customWidth="1"/>
    <col min="1406" max="1412" width="7.5" bestFit="1" customWidth="1"/>
    <col min="1413" max="1413" width="10.5" bestFit="1" customWidth="1"/>
  </cols>
  <sheetData>
    <row r="1" spans="2:29" ht="21" thickBot="1" x14ac:dyDescent="0.3">
      <c r="L1" s="2" t="s">
        <v>21</v>
      </c>
      <c r="M1" s="2"/>
      <c r="N1" s="2"/>
      <c r="O1" s="2"/>
      <c r="P1" s="2"/>
      <c r="Q1" s="2"/>
      <c r="R1" s="2"/>
      <c r="S1" s="2"/>
      <c r="V1" s="2" t="s">
        <v>20</v>
      </c>
      <c r="W1" s="2"/>
      <c r="X1" s="2"/>
      <c r="Y1" s="2"/>
      <c r="Z1" s="2"/>
      <c r="AA1" s="2"/>
      <c r="AB1" s="2"/>
      <c r="AC1" s="2"/>
    </row>
    <row r="2" spans="2:29" ht="17" thickTop="1" x14ac:dyDescent="0.2">
      <c r="L2" s="1" t="s">
        <v>0</v>
      </c>
      <c r="M2" s="1" t="s">
        <v>4</v>
      </c>
      <c r="N2" s="1" t="s">
        <v>7</v>
      </c>
      <c r="O2" s="1" t="s">
        <v>3</v>
      </c>
      <c r="P2" s="1" t="s">
        <v>1</v>
      </c>
      <c r="Q2" s="1" t="s">
        <v>6</v>
      </c>
      <c r="R2" s="1" t="s">
        <v>2</v>
      </c>
      <c r="S2" s="1" t="s">
        <v>5</v>
      </c>
      <c r="V2" s="1" t="s">
        <v>0</v>
      </c>
      <c r="W2" s="1" t="s">
        <v>1</v>
      </c>
      <c r="X2" s="1" t="s">
        <v>2</v>
      </c>
      <c r="Y2" s="1" t="s">
        <v>3</v>
      </c>
      <c r="Z2" s="1" t="s">
        <v>4</v>
      </c>
      <c r="AA2" s="1" t="s">
        <v>5</v>
      </c>
      <c r="AB2" s="1" t="s">
        <v>6</v>
      </c>
      <c r="AC2" s="1" t="s">
        <v>7</v>
      </c>
    </row>
    <row r="3" spans="2:29" x14ac:dyDescent="0.2">
      <c r="L3" s="11">
        <v>44200</v>
      </c>
      <c r="M3" s="10">
        <v>13.060796737670898</v>
      </c>
      <c r="N3" s="10">
        <v>33.251327514648438</v>
      </c>
      <c r="O3" s="10">
        <v>109.0005340576172</v>
      </c>
      <c r="P3" s="10">
        <v>125.63249969482422</v>
      </c>
      <c r="Q3" s="10">
        <v>342.43698120117188</v>
      </c>
      <c r="R3" s="10">
        <v>134.28739929199219</v>
      </c>
      <c r="S3" s="10">
        <v>118.965576171875</v>
      </c>
      <c r="V3" s="11">
        <v>44201</v>
      </c>
      <c r="W3" s="12">
        <v>1.2363891376538705E-2</v>
      </c>
      <c r="X3" s="12">
        <v>1.1756619589510242E-2</v>
      </c>
      <c r="Y3" s="12">
        <v>5.4412015243594514E-3</v>
      </c>
      <c r="Z3" s="12">
        <v>2.2209982769193282E-2</v>
      </c>
      <c r="AA3" s="12">
        <v>6.3850216404019999E-3</v>
      </c>
      <c r="AB3" s="12">
        <v>6.8871911754548876E-3</v>
      </c>
      <c r="AC3" s="12">
        <v>4.8192903776181462E-2</v>
      </c>
    </row>
    <row r="4" spans="2:29" ht="21" thickBot="1" x14ac:dyDescent="0.3">
      <c r="B4" s="2" t="s">
        <v>18</v>
      </c>
      <c r="C4" s="2"/>
      <c r="F4" s="2" t="s">
        <v>19</v>
      </c>
      <c r="G4" s="2"/>
      <c r="L4" s="11">
        <v>44201</v>
      </c>
      <c r="M4" s="10">
        <v>13.350876808166504</v>
      </c>
      <c r="N4" s="10">
        <v>34.853805541992188</v>
      </c>
      <c r="O4" s="10">
        <v>109.5936279296875</v>
      </c>
      <c r="P4" s="10">
        <v>127.18580627441406</v>
      </c>
      <c r="Q4" s="10">
        <v>344.79541015625</v>
      </c>
      <c r="R4" s="10">
        <v>135.86616516113281</v>
      </c>
      <c r="S4" s="10">
        <v>119.72517395019533</v>
      </c>
      <c r="V4" s="11">
        <v>44202</v>
      </c>
      <c r="W4" s="12">
        <v>-3.36615618801549E-2</v>
      </c>
      <c r="X4" s="12">
        <v>9.4103575589965516E-3</v>
      </c>
      <c r="Y4" s="12">
        <v>4.6955805972659581E-2</v>
      </c>
      <c r="Z4" s="12">
        <v>-5.8952988658306782E-2</v>
      </c>
      <c r="AA4" s="12">
        <v>1.0526478118564997E-2</v>
      </c>
      <c r="AB4" s="12">
        <v>5.9783563056103883E-3</v>
      </c>
      <c r="AC4" s="12">
        <v>2.5517045730654164E-2</v>
      </c>
    </row>
    <row r="5" spans="2:29" ht="22" thickTop="1" thickBot="1" x14ac:dyDescent="0.3">
      <c r="B5" s="5" t="s">
        <v>15</v>
      </c>
      <c r="F5" s="6" t="s">
        <v>16</v>
      </c>
      <c r="G5" s="6" t="s">
        <v>17</v>
      </c>
      <c r="L5" s="11">
        <v>44202</v>
      </c>
      <c r="M5" s="10">
        <v>12.563802719116213</v>
      </c>
      <c r="N5" s="10">
        <v>35.743171691894531</v>
      </c>
      <c r="O5" s="10">
        <v>114.73968505859376</v>
      </c>
      <c r="P5" s="10">
        <v>122.90453338623048</v>
      </c>
      <c r="Q5" s="10">
        <v>346.85671997070312</v>
      </c>
      <c r="R5" s="10">
        <v>137.14471435546875</v>
      </c>
      <c r="S5" s="10">
        <v>120.98545837402344</v>
      </c>
      <c r="V5" s="11">
        <v>44203</v>
      </c>
      <c r="W5" s="12">
        <v>3.4122993097856158E-2</v>
      </c>
      <c r="X5" s="12">
        <v>3.3788700294929974E-3</v>
      </c>
      <c r="Y5" s="12">
        <v>3.2839267618669954E-2</v>
      </c>
      <c r="Z5" s="12">
        <v>5.7830127624638017E-2</v>
      </c>
      <c r="AA5" s="12">
        <v>-9.3466271437548931E-3</v>
      </c>
      <c r="AB5" s="12">
        <v>1.485781776400974E-2</v>
      </c>
      <c r="AC5" s="12">
        <v>7.8459033210536155E-3</v>
      </c>
    </row>
    <row r="6" spans="2:29" ht="20" thickTop="1" thickBot="1" x14ac:dyDescent="0.3">
      <c r="B6" s="9" t="s">
        <v>10</v>
      </c>
      <c r="C6" s="3">
        <v>2.5101375081298281E-3</v>
      </c>
      <c r="F6" s="7" t="s">
        <v>4</v>
      </c>
      <c r="G6" s="4">
        <f>_xlfn.XLOOKUP(MAX(stock_prices6[Date]),stock_prices6[Date],stock_prices6[NVDA])</f>
        <v>219.74000549316409</v>
      </c>
      <c r="L6" s="11">
        <v>44203</v>
      </c>
      <c r="M6" s="10">
        <v>13.290369033813477</v>
      </c>
      <c r="N6" s="10">
        <v>36.023609161376953</v>
      </c>
      <c r="O6" s="10">
        <v>118.50765228271484</v>
      </c>
      <c r="P6" s="10">
        <v>127.09840393066406</v>
      </c>
      <c r="Q6" s="10">
        <v>352.01025390625</v>
      </c>
      <c r="R6" s="10">
        <v>137.60810852050781</v>
      </c>
      <c r="S6" s="10">
        <v>119.85465240478516</v>
      </c>
      <c r="V6" s="11">
        <v>44204</v>
      </c>
      <c r="W6" s="12">
        <v>8.6313486693891939E-3</v>
      </c>
      <c r="X6" s="12">
        <v>-2.0579300831587988E-3</v>
      </c>
      <c r="Y6" s="12">
        <v>1.1039697007055871E-3</v>
      </c>
      <c r="Z6" s="12">
        <v>-5.0397668994791589E-3</v>
      </c>
      <c r="AA6" s="12">
        <v>-4.3234740259590065E-4</v>
      </c>
      <c r="AB6" s="12">
        <v>5.6975178834735019E-3</v>
      </c>
      <c r="AC6" s="12">
        <v>1.1120920459246841E-2</v>
      </c>
    </row>
    <row r="7" spans="2:29" ht="20" thickTop="1" thickBot="1" x14ac:dyDescent="0.3">
      <c r="B7" s="9" t="s">
        <v>14</v>
      </c>
      <c r="C7" s="3">
        <v>1.2857649432742456E-3</v>
      </c>
      <c r="F7" s="8" t="s">
        <v>7</v>
      </c>
      <c r="G7" s="4">
        <f>_xlfn.XLOOKUP(MAX(stock_prices6[Date]),stock_prices6[Date],stock_prices6[XOM])</f>
        <v>165.55999755859375</v>
      </c>
      <c r="L7" s="11">
        <v>44204</v>
      </c>
      <c r="M7" s="10">
        <v>13.223388671875</v>
      </c>
      <c r="N7" s="10">
        <v>36.424224853515625</v>
      </c>
      <c r="O7" s="10">
        <v>118.63848114013672</v>
      </c>
      <c r="P7" s="10">
        <v>128.1954345703125</v>
      </c>
      <c r="Q7" s="10">
        <v>354.01583862304688</v>
      </c>
      <c r="R7" s="10">
        <v>137.32492065429688</v>
      </c>
      <c r="S7" s="10">
        <v>119.80283355712891</v>
      </c>
      <c r="V7" s="11">
        <v>44207</v>
      </c>
      <c r="W7" s="12">
        <v>-2.3248878522382443E-2</v>
      </c>
      <c r="X7" s="12">
        <v>-4.1865719023000958E-3</v>
      </c>
      <c r="Y7" s="12">
        <v>1.4924325970954833E-2</v>
      </c>
      <c r="Z7" s="12">
        <v>2.5966613509222247E-2</v>
      </c>
      <c r="AA7" s="12">
        <v>-6.7726150952597264E-3</v>
      </c>
      <c r="AB7" s="12">
        <v>-6.7408072710652966E-3</v>
      </c>
      <c r="AC7" s="12">
        <v>3.0356420222378722E-2</v>
      </c>
    </row>
    <row r="8" spans="2:29" ht="20" thickTop="1" thickBot="1" x14ac:dyDescent="0.3">
      <c r="B8" s="9" t="s">
        <v>11</v>
      </c>
      <c r="C8" s="3">
        <v>9.6914054625644129E-4</v>
      </c>
      <c r="F8" s="8" t="s">
        <v>3</v>
      </c>
      <c r="G8" s="4">
        <f>_xlfn.XLOOKUP(MAX(stock_prices6[Date]),stock_prices6[Date],stock_prices6[JPM])</f>
        <v>363.25</v>
      </c>
      <c r="L8" s="11">
        <v>44207</v>
      </c>
      <c r="M8" s="10">
        <v>13.566755294799805</v>
      </c>
      <c r="N8" s="10">
        <v>37.529933929443359</v>
      </c>
      <c r="O8" s="10">
        <v>120.40908050537109</v>
      </c>
      <c r="P8" s="10">
        <v>125.21503448486328</v>
      </c>
      <c r="Q8" s="10">
        <v>351.62948608398438</v>
      </c>
      <c r="R8" s="10">
        <v>136.75</v>
      </c>
      <c r="S8" s="10">
        <v>118.991455078125</v>
      </c>
      <c r="V8" s="11">
        <v>44208</v>
      </c>
      <c r="W8" s="12">
        <v>-1.3953047689871934E-3</v>
      </c>
      <c r="X8" s="12">
        <v>-7.7804760697555153E-3</v>
      </c>
      <c r="Y8" s="12">
        <v>1.5718725690663238E-2</v>
      </c>
      <c r="Z8" s="12">
        <v>-1.0039313150905005E-2</v>
      </c>
      <c r="AA8" s="12">
        <v>-5.8035650168550834E-3</v>
      </c>
      <c r="AB8" s="12">
        <v>2.1107089404415191E-4</v>
      </c>
      <c r="AC8" s="12">
        <v>2.2203345778978756E-2</v>
      </c>
    </row>
    <row r="9" spans="2:29" ht="20" thickTop="1" thickBot="1" x14ac:dyDescent="0.3">
      <c r="B9" s="9" t="s">
        <v>13</v>
      </c>
      <c r="C9" s="3">
        <v>7.9327065166127334E-4</v>
      </c>
      <c r="F9" s="8" t="s">
        <v>1</v>
      </c>
      <c r="G9" s="4">
        <f>_xlfn.XLOOKUP(MAX(stock_prices6[Date]),stock_prices6[Date],stock_prices6[AAPL])</f>
        <v>310.02999877929688</v>
      </c>
      <c r="L9" s="11">
        <v>44208</v>
      </c>
      <c r="M9" s="10">
        <v>13.430554389953612</v>
      </c>
      <c r="N9" s="10">
        <v>38.363224029541016</v>
      </c>
      <c r="O9" s="10">
        <v>122.3017578125</v>
      </c>
      <c r="P9" s="10">
        <v>125.04032135009766</v>
      </c>
      <c r="Q9" s="10">
        <v>351.70370483398438</v>
      </c>
      <c r="R9" s="10">
        <v>135.68601989746094</v>
      </c>
      <c r="S9" s="10">
        <v>118.30088043212891</v>
      </c>
      <c r="V9" s="11">
        <v>44209</v>
      </c>
      <c r="W9" s="12">
        <v>1.6226150195081779E-2</v>
      </c>
      <c r="X9" s="12">
        <v>-1.5179392462191243E-3</v>
      </c>
      <c r="Y9" s="12">
        <v>9.2717956753984865E-4</v>
      </c>
      <c r="Z9" s="12">
        <v>3.4854185807711158E-3</v>
      </c>
      <c r="AA9" s="12">
        <v>1.5323166945193645E-3</v>
      </c>
      <c r="AB9" s="12">
        <v>2.6931891157953025E-3</v>
      </c>
      <c r="AC9" s="12">
        <v>1.1278165209245294E-2</v>
      </c>
    </row>
    <row r="10" spans="2:29" ht="20" thickTop="1" thickBot="1" x14ac:dyDescent="0.3">
      <c r="B10" s="9" t="s">
        <v>8</v>
      </c>
      <c r="C10" s="3">
        <v>6.2770836803766354E-4</v>
      </c>
      <c r="F10" s="8" t="s">
        <v>6</v>
      </c>
      <c r="G10" s="4">
        <f>_xlfn.XLOOKUP(MAX(stock_prices6[Date]),stock_prices6[Date],stock_prices6[SPY])</f>
        <v>767.45001220703125</v>
      </c>
      <c r="L10" s="11">
        <v>44209</v>
      </c>
      <c r="M10" s="10">
        <v>13.477365493774414</v>
      </c>
      <c r="N10" s="10">
        <v>38.795890808105469</v>
      </c>
      <c r="O10" s="10">
        <v>122.41515350341795</v>
      </c>
      <c r="P10" s="10">
        <v>127.06924438476562</v>
      </c>
      <c r="Q10" s="10">
        <v>352.65090942382812</v>
      </c>
      <c r="R10" s="10">
        <v>135.48005676269531</v>
      </c>
      <c r="S10" s="10">
        <v>118.48215484619141</v>
      </c>
      <c r="V10" s="11">
        <v>44210</v>
      </c>
      <c r="W10" s="12">
        <v>-1.512666899626669E-2</v>
      </c>
      <c r="X10" s="12">
        <v>1.7480586667982134E-2</v>
      </c>
      <c r="Y10" s="12">
        <v>5.8426822877049034E-3</v>
      </c>
      <c r="Z10" s="12">
        <v>-2.4498016634821762E-2</v>
      </c>
      <c r="AA10" s="12">
        <v>-1.0636655856622546E-2</v>
      </c>
      <c r="AB10" s="12">
        <v>-3.5021783687914088E-3</v>
      </c>
      <c r="AC10" s="12">
        <v>3.9033206130513642E-2</v>
      </c>
    </row>
    <row r="11" spans="2:29" ht="20" thickTop="1" thickBot="1" x14ac:dyDescent="0.3">
      <c r="B11" s="9" t="s">
        <v>12</v>
      </c>
      <c r="C11" s="3">
        <v>5.56739049031419E-4</v>
      </c>
      <c r="F11" s="8" t="s">
        <v>2</v>
      </c>
      <c r="G11" s="4">
        <f>_xlfn.XLOOKUP(MAX(stock_prices6[Date]),stock_prices6[Date],stock_prices6[JNJ])</f>
        <v>271.1099853515625</v>
      </c>
      <c r="L11" s="11">
        <v>44210</v>
      </c>
      <c r="M11" s="10">
        <v>13.147196769714355</v>
      </c>
      <c r="N11" s="10">
        <v>40.310218811035149</v>
      </c>
      <c r="O11" s="10">
        <v>123.13038635253906</v>
      </c>
      <c r="P11" s="10">
        <v>125.14710998535156</v>
      </c>
      <c r="Q11" s="10">
        <v>351.41586303710938</v>
      </c>
      <c r="R11" s="10">
        <v>137.84832763671875</v>
      </c>
      <c r="S11" s="10">
        <v>117.22190093994141</v>
      </c>
      <c r="V11" s="11">
        <v>44211</v>
      </c>
      <c r="W11" s="12">
        <v>-1.3730362009261365E-2</v>
      </c>
      <c r="X11" s="12">
        <v>-2.1785409564814007E-3</v>
      </c>
      <c r="Y11" s="12">
        <v>-1.7921616442610366E-2</v>
      </c>
      <c r="Z11" s="12">
        <v>-2.5813742874479462E-2</v>
      </c>
      <c r="AA11" s="12">
        <v>-7.5112065084541602E-3</v>
      </c>
      <c r="AB11" s="12">
        <v>-7.2926250923236458E-3</v>
      </c>
      <c r="AC11" s="12">
        <v>-4.8101737073678263E-2</v>
      </c>
    </row>
    <row r="12" spans="2:29" ht="20" thickTop="1" thickBot="1" x14ac:dyDescent="0.3">
      <c r="B12" s="9" t="s">
        <v>9</v>
      </c>
      <c r="C12" s="3">
        <v>1.9550144097249967E-4</v>
      </c>
      <c r="F12" s="8" t="s">
        <v>5</v>
      </c>
      <c r="G12" s="4">
        <f>_xlfn.XLOOKUP(MAX(stock_prices6[Date]),stock_prices6[Date],stock_prices6[PG])</f>
        <v>143.44999694824219</v>
      </c>
      <c r="L12" s="11">
        <v>44211</v>
      </c>
      <c r="M12" s="10">
        <v>12.807818412780762</v>
      </c>
      <c r="N12" s="10">
        <v>38.371227264404297</v>
      </c>
      <c r="O12" s="10">
        <v>120.92369079589844</v>
      </c>
      <c r="P12" s="10">
        <v>123.42879486083984</v>
      </c>
      <c r="Q12" s="10">
        <v>348.85311889648438</v>
      </c>
      <c r="R12" s="10">
        <v>137.54801940917969</v>
      </c>
      <c r="S12" s="10">
        <v>116.34142303466795</v>
      </c>
      <c r="V12" s="11">
        <v>44215</v>
      </c>
      <c r="W12" s="12">
        <v>5.4268562130970199E-3</v>
      </c>
      <c r="X12" s="12">
        <v>1.5470893232754301E-2</v>
      </c>
      <c r="Y12" s="12">
        <v>-4.3279025294470364E-3</v>
      </c>
      <c r="Z12" s="12">
        <v>1.2889156648216105E-2</v>
      </c>
      <c r="AA12" s="12">
        <v>-8.7548756146509366E-3</v>
      </c>
      <c r="AB12" s="12">
        <v>7.8520059846636237E-3</v>
      </c>
      <c r="AC12" s="12">
        <v>1.9837481398105039E-2</v>
      </c>
    </row>
    <row r="13" spans="2:29" ht="17" thickTop="1" x14ac:dyDescent="0.2">
      <c r="L13" s="11">
        <v>44215</v>
      </c>
      <c r="M13" s="10">
        <v>12.972900390625</v>
      </c>
      <c r="N13" s="10">
        <v>39.132415771484375</v>
      </c>
      <c r="O13" s="10">
        <v>120.4003448486328</v>
      </c>
      <c r="P13" s="10">
        <v>124.09862518310548</v>
      </c>
      <c r="Q13" s="10">
        <v>351.59231567382812</v>
      </c>
      <c r="R13" s="10">
        <v>139.67601013183594</v>
      </c>
      <c r="S13" s="10">
        <v>115.32286834716795</v>
      </c>
      <c r="V13" s="11">
        <v>44216</v>
      </c>
      <c r="W13" s="12">
        <v>3.2856250101823692E-2</v>
      </c>
      <c r="X13" s="12">
        <v>-2.4572289977273787E-3</v>
      </c>
      <c r="Y13" s="12">
        <v>-1.4995646061488288E-2</v>
      </c>
      <c r="Z13" s="12">
        <v>2.6141521562188297E-2</v>
      </c>
      <c r="AA13" s="12">
        <v>-1.2499934670137547E-2</v>
      </c>
      <c r="AB13" s="12">
        <v>1.38385833076482E-2</v>
      </c>
      <c r="AC13" s="12">
        <v>1.4127545931461816E-2</v>
      </c>
    </row>
    <row r="14" spans="2:29" x14ac:dyDescent="0.2">
      <c r="L14" s="11">
        <v>44216</v>
      </c>
      <c r="M14" s="10">
        <v>13.312031745910645</v>
      </c>
      <c r="N14" s="10">
        <v>39.685260772705078</v>
      </c>
      <c r="O14" s="10">
        <v>118.59486389160156</v>
      </c>
      <c r="P14" s="10">
        <v>128.17604064941406</v>
      </c>
      <c r="Q14" s="10">
        <v>356.45785522460938</v>
      </c>
      <c r="R14" s="10">
        <v>139.33279418945312</v>
      </c>
      <c r="S14" s="10">
        <v>113.88134002685548</v>
      </c>
      <c r="V14" s="11">
        <v>44217</v>
      </c>
      <c r="W14" s="12">
        <v>3.6658057688290002E-2</v>
      </c>
      <c r="X14" s="12">
        <v>-4.0031478492580375E-3</v>
      </c>
      <c r="Y14" s="12">
        <v>-8.3842056716519897E-3</v>
      </c>
      <c r="Z14" s="12">
        <v>3.7539947374668925E-2</v>
      </c>
      <c r="AA14" s="12">
        <v>-9.8374351118868386E-4</v>
      </c>
      <c r="AB14" s="12">
        <v>9.1203982462606525E-4</v>
      </c>
      <c r="AC14" s="12">
        <v>-2.866949405152408E-2</v>
      </c>
    </row>
    <row r="15" spans="2:29" x14ac:dyDescent="0.2">
      <c r="L15" s="11">
        <v>44217</v>
      </c>
      <c r="M15" s="10">
        <v>13.811764717102051</v>
      </c>
      <c r="N15" s="10">
        <v>38.547504425048828</v>
      </c>
      <c r="O15" s="10">
        <v>117.6005401611328</v>
      </c>
      <c r="P15" s="10">
        <v>132.87472534179688</v>
      </c>
      <c r="Q15" s="10">
        <v>356.782958984375</v>
      </c>
      <c r="R15" s="10">
        <v>138.7750244140625</v>
      </c>
      <c r="S15" s="10">
        <v>113.76930999755859</v>
      </c>
      <c r="V15" s="11">
        <v>44218</v>
      </c>
      <c r="W15" s="12">
        <v>1.607404067809215E-2</v>
      </c>
      <c r="X15" s="12">
        <v>1.125362296531196E-2</v>
      </c>
      <c r="Y15" s="12">
        <v>-7.7134381436053667E-3</v>
      </c>
      <c r="Z15" s="12">
        <v>-1.1177278246402467E-2</v>
      </c>
      <c r="AA15" s="12">
        <v>-7.7093765807348946E-3</v>
      </c>
      <c r="AB15" s="12">
        <v>-3.5393698982402189E-3</v>
      </c>
      <c r="AC15" s="12">
        <v>-1.413419519075565E-2</v>
      </c>
    </row>
    <row r="16" spans="2:29" x14ac:dyDescent="0.2">
      <c r="L16" s="11">
        <v>44218</v>
      </c>
      <c r="M16" s="10">
        <v>13.657386779785156</v>
      </c>
      <c r="N16" s="10">
        <v>38.002666473388672</v>
      </c>
      <c r="O16" s="10">
        <v>116.69343566894533</v>
      </c>
      <c r="P16" s="10">
        <v>135.01055908203125</v>
      </c>
      <c r="Q16" s="10">
        <v>355.52017211914062</v>
      </c>
      <c r="R16" s="10">
        <v>140.33674621582031</v>
      </c>
      <c r="S16" s="10">
        <v>112.89221954345705</v>
      </c>
      <c r="V16" s="11">
        <v>44221</v>
      </c>
      <c r="W16" s="12">
        <v>2.7683607646067143E-2</v>
      </c>
      <c r="X16" s="12">
        <v>1.4858038542328922E-2</v>
      </c>
      <c r="Y16" s="12">
        <v>-1.24822477473715E-2</v>
      </c>
      <c r="Z16" s="12">
        <v>-4.3207757551109172E-3</v>
      </c>
      <c r="AA16" s="12">
        <v>1.7230779544703756E-2</v>
      </c>
      <c r="AB16" s="12">
        <v>3.9434542650724769E-3</v>
      </c>
      <c r="AC16" s="12">
        <v>-1.1174572289514018E-2</v>
      </c>
    </row>
    <row r="17" spans="2:29" ht="21" thickBot="1" x14ac:dyDescent="0.3">
      <c r="B17" s="2" t="s">
        <v>22</v>
      </c>
      <c r="C17" s="2"/>
      <c r="D17" s="2"/>
      <c r="E17" s="2"/>
      <c r="L17" s="11">
        <v>44221</v>
      </c>
      <c r="M17" s="10">
        <v>13.598376274108888</v>
      </c>
      <c r="N17" s="10">
        <v>37.5780029296875</v>
      </c>
      <c r="O17" s="10">
        <v>115.23683929443359</v>
      </c>
      <c r="P17" s="10">
        <v>138.74813842773438</v>
      </c>
      <c r="Q17" s="10">
        <v>356.92214965820312</v>
      </c>
      <c r="R17" s="10">
        <v>142.421875</v>
      </c>
      <c r="S17" s="10">
        <v>114.83744049072266</v>
      </c>
      <c r="V17" s="11">
        <v>44222</v>
      </c>
      <c r="W17" s="12">
        <v>1.679094177739815E-3</v>
      </c>
      <c r="X17" s="12">
        <v>2.7111260628085665E-2</v>
      </c>
      <c r="Y17" s="12">
        <v>-4.087240454272556E-3</v>
      </c>
      <c r="Z17" s="12">
        <v>-1.5966905232937978E-2</v>
      </c>
      <c r="AA17" s="12">
        <v>6.4277287768188529E-3</v>
      </c>
      <c r="AB17" s="12">
        <v>-1.5607545556565183E-3</v>
      </c>
      <c r="AC17" s="12">
        <v>-2.196166258986032E-2</v>
      </c>
    </row>
    <row r="18" spans="2:29" ht="20" thickTop="1" x14ac:dyDescent="0.25">
      <c r="B18" s="13" t="s">
        <v>25</v>
      </c>
      <c r="C18" s="13"/>
      <c r="D18" s="13"/>
      <c r="E18" s="13"/>
      <c r="L18" s="11">
        <v>44222</v>
      </c>
      <c r="M18" s="10">
        <v>13.381252288818359</v>
      </c>
      <c r="N18" s="10">
        <v>36.752727508544922</v>
      </c>
      <c r="O18" s="10">
        <v>114.76583862304688</v>
      </c>
      <c r="P18" s="10">
        <v>138.98110961914062</v>
      </c>
      <c r="Q18" s="10">
        <v>356.36508178710938</v>
      </c>
      <c r="R18" s="10">
        <v>146.28311157226562</v>
      </c>
      <c r="S18" s="10">
        <v>115.57558441162109</v>
      </c>
      <c r="V18" s="11">
        <v>44223</v>
      </c>
      <c r="W18" s="12">
        <v>-7.6835700670138118E-3</v>
      </c>
      <c r="X18" s="12">
        <v>-1.5250954175580866E-2</v>
      </c>
      <c r="Y18" s="12">
        <v>-2.8271597945779048E-2</v>
      </c>
      <c r="Z18" s="12">
        <v>-3.8517852281263365E-2</v>
      </c>
      <c r="AA18" s="12">
        <v>-3.5389385626762082E-2</v>
      </c>
      <c r="AB18" s="12">
        <v>-2.4440689603850041E-2</v>
      </c>
      <c r="AC18" s="12">
        <v>-1.1336438906526247E-2</v>
      </c>
    </row>
    <row r="19" spans="2:29" ht="19" x14ac:dyDescent="0.25">
      <c r="B19" s="13" t="s">
        <v>24</v>
      </c>
      <c r="C19" s="13"/>
      <c r="D19" s="13"/>
      <c r="E19" s="13"/>
      <c r="L19" s="11">
        <v>44223</v>
      </c>
      <c r="M19" s="10">
        <v>12.865835189819336</v>
      </c>
      <c r="N19" s="10">
        <v>36.336082458496094</v>
      </c>
      <c r="O19" s="10">
        <v>111.52122497558594</v>
      </c>
      <c r="P19" s="10">
        <v>137.91323852539062</v>
      </c>
      <c r="Q19" s="10">
        <v>347.6552734375</v>
      </c>
      <c r="R19" s="10">
        <v>144.05215454101562</v>
      </c>
      <c r="S19" s="10">
        <v>111.48543548583984</v>
      </c>
      <c r="V19" s="11">
        <v>44224</v>
      </c>
      <c r="W19" s="12">
        <v>-3.4985299197347497E-2</v>
      </c>
      <c r="X19" s="12">
        <v>7.6246197011589079E-3</v>
      </c>
      <c r="Y19" s="12">
        <v>1.7597492288252914E-2</v>
      </c>
      <c r="Z19" s="12">
        <v>1.0314802540337453E-2</v>
      </c>
      <c r="AA19" s="12">
        <v>1.5422628893561052E-2</v>
      </c>
      <c r="AB19" s="12">
        <v>8.6003577257238728E-3</v>
      </c>
      <c r="AC19" s="12">
        <v>1.5656117832052674E-2</v>
      </c>
    </row>
    <row r="20" spans="2:29" ht="19" x14ac:dyDescent="0.25">
      <c r="B20" s="13" t="s">
        <v>23</v>
      </c>
      <c r="C20" s="13"/>
      <c r="D20" s="13"/>
      <c r="E20" s="13"/>
      <c r="L20" s="11">
        <v>44224</v>
      </c>
      <c r="M20" s="10">
        <v>12.998543739318848</v>
      </c>
      <c r="N20" s="10">
        <v>36.904964447021491</v>
      </c>
      <c r="O20" s="10">
        <v>113.48371887207033</v>
      </c>
      <c r="P20" s="10">
        <v>133.08830261230469</v>
      </c>
      <c r="Q20" s="10">
        <v>350.64523315429688</v>
      </c>
      <c r="R20" s="10">
        <v>145.15049743652344</v>
      </c>
      <c r="S20" s="10">
        <v>113.204833984375</v>
      </c>
      <c r="V20" s="11">
        <v>44225</v>
      </c>
      <c r="W20" s="12">
        <v>-3.7420453275166743E-2</v>
      </c>
      <c r="X20" s="12">
        <v>-3.5646679771414336E-2</v>
      </c>
      <c r="Y20" s="12">
        <v>-1.1067637865458391E-2</v>
      </c>
      <c r="Z20" s="12">
        <v>-4.692970141293884E-3</v>
      </c>
      <c r="AA20" s="12">
        <v>-1.6492671780748647E-2</v>
      </c>
      <c r="AB20" s="12">
        <v>-2.0019681559777958E-2</v>
      </c>
      <c r="AC20" s="12">
        <v>-2.6487286311368874E-2</v>
      </c>
    </row>
    <row r="21" spans="2:29" ht="19" customHeight="1" x14ac:dyDescent="0.2">
      <c r="B21" s="15" t="s">
        <v>26</v>
      </c>
      <c r="C21" s="15"/>
      <c r="D21" s="15"/>
      <c r="E21" s="15"/>
      <c r="F21" s="14"/>
      <c r="G21" s="14"/>
      <c r="H21" s="14"/>
      <c r="I21" s="14"/>
      <c r="L21" s="11">
        <v>44225</v>
      </c>
      <c r="M21" s="10">
        <v>12.937541961669922</v>
      </c>
      <c r="N21" s="10">
        <v>35.927452087402344</v>
      </c>
      <c r="O21" s="10">
        <v>112.22772216796876</v>
      </c>
      <c r="P21" s="10">
        <v>128.10807800292969</v>
      </c>
      <c r="Q21" s="10">
        <v>343.62542724609375</v>
      </c>
      <c r="R21" s="10">
        <v>139.97636413574219</v>
      </c>
      <c r="S21" s="10">
        <v>111.33778381347656</v>
      </c>
      <c r="V21" s="11">
        <v>44228</v>
      </c>
      <c r="W21" s="12">
        <v>1.6519664670841205E-2</v>
      </c>
      <c r="X21" s="12">
        <v>-2.5745923771004486E-3</v>
      </c>
      <c r="Y21" s="12">
        <v>7.3829809450931538E-3</v>
      </c>
      <c r="Z21" s="12">
        <v>1.9034282480991482E-2</v>
      </c>
      <c r="AA21" s="12">
        <v>5.927734065835466E-3</v>
      </c>
      <c r="AB21" s="12">
        <v>1.6645503102242776E-2</v>
      </c>
      <c r="AC21" s="12">
        <v>1.7841053130727147E-3</v>
      </c>
    </row>
    <row r="22" spans="2:29" ht="16" customHeight="1" x14ac:dyDescent="0.2">
      <c r="B22" s="15"/>
      <c r="C22" s="15"/>
      <c r="D22" s="15"/>
      <c r="E22" s="15"/>
      <c r="F22" s="14"/>
      <c r="G22" s="14"/>
      <c r="H22" s="14"/>
      <c r="I22" s="14"/>
      <c r="L22" s="11">
        <v>44228</v>
      </c>
      <c r="M22" s="10">
        <v>13.183798789978027</v>
      </c>
      <c r="N22" s="10">
        <v>35.991550445556641</v>
      </c>
      <c r="O22" s="10">
        <v>113.05629730224609</v>
      </c>
      <c r="P22" s="10">
        <v>130.22438049316406</v>
      </c>
      <c r="Q22" s="10">
        <v>349.34524536132812</v>
      </c>
      <c r="R22" s="10">
        <v>139.61598205566406</v>
      </c>
      <c r="S22" s="10">
        <v>111.99776458740234</v>
      </c>
      <c r="V22" s="11">
        <v>44229</v>
      </c>
      <c r="W22" s="12">
        <v>6.3368362219422547E-3</v>
      </c>
      <c r="X22" s="12">
        <v>-8.9731300095640121E-3</v>
      </c>
      <c r="Y22" s="12">
        <v>3.0782369218507855E-2</v>
      </c>
      <c r="Z22" s="12">
        <v>2.4156018985526551E-2</v>
      </c>
      <c r="AA22" s="12">
        <v>-1.3957983404507823E-3</v>
      </c>
      <c r="AB22" s="12">
        <v>1.4140047321016258E-2</v>
      </c>
      <c r="AC22" s="12">
        <v>1.5806199257252462E-2</v>
      </c>
    </row>
    <row r="23" spans="2:29" x14ac:dyDescent="0.2">
      <c r="L23" s="11">
        <v>44229</v>
      </c>
      <c r="M23" s="10">
        <v>13.502266883850098</v>
      </c>
      <c r="N23" s="10">
        <v>36.560440063476562</v>
      </c>
      <c r="O23" s="10">
        <v>116.53643798828124</v>
      </c>
      <c r="P23" s="10">
        <v>131.04959106445312</v>
      </c>
      <c r="Q23" s="10">
        <v>354.28500366210938</v>
      </c>
      <c r="R23" s="10">
        <v>138.36318969726562</v>
      </c>
      <c r="S23" s="10">
        <v>111.84143829345705</v>
      </c>
      <c r="V23" s="11">
        <v>44230</v>
      </c>
      <c r="W23" s="12">
        <v>-7.7784554308067966E-3</v>
      </c>
      <c r="X23" s="12">
        <v>-4.6511986960410256E-3</v>
      </c>
      <c r="Y23" s="12">
        <v>1.1451250253361023E-2</v>
      </c>
      <c r="Z23" s="12">
        <v>-1.9364107733543801E-3</v>
      </c>
      <c r="AA23" s="12">
        <v>1.2422846659394526E-3</v>
      </c>
      <c r="AB23" s="12">
        <v>7.8661676491198484E-4</v>
      </c>
      <c r="AC23" s="12">
        <v>3.9228513892801686E-2</v>
      </c>
    </row>
    <row r="24" spans="2:29" x14ac:dyDescent="0.2">
      <c r="L24" s="11">
        <v>44230</v>
      </c>
      <c r="M24" s="10">
        <v>13.476120948791504</v>
      </c>
      <c r="N24" s="10">
        <v>37.994651794433594</v>
      </c>
      <c r="O24" s="10">
        <v>117.87092590332033</v>
      </c>
      <c r="P24" s="10">
        <v>130.03022766113281</v>
      </c>
      <c r="Q24" s="10">
        <v>354.56369018554688</v>
      </c>
      <c r="R24" s="10">
        <v>137.71963500976562</v>
      </c>
      <c r="S24" s="10">
        <v>111.98037719726562</v>
      </c>
      <c r="V24" s="11">
        <v>44231</v>
      </c>
      <c r="W24" s="12">
        <v>2.5758241263059034E-2</v>
      </c>
      <c r="X24" s="12">
        <v>9.2834887099950691E-3</v>
      </c>
      <c r="Y24" s="12">
        <v>2.3013314667882812E-2</v>
      </c>
      <c r="Z24" s="12">
        <v>9.8850470431939286E-3</v>
      </c>
      <c r="AA24" s="12">
        <v>6.2061011513403486E-4</v>
      </c>
      <c r="AB24" s="12">
        <v>1.1365820410018879E-2</v>
      </c>
      <c r="AC24" s="12">
        <v>1.919022657471281E-2</v>
      </c>
    </row>
    <row r="25" spans="2:29" x14ac:dyDescent="0.2">
      <c r="L25" s="11">
        <v>44231</v>
      </c>
      <c r="M25" s="10">
        <v>13.609333038330078</v>
      </c>
      <c r="N25" s="10">
        <v>38.723777770996094</v>
      </c>
      <c r="O25" s="10">
        <v>120.58352661132812</v>
      </c>
      <c r="P25" s="10">
        <v>133.37957763671875</v>
      </c>
      <c r="Q25" s="10">
        <v>358.59359741210938</v>
      </c>
      <c r="R25" s="10">
        <v>138.99815368652344</v>
      </c>
      <c r="S25" s="10">
        <v>112.04987335205078</v>
      </c>
      <c r="V25" s="11">
        <v>44232</v>
      </c>
      <c r="W25" s="12">
        <v>-3.0980999784467889E-3</v>
      </c>
      <c r="X25" s="12">
        <v>1.5186319424707495E-2</v>
      </c>
      <c r="Y25" s="12">
        <v>-1.9531640498360314E-3</v>
      </c>
      <c r="Z25" s="12">
        <v>-5.3608793574401181E-3</v>
      </c>
      <c r="AA25" s="12">
        <v>4.1851753172841288E-3</v>
      </c>
      <c r="AB25" s="12">
        <v>3.9357825843302496E-3</v>
      </c>
      <c r="AC25" s="12">
        <v>3.3519465568918605E-2</v>
      </c>
    </row>
    <row r="26" spans="2:29" x14ac:dyDescent="0.2">
      <c r="L26" s="11">
        <v>44232</v>
      </c>
      <c r="M26" s="10">
        <v>13.536375045776367</v>
      </c>
      <c r="N26" s="10">
        <v>40.021778106689453</v>
      </c>
      <c r="O26" s="10">
        <v>120.34800720214844</v>
      </c>
      <c r="P26" s="10">
        <v>132.96635437011719</v>
      </c>
      <c r="Q26" s="10">
        <v>360.00494384765625</v>
      </c>
      <c r="R26" s="10">
        <v>141.10902404785156</v>
      </c>
      <c r="S26" s="10">
        <v>112.51882171630859</v>
      </c>
      <c r="V26" s="11">
        <v>44235</v>
      </c>
      <c r="W26" s="12">
        <v>1.0967304304996262E-3</v>
      </c>
      <c r="X26" s="12">
        <v>2.8578933123091232E-3</v>
      </c>
      <c r="Y26" s="12">
        <v>1.5654686427643449E-2</v>
      </c>
      <c r="Z26" s="12">
        <v>6.2376152940999186E-2</v>
      </c>
      <c r="AA26" s="12">
        <v>-3.0872520446240115E-3</v>
      </c>
      <c r="AB26" s="12">
        <v>7.221800915887755E-3</v>
      </c>
      <c r="AC26" s="12">
        <v>4.3042876073884351E-2</v>
      </c>
    </row>
    <row r="27" spans="2:29" x14ac:dyDescent="0.2">
      <c r="L27" s="11">
        <v>44235</v>
      </c>
      <c r="M27" s="10">
        <v>14.380722045898438</v>
      </c>
      <c r="N27" s="10">
        <v>41.744430541992188</v>
      </c>
      <c r="O27" s="10">
        <v>122.23201751708984</v>
      </c>
      <c r="P27" s="10">
        <v>133.1121826171875</v>
      </c>
      <c r="Q27" s="10">
        <v>362.60482788085938</v>
      </c>
      <c r="R27" s="10">
        <v>141.51229858398438</v>
      </c>
      <c r="S27" s="10">
        <v>112.17144775390624</v>
      </c>
      <c r="V27" s="11">
        <v>44236</v>
      </c>
      <c r="W27" s="12">
        <v>-6.5737467387466664E-3</v>
      </c>
      <c r="X27" s="12">
        <v>8.1855480017036797E-3</v>
      </c>
      <c r="Y27" s="12">
        <v>-3.9958317716000114E-3</v>
      </c>
      <c r="Z27" s="12">
        <v>-1.2155023316763103E-2</v>
      </c>
      <c r="AA27" s="12">
        <v>-3.870760799361439E-3</v>
      </c>
      <c r="AB27" s="12">
        <v>-6.655537633707409E-4</v>
      </c>
      <c r="AC27" s="12">
        <v>-1.1711723566698029E-2</v>
      </c>
    </row>
    <row r="28" spans="2:29" x14ac:dyDescent="0.2">
      <c r="L28" s="11">
        <v>44236</v>
      </c>
      <c r="M28" s="10">
        <v>14.205924034118652</v>
      </c>
      <c r="N28" s="10">
        <v>41.255531311035149</v>
      </c>
      <c r="O28" s="10">
        <v>121.74359893798828</v>
      </c>
      <c r="P28" s="10">
        <v>132.23713684082031</v>
      </c>
      <c r="Q28" s="10">
        <v>362.36349487304688</v>
      </c>
      <c r="R28" s="10">
        <v>142.670654296875</v>
      </c>
      <c r="S28" s="10">
        <v>111.7372589111328</v>
      </c>
      <c r="V28" s="11">
        <v>44237</v>
      </c>
      <c r="W28" s="12">
        <v>-4.5582349915932463E-3</v>
      </c>
      <c r="X28" s="12">
        <v>3.2477852558014941E-3</v>
      </c>
      <c r="Y28" s="12">
        <v>5.7290835340095825E-4</v>
      </c>
      <c r="Z28" s="12">
        <v>3.5125289750779221E-2</v>
      </c>
      <c r="AA28" s="12">
        <v>-3.4974264671239208E-3</v>
      </c>
      <c r="AB28" s="12">
        <v>-4.3582885426196594E-4</v>
      </c>
      <c r="AC28" s="12">
        <v>9.6781381965052038E-3</v>
      </c>
    </row>
    <row r="29" spans="2:29" x14ac:dyDescent="0.2">
      <c r="L29" s="11">
        <v>44237</v>
      </c>
      <c r="M29" s="10">
        <v>14.704911231994627</v>
      </c>
      <c r="N29" s="10">
        <v>41.654808044433594</v>
      </c>
      <c r="O29" s="10">
        <v>121.81334686279295</v>
      </c>
      <c r="P29" s="10">
        <v>131.63436889648438</v>
      </c>
      <c r="Q29" s="10">
        <v>362.20556640625</v>
      </c>
      <c r="R29" s="10">
        <v>143.13401794433594</v>
      </c>
      <c r="S29" s="10">
        <v>111.34646606445312</v>
      </c>
      <c r="V29" s="11">
        <v>44238</v>
      </c>
      <c r="W29" s="12">
        <v>-1.9204130389171015E-3</v>
      </c>
      <c r="X29" s="12">
        <v>-4.4963818826662116E-3</v>
      </c>
      <c r="Y29" s="12">
        <v>-2.7928791852396273E-3</v>
      </c>
      <c r="Z29" s="12">
        <v>3.2951219248033237E-2</v>
      </c>
      <c r="AA29" s="12">
        <v>8.5800009373460107E-4</v>
      </c>
      <c r="AB29" s="12">
        <v>1.6151656046061724E-3</v>
      </c>
      <c r="AC29" s="12">
        <v>-2.5039017147031051E-2</v>
      </c>
    </row>
    <row r="30" spans="2:29" x14ac:dyDescent="0.2">
      <c r="L30" s="11">
        <v>44238</v>
      </c>
      <c r="M30" s="10">
        <v>15.189455986022949</v>
      </c>
      <c r="N30" s="10">
        <v>40.611812591552734</v>
      </c>
      <c r="O30" s="10">
        <v>121.47313690185548</v>
      </c>
      <c r="P30" s="10">
        <v>131.38157653808594</v>
      </c>
      <c r="Q30" s="10">
        <v>362.79058837890625</v>
      </c>
      <c r="R30" s="10">
        <v>142.49043273925781</v>
      </c>
      <c r="S30" s="10">
        <v>111.44200134277344</v>
      </c>
      <c r="V30" s="11">
        <v>44239</v>
      </c>
      <c r="W30" s="12">
        <v>1.7757960508106851E-3</v>
      </c>
      <c r="X30" s="12">
        <v>3.1316350071046717E-3</v>
      </c>
      <c r="Y30" s="12">
        <v>1.4217239122363834E-2</v>
      </c>
      <c r="Z30" s="12">
        <v>-1.8982628504682464E-2</v>
      </c>
      <c r="AA30" s="12">
        <v>-5.5327178353611339E-3</v>
      </c>
      <c r="AB30" s="12">
        <v>4.9397194900842045E-3</v>
      </c>
      <c r="AC30" s="12">
        <v>1.364334482450591E-2</v>
      </c>
    </row>
    <row r="31" spans="2:29" x14ac:dyDescent="0.2">
      <c r="L31" s="11">
        <v>44239</v>
      </c>
      <c r="M31" s="10">
        <v>14.901120185852051</v>
      </c>
      <c r="N31" s="10">
        <v>41.1658935546875</v>
      </c>
      <c r="O31" s="10">
        <v>123.2001495361328</v>
      </c>
      <c r="P31" s="10">
        <v>131.61488342285156</v>
      </c>
      <c r="Q31" s="10">
        <v>364.58267211914062</v>
      </c>
      <c r="R31" s="10">
        <v>142.93666076660156</v>
      </c>
      <c r="S31" s="10">
        <v>110.82542419433594</v>
      </c>
      <c r="V31" s="11">
        <v>44243</v>
      </c>
      <c r="W31" s="12">
        <v>-1.6103969700121068E-2</v>
      </c>
      <c r="X31" s="12">
        <v>-9.0644277761711134E-3</v>
      </c>
      <c r="Y31" s="12">
        <v>2.407083438350921E-2</v>
      </c>
      <c r="Z31" s="12">
        <v>2.4663619874282006E-2</v>
      </c>
      <c r="AA31" s="12">
        <v>2.3506637358521321E-3</v>
      </c>
      <c r="AB31" s="12">
        <v>-8.6618460664056318E-4</v>
      </c>
      <c r="AC31" s="12">
        <v>3.008731403696574E-2</v>
      </c>
    </row>
    <row r="32" spans="2:29" x14ac:dyDescent="0.2">
      <c r="L32" s="11">
        <v>44243</v>
      </c>
      <c r="M32" s="10">
        <v>15.268635749816896</v>
      </c>
      <c r="N32" s="10">
        <v>42.404464721679688</v>
      </c>
      <c r="O32" s="10">
        <v>126.16567993164062</v>
      </c>
      <c r="P32" s="10">
        <v>129.495361328125</v>
      </c>
      <c r="Q32" s="10">
        <v>364.26687622070312</v>
      </c>
      <c r="R32" s="10">
        <v>141.64102172851562</v>
      </c>
      <c r="S32" s="10">
        <v>111.0859375</v>
      </c>
      <c r="V32" s="11">
        <v>44244</v>
      </c>
      <c r="W32" s="12">
        <v>-1.7643621574131907E-2</v>
      </c>
      <c r="X32" s="12">
        <v>3.5740040544736118E-3</v>
      </c>
      <c r="Y32" s="12">
        <v>3.1111845903810664E-3</v>
      </c>
      <c r="Z32" s="12">
        <v>-2.7673766772379649E-2</v>
      </c>
      <c r="AA32" s="12">
        <v>4.2214917100358296E-3</v>
      </c>
      <c r="AB32" s="12">
        <v>2.2971948502958917E-4</v>
      </c>
      <c r="AC32" s="12">
        <v>1.5564934964460431E-2</v>
      </c>
    </row>
    <row r="33" spans="12:29" x14ac:dyDescent="0.2">
      <c r="L33" s="11">
        <v>44244</v>
      </c>
      <c r="M33" s="10">
        <v>14.846095085144045</v>
      </c>
      <c r="N33" s="10">
        <v>43.064487457275391</v>
      </c>
      <c r="O33" s="10">
        <v>126.55820465087891</v>
      </c>
      <c r="P33" s="10">
        <v>127.21059417724609</v>
      </c>
      <c r="Q33" s="10">
        <v>364.35055541992188</v>
      </c>
      <c r="R33" s="10">
        <v>142.14724731445312</v>
      </c>
      <c r="S33" s="10">
        <v>111.5548858642578</v>
      </c>
      <c r="V33" s="11">
        <v>44245</v>
      </c>
      <c r="W33" s="12">
        <v>-8.6366309864243096E-3</v>
      </c>
      <c r="X33" s="12">
        <v>4.8305227205247547E-4</v>
      </c>
      <c r="Y33" s="12">
        <v>3.37673014920159E-3</v>
      </c>
      <c r="Z33" s="12">
        <v>-5.1659062138043055E-3</v>
      </c>
      <c r="AA33" s="12">
        <v>8.3292515067650008E-3</v>
      </c>
      <c r="AB33" s="12">
        <v>-4.2560376928160171E-3</v>
      </c>
      <c r="AC33" s="12">
        <v>-1.5704799064088171E-2</v>
      </c>
    </row>
    <row r="34" spans="12:29" x14ac:dyDescent="0.2">
      <c r="L34" s="11">
        <v>44245</v>
      </c>
      <c r="M34" s="10">
        <v>14.769401550292969</v>
      </c>
      <c r="N34" s="10">
        <v>42.388168334960938</v>
      </c>
      <c r="O34" s="10">
        <v>126.98555755615234</v>
      </c>
      <c r="P34" s="10">
        <v>126.11192321777344</v>
      </c>
      <c r="Q34" s="10">
        <v>362.79986572265625</v>
      </c>
      <c r="R34" s="10">
        <v>142.21591186523438</v>
      </c>
      <c r="S34" s="10">
        <v>112.48405456542967</v>
      </c>
      <c r="V34" s="11">
        <v>44246</v>
      </c>
      <c r="W34" s="12">
        <v>1.2335945715304941E-3</v>
      </c>
      <c r="X34" s="12">
        <v>-1.6652643455731142E-2</v>
      </c>
      <c r="Y34" s="12">
        <v>1.6690868216298727E-2</v>
      </c>
      <c r="Z34" s="12">
        <v>6.5748726015120162E-3</v>
      </c>
      <c r="AA34" s="12">
        <v>-1.8605542370846551E-2</v>
      </c>
      <c r="AB34" s="12">
        <v>-1.7658648144811551E-3</v>
      </c>
      <c r="AC34" s="12">
        <v>6.7281604319153754E-3</v>
      </c>
    </row>
    <row r="35" spans="12:29" x14ac:dyDescent="0.2">
      <c r="L35" s="11">
        <v>44246</v>
      </c>
      <c r="M35" s="10">
        <v>14.866508483886721</v>
      </c>
      <c r="N35" s="10">
        <v>42.673362731933594</v>
      </c>
      <c r="O35" s="10">
        <v>129.10505676269531</v>
      </c>
      <c r="P35" s="10">
        <v>126.26749420166016</v>
      </c>
      <c r="Q35" s="10">
        <v>362.15921020507812</v>
      </c>
      <c r="R35" s="10">
        <v>139.84764099121094</v>
      </c>
      <c r="S35" s="10">
        <v>110.39122772216795</v>
      </c>
      <c r="V35" s="11">
        <v>44249</v>
      </c>
      <c r="W35" s="12">
        <v>-2.9799216719285426E-2</v>
      </c>
      <c r="X35" s="12">
        <v>-6.174540141875573E-4</v>
      </c>
      <c r="Y35" s="12">
        <v>9.3904653913843283E-3</v>
      </c>
      <c r="Z35" s="12">
        <v>-3.8237337080329725E-2</v>
      </c>
      <c r="AA35" s="12">
        <v>-4.2479891250372104E-3</v>
      </c>
      <c r="AB35" s="12">
        <v>-7.6919362752884135E-3</v>
      </c>
      <c r="AC35" s="12">
        <v>3.685295380190845E-2</v>
      </c>
    </row>
    <row r="36" spans="12:29" x14ac:dyDescent="0.2">
      <c r="L36" s="11">
        <v>44249</v>
      </c>
      <c r="M36" s="10">
        <v>14.298052787780762</v>
      </c>
      <c r="N36" s="10">
        <v>44.246002197265625</v>
      </c>
      <c r="O36" s="10">
        <v>130.31741333007812</v>
      </c>
      <c r="P36" s="10">
        <v>122.50482177734376</v>
      </c>
      <c r="Q36" s="10">
        <v>359.37350463867188</v>
      </c>
      <c r="R36" s="10">
        <v>139.76129150390625</v>
      </c>
      <c r="S36" s="10">
        <v>109.92228698730467</v>
      </c>
      <c r="V36" s="11">
        <v>44250</v>
      </c>
      <c r="W36" s="12">
        <v>-1.1110452344880173E-3</v>
      </c>
      <c r="X36" s="12">
        <v>-8.8343161492308031E-3</v>
      </c>
      <c r="Y36" s="12">
        <v>8.03163100162263E-3</v>
      </c>
      <c r="Z36" s="12">
        <v>-1.4889483775156975E-2</v>
      </c>
      <c r="AA36" s="12">
        <v>7.4260116129298837E-3</v>
      </c>
      <c r="AB36" s="12">
        <v>1.2145091296660304E-3</v>
      </c>
      <c r="AC36" s="12">
        <v>1.381243477787053E-2</v>
      </c>
    </row>
    <row r="37" spans="12:29" x14ac:dyDescent="0.2">
      <c r="L37" s="11">
        <v>44250</v>
      </c>
      <c r="M37" s="10">
        <v>14.085162162780762</v>
      </c>
      <c r="N37" s="10">
        <v>44.857147216796875</v>
      </c>
      <c r="O37" s="10">
        <v>131.36407470703125</v>
      </c>
      <c r="P37" s="10">
        <v>122.36871337890624</v>
      </c>
      <c r="Q37" s="10">
        <v>359.80996704101562</v>
      </c>
      <c r="R37" s="10">
        <v>138.52659606933594</v>
      </c>
      <c r="S37" s="10">
        <v>110.7385711669922</v>
      </c>
      <c r="V37" s="11">
        <v>44251</v>
      </c>
      <c r="W37" s="12">
        <v>-4.0521570022079567E-3</v>
      </c>
      <c r="X37" s="12">
        <v>1.3400702915102869E-2</v>
      </c>
      <c r="Y37" s="12">
        <v>1.7595151907126905E-2</v>
      </c>
      <c r="Z37" s="12">
        <v>2.5243810447342918E-2</v>
      </c>
      <c r="AA37" s="12">
        <v>1.0980572420034029E-3</v>
      </c>
      <c r="AB37" s="12">
        <v>1.1019271596631519E-2</v>
      </c>
      <c r="AC37" s="12">
        <v>2.9972620195267696E-2</v>
      </c>
    </row>
    <row r="38" spans="12:29" x14ac:dyDescent="0.2">
      <c r="L38" s="11">
        <v>44251</v>
      </c>
      <c r="M38" s="10">
        <v>14.440725326538086</v>
      </c>
      <c r="N38" s="10">
        <v>46.201633453369141</v>
      </c>
      <c r="O38" s="10">
        <v>133.67544555664062</v>
      </c>
      <c r="P38" s="10">
        <v>121.87285614013672</v>
      </c>
      <c r="Q38" s="10">
        <v>363.77481079101562</v>
      </c>
      <c r="R38" s="10">
        <v>140.38294982910156</v>
      </c>
      <c r="S38" s="10">
        <v>110.86016845703124</v>
      </c>
      <c r="V38" s="11">
        <v>44252</v>
      </c>
      <c r="W38" s="12">
        <v>-3.4782638091027218E-2</v>
      </c>
      <c r="X38" s="12">
        <v>1.0455279089864877E-3</v>
      </c>
      <c r="Y38" s="12">
        <v>-1.3571744435340483E-2</v>
      </c>
      <c r="Z38" s="12">
        <v>-8.2177897819061707E-2</v>
      </c>
      <c r="AA38" s="12">
        <v>-8.4600400917672625E-3</v>
      </c>
      <c r="AB38" s="12">
        <v>-2.4095707335791139E-2</v>
      </c>
      <c r="AC38" s="12">
        <v>-1.6578401931192421E-2</v>
      </c>
    </row>
    <row r="39" spans="12:29" x14ac:dyDescent="0.2">
      <c r="L39" s="11">
        <v>44252</v>
      </c>
      <c r="M39" s="10">
        <v>13.254016876220703</v>
      </c>
      <c r="N39" s="10">
        <v>45.435684204101562</v>
      </c>
      <c r="O39" s="10">
        <v>131.86123657226562</v>
      </c>
      <c r="P39" s="10">
        <v>117.63379669189452</v>
      </c>
      <c r="Q39" s="10">
        <v>355.0093994140625</v>
      </c>
      <c r="R39" s="10">
        <v>140.52972412109375</v>
      </c>
      <c r="S39" s="10">
        <v>109.92228698730467</v>
      </c>
      <c r="V39" s="11">
        <v>44253</v>
      </c>
      <c r="W39" s="12">
        <v>2.2316053244360035E-3</v>
      </c>
      <c r="X39" s="12">
        <v>-2.6419049538337402E-2</v>
      </c>
      <c r="Y39" s="12">
        <v>-2.6524886775199819E-2</v>
      </c>
      <c r="Z39" s="12">
        <v>3.058438416778908E-2</v>
      </c>
      <c r="AA39" s="12">
        <v>-2.4095530914160279E-2</v>
      </c>
      <c r="AB39" s="12">
        <v>-5.152778126404467E-3</v>
      </c>
      <c r="AC39" s="12">
        <v>-2.4928442444821952E-2</v>
      </c>
    </row>
    <row r="40" spans="12:29" x14ac:dyDescent="0.2">
      <c r="L40" s="11">
        <v>44253</v>
      </c>
      <c r="M40" s="10">
        <v>13.659382820129396</v>
      </c>
      <c r="N40" s="10">
        <v>44.303043365478509</v>
      </c>
      <c r="O40" s="10">
        <v>128.36363220214844</v>
      </c>
      <c r="P40" s="10">
        <v>117.89630889892578</v>
      </c>
      <c r="Q40" s="10">
        <v>353.18011474609375</v>
      </c>
      <c r="R40" s="10">
        <v>136.81706237792969</v>
      </c>
      <c r="S40" s="10">
        <v>107.27365112304688</v>
      </c>
      <c r="V40" s="11">
        <v>44256</v>
      </c>
      <c r="W40" s="12">
        <v>5.3851298509891787E-2</v>
      </c>
      <c r="X40" s="12">
        <v>5.4269011691703284E-3</v>
      </c>
      <c r="Y40" s="12">
        <v>2.2626969419926812E-2</v>
      </c>
      <c r="Z40" s="12">
        <v>9.2784276034583169E-3</v>
      </c>
      <c r="AA40" s="12">
        <v>6.1523101620617471E-3</v>
      </c>
      <c r="AB40" s="12">
        <v>2.4240374540547283E-2</v>
      </c>
      <c r="AC40" s="12">
        <v>3.7336949039059597E-2</v>
      </c>
    </row>
    <row r="41" spans="12:29" x14ac:dyDescent="0.2">
      <c r="L41" s="11">
        <v>44256</v>
      </c>
      <c r="M41" s="10">
        <v>13.786120414733888</v>
      </c>
      <c r="N41" s="10">
        <v>45.957183837890625</v>
      </c>
      <c r="O41" s="10">
        <v>131.26811218261719</v>
      </c>
      <c r="P41" s="10">
        <v>124.24517822265624</v>
      </c>
      <c r="Q41" s="10">
        <v>361.7413330078125</v>
      </c>
      <c r="R41" s="10">
        <v>137.55955505371094</v>
      </c>
      <c r="S41" s="10">
        <v>107.93363189697266</v>
      </c>
      <c r="V41" s="11">
        <v>44257</v>
      </c>
      <c r="W41" s="12">
        <v>-2.0893746564336513E-2</v>
      </c>
      <c r="X41" s="12">
        <v>-1.8830622345634707E-3</v>
      </c>
      <c r="Y41" s="12">
        <v>-3.2553403914336032E-3</v>
      </c>
      <c r="Z41" s="12">
        <v>-3.1462745563284655E-2</v>
      </c>
      <c r="AA41" s="12">
        <v>-3.1376799603197725E-3</v>
      </c>
      <c r="AB41" s="12">
        <v>-7.8033228891959405E-3</v>
      </c>
      <c r="AC41" s="12">
        <v>-5.8512210103425222E-3</v>
      </c>
    </row>
    <row r="42" spans="12:29" x14ac:dyDescent="0.2">
      <c r="L42" s="11">
        <v>44257</v>
      </c>
      <c r="M42" s="10">
        <v>13.352371215820312</v>
      </c>
      <c r="N42" s="10">
        <v>45.688278198242188</v>
      </c>
      <c r="O42" s="10">
        <v>130.84078979492188</v>
      </c>
      <c r="P42" s="10">
        <v>121.64923095703124</v>
      </c>
      <c r="Q42" s="10">
        <v>358.91854858398438</v>
      </c>
      <c r="R42" s="10">
        <v>137.30052185058594</v>
      </c>
      <c r="S42" s="10">
        <v>107.594970703125</v>
      </c>
      <c r="V42" s="11">
        <v>44258</v>
      </c>
      <c r="W42" s="12">
        <v>-2.4456613086842993E-2</v>
      </c>
      <c r="X42" s="12">
        <v>-1.7607553216352656E-2</v>
      </c>
      <c r="Y42" s="12">
        <v>1.9331920041815609E-2</v>
      </c>
      <c r="Z42" s="12">
        <v>-4.4867300679609756E-2</v>
      </c>
      <c r="AA42" s="12">
        <v>-5.9724784381530727E-3</v>
      </c>
      <c r="AB42" s="12">
        <v>-1.3245678975920772E-2</v>
      </c>
      <c r="AC42" s="12">
        <v>8.0256941107004209E-3</v>
      </c>
    </row>
    <row r="43" spans="12:29" x14ac:dyDescent="0.2">
      <c r="L43" s="11">
        <v>44258</v>
      </c>
      <c r="M43" s="10">
        <v>12.753286361694336</v>
      </c>
      <c r="N43" s="10">
        <v>46.054958343505859</v>
      </c>
      <c r="O43" s="10">
        <v>133.37019348144531</v>
      </c>
      <c r="P43" s="10">
        <v>118.67410278320312</v>
      </c>
      <c r="Q43" s="10">
        <v>354.1644287109375</v>
      </c>
      <c r="R43" s="10">
        <v>134.88299560546875</v>
      </c>
      <c r="S43" s="10">
        <v>106.95236206054688</v>
      </c>
      <c r="V43" s="11">
        <v>44259</v>
      </c>
      <c r="W43" s="12">
        <v>-1.5811786573089792E-2</v>
      </c>
      <c r="X43" s="12">
        <v>-2.0164050964671665E-2</v>
      </c>
      <c r="Y43" s="12">
        <v>-1.5368714253532589E-2</v>
      </c>
      <c r="Z43" s="12">
        <v>-3.3932709629030278E-2</v>
      </c>
      <c r="AA43" s="12">
        <v>-8.2008294777029533E-3</v>
      </c>
      <c r="AB43" s="12">
        <v>-1.2374819693828476E-2</v>
      </c>
      <c r="AC43" s="12">
        <v>3.8747353502198489E-2</v>
      </c>
    </row>
    <row r="44" spans="12:29" x14ac:dyDescent="0.2">
      <c r="L44" s="11">
        <v>44259</v>
      </c>
      <c r="M44" s="10">
        <v>12.32053279876709</v>
      </c>
      <c r="N44" s="10">
        <v>47.839466094970703</v>
      </c>
      <c r="O44" s="10">
        <v>131.32046508789062</v>
      </c>
      <c r="P44" s="10">
        <v>116.7976531982422</v>
      </c>
      <c r="Q44" s="10">
        <v>349.78170776367188</v>
      </c>
      <c r="R44" s="10">
        <v>132.1632080078125</v>
      </c>
      <c r="S44" s="10">
        <v>106.07526397705078</v>
      </c>
      <c r="V44" s="11">
        <v>44260</v>
      </c>
      <c r="W44" s="12">
        <v>1.0738327281734295E-2</v>
      </c>
      <c r="X44" s="12">
        <v>1.9794958071675861E-2</v>
      </c>
      <c r="Y44" s="12">
        <v>2.3244821360555168E-3</v>
      </c>
      <c r="Z44" s="12">
        <v>7.3764911643805497E-3</v>
      </c>
      <c r="AA44" s="12">
        <v>3.1355133172611183E-2</v>
      </c>
      <c r="AB44" s="12">
        <v>1.8396483507125971E-2</v>
      </c>
      <c r="AC44" s="12">
        <v>3.7813130216511226E-2</v>
      </c>
    </row>
    <row r="45" spans="12:29" x14ac:dyDescent="0.2">
      <c r="L45" s="11">
        <v>44260</v>
      </c>
      <c r="M45" s="10">
        <v>12.411415100097656</v>
      </c>
      <c r="N45" s="10">
        <v>49.648426055908203</v>
      </c>
      <c r="O45" s="10">
        <v>131.62571716308594</v>
      </c>
      <c r="P45" s="10">
        <v>118.05186462402344</v>
      </c>
      <c r="Q45" s="10">
        <v>356.21646118164062</v>
      </c>
      <c r="R45" s="10">
        <v>134.77937316894531</v>
      </c>
      <c r="S45" s="10">
        <v>109.40126800537109</v>
      </c>
      <c r="V45" s="11">
        <v>44263</v>
      </c>
      <c r="W45" s="12">
        <v>-4.1673608735153578E-2</v>
      </c>
      <c r="X45" s="12">
        <v>8.3281811943776152E-3</v>
      </c>
      <c r="Y45" s="12">
        <v>1.3253309124978463E-2</v>
      </c>
      <c r="Z45" s="12">
        <v>-6.9674524477359889E-2</v>
      </c>
      <c r="AA45" s="12">
        <v>1.0557244099369756E-2</v>
      </c>
      <c r="AB45" s="12">
        <v>-4.9786245467017265E-3</v>
      </c>
      <c r="AC45" s="12">
        <v>-9.8493765326967964E-4</v>
      </c>
    </row>
    <row r="46" spans="12:29" x14ac:dyDescent="0.2">
      <c r="L46" s="11">
        <v>44263</v>
      </c>
      <c r="M46" s="10">
        <v>11.546655654907228</v>
      </c>
      <c r="N46" s="10">
        <v>49.599525451660163</v>
      </c>
      <c r="O46" s="10">
        <v>133.37019348144531</v>
      </c>
      <c r="P46" s="10">
        <v>113.13221740722656</v>
      </c>
      <c r="Q46" s="10">
        <v>354.4429931640625</v>
      </c>
      <c r="R46" s="10">
        <v>135.90184020996094</v>
      </c>
      <c r="S46" s="10">
        <v>110.55624389648438</v>
      </c>
      <c r="V46" s="11">
        <v>44264</v>
      </c>
      <c r="W46" s="12">
        <v>4.064978804955266E-2</v>
      </c>
      <c r="X46" s="12">
        <v>1.9058070526987159E-3</v>
      </c>
      <c r="Y46" s="12">
        <v>-7.0634007085824679E-3</v>
      </c>
      <c r="Z46" s="12">
        <v>8.033312448286356E-2</v>
      </c>
      <c r="AA46" s="12">
        <v>-8.8760283401333462E-3</v>
      </c>
      <c r="AB46" s="12">
        <v>1.4277377335766728E-2</v>
      </c>
      <c r="AC46" s="12">
        <v>-1.5442596024770827E-2</v>
      </c>
    </row>
    <row r="47" spans="12:29" x14ac:dyDescent="0.2">
      <c r="L47" s="11">
        <v>44264</v>
      </c>
      <c r="M47" s="10">
        <v>12.474234580993652</v>
      </c>
      <c r="N47" s="10">
        <v>48.833580017089837</v>
      </c>
      <c r="O47" s="10">
        <v>132.42814636230469</v>
      </c>
      <c r="P47" s="10">
        <v>117.73101806640624</v>
      </c>
      <c r="Q47" s="10">
        <v>359.50350952148438</v>
      </c>
      <c r="R47" s="10">
        <v>136.16084289550781</v>
      </c>
      <c r="S47" s="10">
        <v>109.57494354248048</v>
      </c>
      <c r="V47" s="11">
        <v>44265</v>
      </c>
      <c r="W47" s="12">
        <v>-9.1666645065463515E-3</v>
      </c>
      <c r="X47" s="12">
        <v>9.1946634463828669E-3</v>
      </c>
      <c r="Y47" s="12">
        <v>2.1734889721644945E-2</v>
      </c>
      <c r="Z47" s="12">
        <v>-4.1532293546656662E-3</v>
      </c>
      <c r="AA47" s="12">
        <v>9.1930857144726374E-3</v>
      </c>
      <c r="AB47" s="12">
        <v>6.2247611693881932E-3</v>
      </c>
      <c r="AC47" s="12">
        <v>3.0702429337972514E-2</v>
      </c>
    </row>
    <row r="48" spans="12:29" x14ac:dyDescent="0.2">
      <c r="L48" s="11">
        <v>44265</v>
      </c>
      <c r="M48" s="10">
        <v>12.422426223754885</v>
      </c>
      <c r="N48" s="10">
        <v>50.332889556884766</v>
      </c>
      <c r="O48" s="10">
        <v>135.30645751953125</v>
      </c>
      <c r="P48" s="10">
        <v>116.65181732177734</v>
      </c>
      <c r="Q48" s="10">
        <v>361.7413330078125</v>
      </c>
      <c r="R48" s="10">
        <v>137.41279602050781</v>
      </c>
      <c r="S48" s="10">
        <v>110.582275390625</v>
      </c>
      <c r="V48" s="11">
        <v>44266</v>
      </c>
      <c r="W48" s="12">
        <v>1.6502780581574061E-2</v>
      </c>
      <c r="X48" s="12">
        <v>-6.2850584949036836E-5</v>
      </c>
      <c r="Y48" s="12">
        <v>-5.2212339880578496E-3</v>
      </c>
      <c r="Z48" s="12">
        <v>4.212682189534056E-2</v>
      </c>
      <c r="AA48" s="12">
        <v>-3.3767206835265684E-3</v>
      </c>
      <c r="AB48" s="12">
        <v>1.0138996451692917E-2</v>
      </c>
      <c r="AC48" s="12">
        <v>-7.446910503760451E-3</v>
      </c>
    </row>
    <row r="49" spans="12:29" x14ac:dyDescent="0.2">
      <c r="L49" s="11">
        <v>44266</v>
      </c>
      <c r="M49" s="10">
        <v>12.945743560791016</v>
      </c>
      <c r="N49" s="10">
        <v>49.958065032958984</v>
      </c>
      <c r="O49" s="10">
        <v>134.59999084472656</v>
      </c>
      <c r="P49" s="10">
        <v>118.57689666748048</v>
      </c>
      <c r="Q49" s="10">
        <v>365.40902709960938</v>
      </c>
      <c r="R49" s="10">
        <v>137.40415954589844</v>
      </c>
      <c r="S49" s="10">
        <v>110.20886993408205</v>
      </c>
      <c r="V49" s="11">
        <v>44267</v>
      </c>
      <c r="W49" s="12">
        <v>-7.6255407003591458E-3</v>
      </c>
      <c r="X49" s="12">
        <v>2.8906423256001013E-3</v>
      </c>
      <c r="Y49" s="12">
        <v>1.1858097786625166E-2</v>
      </c>
      <c r="Z49" s="12">
        <v>-1.0582046051315075E-2</v>
      </c>
      <c r="AA49" s="12">
        <v>9.6916664295652044E-3</v>
      </c>
      <c r="AB49" s="12">
        <v>1.3469494826294781E-3</v>
      </c>
      <c r="AC49" s="12">
        <v>1.0764948965757748E-2</v>
      </c>
    </row>
    <row r="50" spans="12:29" x14ac:dyDescent="0.2">
      <c r="L50" s="11">
        <v>44267</v>
      </c>
      <c r="M50" s="10">
        <v>12.808751106262209</v>
      </c>
      <c r="N50" s="10">
        <v>50.495861053466797</v>
      </c>
      <c r="O50" s="10">
        <v>136.19609069824219</v>
      </c>
      <c r="P50" s="10">
        <v>117.67268371582033</v>
      </c>
      <c r="Q50" s="10">
        <v>365.90121459960938</v>
      </c>
      <c r="R50" s="10">
        <v>137.80134582519531</v>
      </c>
      <c r="S50" s="10">
        <v>111.2769775390625</v>
      </c>
      <c r="V50" s="11">
        <v>44270</v>
      </c>
      <c r="W50" s="12">
        <v>2.4456686295035945E-2</v>
      </c>
      <c r="X50" s="12">
        <v>5.137776771854119E-3</v>
      </c>
      <c r="Y50" s="12">
        <v>-4.9949880945538983E-3</v>
      </c>
      <c r="Z50" s="12">
        <v>2.6077234006323557E-2</v>
      </c>
      <c r="AA50" s="12">
        <v>3.2777531563292772E-3</v>
      </c>
      <c r="AB50" s="12">
        <v>5.9634602631841727E-3</v>
      </c>
      <c r="AC50" s="12">
        <v>-2.5496278023419916E-2</v>
      </c>
    </row>
    <row r="51" spans="12:29" x14ac:dyDescent="0.2">
      <c r="L51" s="11">
        <v>44270</v>
      </c>
      <c r="M51" s="10">
        <v>13.142767906188965</v>
      </c>
      <c r="N51" s="10">
        <v>49.208404541015625</v>
      </c>
      <c r="O51" s="10">
        <v>135.51579284667969</v>
      </c>
      <c r="P51" s="10">
        <v>120.55056762695312</v>
      </c>
      <c r="Q51" s="10">
        <v>368.083251953125</v>
      </c>
      <c r="R51" s="10">
        <v>138.50933837890625</v>
      </c>
      <c r="S51" s="10">
        <v>111.64171600341795</v>
      </c>
      <c r="V51" s="11">
        <v>44271</v>
      </c>
      <c r="W51" s="12">
        <v>1.2743149019505573E-2</v>
      </c>
      <c r="X51" s="12">
        <v>5.9219939568253555E-3</v>
      </c>
      <c r="Y51" s="12">
        <v>-1.1971292498516251E-2</v>
      </c>
      <c r="Z51" s="12">
        <v>7.5807671484997563E-3</v>
      </c>
      <c r="AA51" s="12">
        <v>2.9559690791491899E-3</v>
      </c>
      <c r="AB51" s="12">
        <v>-1.2614672053348208E-3</v>
      </c>
      <c r="AC51" s="12">
        <v>-2.1195706438791428E-2</v>
      </c>
    </row>
    <row r="52" spans="12:29" x14ac:dyDescent="0.2">
      <c r="L52" s="11">
        <v>44271</v>
      </c>
      <c r="M52" s="10">
        <v>13.24240016937256</v>
      </c>
      <c r="N52" s="10">
        <v>48.165397644042969</v>
      </c>
      <c r="O52" s="10">
        <v>133.89349365234375</v>
      </c>
      <c r="P52" s="10">
        <v>122.08676147460938</v>
      </c>
      <c r="Q52" s="10">
        <v>367.61892700195312</v>
      </c>
      <c r="R52" s="10">
        <v>139.32958984375</v>
      </c>
      <c r="S52" s="10">
        <v>111.9717254638672</v>
      </c>
      <c r="V52" s="11">
        <v>44272</v>
      </c>
      <c r="W52" s="12">
        <v>-6.4506932690819863E-3</v>
      </c>
      <c r="X52" s="12">
        <v>-3.7181703329630666E-3</v>
      </c>
      <c r="Y52" s="12">
        <v>1.0292490669919552E-2</v>
      </c>
      <c r="Z52" s="12">
        <v>3.7617937292586667E-3</v>
      </c>
      <c r="AA52" s="12">
        <v>-4.0328806370083514E-3</v>
      </c>
      <c r="AB52" s="12">
        <v>3.4098898260910282E-3</v>
      </c>
      <c r="AC52" s="12">
        <v>4.3986070312134196E-3</v>
      </c>
    </row>
    <row r="53" spans="12:29" x14ac:dyDescent="0.2">
      <c r="L53" s="11">
        <v>44272</v>
      </c>
      <c r="M53" s="10">
        <v>13.292215347290041</v>
      </c>
      <c r="N53" s="10">
        <v>48.37725830078125</v>
      </c>
      <c r="O53" s="10">
        <v>135.27159118652344</v>
      </c>
      <c r="P53" s="10">
        <v>121.29921722412109</v>
      </c>
      <c r="Q53" s="10">
        <v>368.87246704101562</v>
      </c>
      <c r="R53" s="10">
        <v>138.81153869628906</v>
      </c>
      <c r="S53" s="10">
        <v>111.52015686035156</v>
      </c>
      <c r="V53" s="11">
        <v>44273</v>
      </c>
      <c r="W53" s="12">
        <v>-3.3905172618209356E-2</v>
      </c>
      <c r="X53" s="12">
        <v>-1.8659683969259877E-3</v>
      </c>
      <c r="Y53" s="12">
        <v>1.6506415733773094E-2</v>
      </c>
      <c r="Z53" s="12">
        <v>-4.6378442430845879E-2</v>
      </c>
      <c r="AA53" s="12">
        <v>2.1802441922751381E-3</v>
      </c>
      <c r="AB53" s="12">
        <v>-1.4549590546637958E-2</v>
      </c>
      <c r="AC53" s="12">
        <v>-4.3119246088570318E-2</v>
      </c>
    </row>
    <row r="54" spans="12:29" x14ac:dyDescent="0.2">
      <c r="L54" s="11">
        <v>44273</v>
      </c>
      <c r="M54" s="10">
        <v>12.675743103027344</v>
      </c>
      <c r="N54" s="10">
        <v>46.291267395019531</v>
      </c>
      <c r="O54" s="10">
        <v>137.50444030761719</v>
      </c>
      <c r="P54" s="10">
        <v>117.18654632568359</v>
      </c>
      <c r="Q54" s="10">
        <v>363.50552368164062</v>
      </c>
      <c r="R54" s="10">
        <v>138.55252075195312</v>
      </c>
      <c r="S54" s="10">
        <v>111.76329803466795</v>
      </c>
      <c r="V54" s="11">
        <v>44274</v>
      </c>
      <c r="W54" s="12">
        <v>-4.4802447936588274E-3</v>
      </c>
      <c r="X54" s="12">
        <v>-2.6794628915864926E-3</v>
      </c>
      <c r="Y54" s="12">
        <v>-1.5921449624706985E-2</v>
      </c>
      <c r="Z54" s="12">
        <v>9.6873335399820792E-3</v>
      </c>
      <c r="AA54" s="12">
        <v>-5.361170790793679E-3</v>
      </c>
      <c r="AB54" s="12">
        <v>-1.8501682722922297E-3</v>
      </c>
      <c r="AC54" s="12">
        <v>-5.6328079045548929E-3</v>
      </c>
    </row>
    <row r="55" spans="12:29" x14ac:dyDescent="0.2">
      <c r="L55" s="11">
        <v>44274</v>
      </c>
      <c r="M55" s="10">
        <v>12.798537254333496</v>
      </c>
      <c r="N55" s="10">
        <v>46.030517578125</v>
      </c>
      <c r="O55" s="10">
        <v>135.31517028808594</v>
      </c>
      <c r="P55" s="10">
        <v>116.66152191162109</v>
      </c>
      <c r="Q55" s="10">
        <v>362.83297729492188</v>
      </c>
      <c r="R55" s="10">
        <v>138.1812744140625</v>
      </c>
      <c r="S55" s="10">
        <v>111.16411590576172</v>
      </c>
      <c r="V55" s="11">
        <v>44277</v>
      </c>
      <c r="W55" s="12">
        <v>2.833590531564889E-2</v>
      </c>
      <c r="X55" s="12">
        <v>2.8740544231748988E-3</v>
      </c>
      <c r="Y55" s="12">
        <v>-2.68788449275289E-2</v>
      </c>
      <c r="Z55" s="12">
        <v>2.6506681438385638E-2</v>
      </c>
      <c r="AA55" s="12">
        <v>1.6951576757508136E-2</v>
      </c>
      <c r="AB55" s="12">
        <v>7.9849875236672752E-3</v>
      </c>
      <c r="AC55" s="12">
        <v>-1.0267246248826467E-2</v>
      </c>
    </row>
    <row r="56" spans="12:29" x14ac:dyDescent="0.2">
      <c r="L56" s="11">
        <v>44277</v>
      </c>
      <c r="M56" s="10">
        <v>13.137784004211426</v>
      </c>
      <c r="N56" s="10">
        <v>45.557910919189453</v>
      </c>
      <c r="O56" s="10">
        <v>131.67805480957031</v>
      </c>
      <c r="P56" s="10">
        <v>119.96723175048828</v>
      </c>
      <c r="Q56" s="10">
        <v>365.73019409179688</v>
      </c>
      <c r="R56" s="10">
        <v>138.57841491699219</v>
      </c>
      <c r="S56" s="10">
        <v>113.04852294921876</v>
      </c>
      <c r="V56" s="11">
        <v>44278</v>
      </c>
      <c r="W56" s="12">
        <v>-6.8886812137485265E-3</v>
      </c>
      <c r="X56" s="12">
        <v>-9.3460876746265242E-4</v>
      </c>
      <c r="Y56" s="12">
        <v>-1.000179265608947E-2</v>
      </c>
      <c r="Z56" s="12">
        <v>-8.7589508248605563E-3</v>
      </c>
      <c r="AA56" s="12">
        <v>1.8589645645930908E-2</v>
      </c>
      <c r="AB56" s="12">
        <v>-7.8707489924064733E-3</v>
      </c>
      <c r="AC56" s="12">
        <v>-1.2341396228149781E-2</v>
      </c>
    </row>
    <row r="57" spans="12:29" x14ac:dyDescent="0.2">
      <c r="L57" s="11">
        <v>44278</v>
      </c>
      <c r="M57" s="10">
        <v>13.022710800170898</v>
      </c>
      <c r="N57" s="10">
        <v>44.995662689208984</v>
      </c>
      <c r="O57" s="10">
        <v>130.36103820800781</v>
      </c>
      <c r="P57" s="10">
        <v>119.14081573486328</v>
      </c>
      <c r="Q57" s="10">
        <v>362.85162353515625</v>
      </c>
      <c r="R57" s="10">
        <v>138.44889831542969</v>
      </c>
      <c r="S57" s="10">
        <v>115.15005493164062</v>
      </c>
      <c r="V57" s="11">
        <v>44279</v>
      </c>
      <c r="W57" s="12">
        <v>-1.999350026655311E-2</v>
      </c>
      <c r="X57" s="12">
        <v>9.7288917578408629E-3</v>
      </c>
      <c r="Y57" s="12">
        <v>7.7611323251640663E-3</v>
      </c>
      <c r="Z57" s="12">
        <v>-3.272582327362672E-2</v>
      </c>
      <c r="AA57" s="12">
        <v>-3.0153154970125051E-4</v>
      </c>
      <c r="AB57" s="12">
        <v>-5.083464803217419E-3</v>
      </c>
      <c r="AC57" s="12">
        <v>2.028241145679277E-2</v>
      </c>
    </row>
    <row r="58" spans="12:29" x14ac:dyDescent="0.2">
      <c r="L58" s="11">
        <v>44279</v>
      </c>
      <c r="M58" s="10">
        <v>12.596531867980955</v>
      </c>
      <c r="N58" s="10">
        <v>45.908283233642578</v>
      </c>
      <c r="O58" s="10">
        <v>131.37278747558594</v>
      </c>
      <c r="P58" s="10">
        <v>116.75877380371094</v>
      </c>
      <c r="Q58" s="10">
        <v>361.007080078125</v>
      </c>
      <c r="R58" s="10">
        <v>139.79585266113281</v>
      </c>
      <c r="S58" s="10">
        <v>115.11533355712891</v>
      </c>
      <c r="V58" s="11">
        <v>44280</v>
      </c>
      <c r="W58" s="12">
        <v>4.1635394489449862E-3</v>
      </c>
      <c r="X58" s="12">
        <v>3.7023854080597829E-4</v>
      </c>
      <c r="Y58" s="12">
        <v>1.2813998065193566E-2</v>
      </c>
      <c r="Z58" s="12">
        <v>-8.522441857357399E-3</v>
      </c>
      <c r="AA58" s="12">
        <v>6.9402336112973639E-3</v>
      </c>
      <c r="AB58" s="12">
        <v>5.6255220009671092E-3</v>
      </c>
      <c r="AC58" s="12">
        <v>-2.8396501714517131E-3</v>
      </c>
    </row>
    <row r="59" spans="12:29" x14ac:dyDescent="0.2">
      <c r="L59" s="11">
        <v>44280</v>
      </c>
      <c r="M59" s="10">
        <v>12.489178657531738</v>
      </c>
      <c r="N59" s="10">
        <v>45.777919769287109</v>
      </c>
      <c r="O59" s="10">
        <v>133.05619812011719</v>
      </c>
      <c r="P59" s="10">
        <v>117.24490356445312</v>
      </c>
      <c r="Q59" s="10">
        <v>363.03793334960938</v>
      </c>
      <c r="R59" s="10">
        <v>139.84761047363281</v>
      </c>
      <c r="S59" s="10">
        <v>115.9142608642578</v>
      </c>
      <c r="V59" s="11">
        <v>44281</v>
      </c>
      <c r="W59" s="12">
        <v>5.1412966721249287E-3</v>
      </c>
      <c r="X59" s="12">
        <v>1.8275289842841103E-2</v>
      </c>
      <c r="Y59" s="12">
        <v>1.6650055372890549E-2</v>
      </c>
      <c r="Z59" s="12">
        <v>2.425149396530335E-2</v>
      </c>
      <c r="AA59" s="12">
        <v>1.4758923022627268E-2</v>
      </c>
      <c r="AB59" s="12">
        <v>1.6114960061876182E-2</v>
      </c>
      <c r="AC59" s="12">
        <v>2.7233992980404853E-2</v>
      </c>
    </row>
    <row r="60" spans="12:29" x14ac:dyDescent="0.2">
      <c r="L60" s="11">
        <v>44281</v>
      </c>
      <c r="M60" s="10">
        <v>12.792059898376465</v>
      </c>
      <c r="N60" s="10">
        <v>47.024635314941406</v>
      </c>
      <c r="O60" s="10">
        <v>135.27159118652344</v>
      </c>
      <c r="P60" s="10">
        <v>117.84769439697266</v>
      </c>
      <c r="Q60" s="10">
        <v>368.88827514648438</v>
      </c>
      <c r="R60" s="10">
        <v>142.40336608886719</v>
      </c>
      <c r="S60" s="10">
        <v>117.62503051757812</v>
      </c>
      <c r="V60" s="11">
        <v>44284</v>
      </c>
      <c r="W60" s="12">
        <v>1.4850581680692088E-3</v>
      </c>
      <c r="X60" s="12">
        <v>6.730102725440279E-3</v>
      </c>
      <c r="Y60" s="12">
        <v>-1.5539484401802639E-2</v>
      </c>
      <c r="Z60" s="12">
        <v>8.489465832310028E-3</v>
      </c>
      <c r="AA60" s="12">
        <v>1.5651459641437659E-2</v>
      </c>
      <c r="AB60" s="12">
        <v>-5.0522302324562673E-4</v>
      </c>
      <c r="AC60" s="12">
        <v>-5.371849270874085E-3</v>
      </c>
    </row>
    <row r="61" spans="12:29" x14ac:dyDescent="0.2">
      <c r="L61" s="11">
        <v>44284</v>
      </c>
      <c r="M61" s="10">
        <v>12.900657653808594</v>
      </c>
      <c r="N61" s="10">
        <v>46.772026062011719</v>
      </c>
      <c r="O61" s="10">
        <v>133.16954040527344</v>
      </c>
      <c r="P61" s="10">
        <v>118.022705078125</v>
      </c>
      <c r="Q61" s="10">
        <v>368.701904296875</v>
      </c>
      <c r="R61" s="10">
        <v>143.36175537109375</v>
      </c>
      <c r="S61" s="10">
        <v>119.46603393554688</v>
      </c>
      <c r="V61" s="11">
        <v>44285</v>
      </c>
      <c r="W61" s="12">
        <v>-1.2274497797985728E-2</v>
      </c>
      <c r="X61" s="12">
        <v>-6.20349032011136E-3</v>
      </c>
      <c r="Y61" s="12">
        <v>1.1789537753458923E-2</v>
      </c>
      <c r="Z61" s="12">
        <v>-5.9079699452662116E-3</v>
      </c>
      <c r="AA61" s="12">
        <v>-1.5410266477599688E-2</v>
      </c>
      <c r="AB61" s="12">
        <v>-2.6527062918031419E-3</v>
      </c>
      <c r="AC61" s="12">
        <v>-1.2369294982809698E-2</v>
      </c>
    </row>
    <row r="62" spans="12:29" x14ac:dyDescent="0.2">
      <c r="L62" s="11">
        <v>44285</v>
      </c>
      <c r="M62" s="10">
        <v>12.824440956115724</v>
      </c>
      <c r="N62" s="10">
        <v>46.193489074707031</v>
      </c>
      <c r="O62" s="10">
        <v>134.73954772949219</v>
      </c>
      <c r="P62" s="10">
        <v>116.57403564453124</v>
      </c>
      <c r="Q62" s="10">
        <v>367.72384643554688</v>
      </c>
      <c r="R62" s="10">
        <v>142.472412109375</v>
      </c>
      <c r="S62" s="10">
        <v>117.62503051757812</v>
      </c>
      <c r="V62" s="11">
        <v>44286</v>
      </c>
      <c r="W62" s="12">
        <v>1.8765684319319575E-2</v>
      </c>
      <c r="X62" s="12">
        <v>-3.9995407553888862E-3</v>
      </c>
      <c r="Y62" s="12">
        <v>-1.4564865416100137E-2</v>
      </c>
      <c r="Z62" s="12">
        <v>3.701927234861202E-2</v>
      </c>
      <c r="AA62" s="12">
        <v>-1.4782049416017795E-4</v>
      </c>
      <c r="AB62" s="12">
        <v>4.0529230284056528E-3</v>
      </c>
      <c r="AC62" s="12">
        <v>-1.5170266007759614E-2</v>
      </c>
    </row>
    <row r="63" spans="12:29" x14ac:dyDescent="0.2">
      <c r="L63" s="11">
        <v>44286</v>
      </c>
      <c r="M63" s="10">
        <v>13.299192428588867</v>
      </c>
      <c r="N63" s="10">
        <v>45.492721557617188</v>
      </c>
      <c r="O63" s="10">
        <v>132.77708435058594</v>
      </c>
      <c r="P63" s="10">
        <v>118.76162719726562</v>
      </c>
      <c r="Q63" s="10">
        <v>369.21420288085938</v>
      </c>
      <c r="R63" s="10">
        <v>141.902587890625</v>
      </c>
      <c r="S63" s="10">
        <v>117.60764312744141</v>
      </c>
      <c r="V63" s="11">
        <v>44287</v>
      </c>
      <c r="W63" s="12">
        <v>6.9584186992381891E-3</v>
      </c>
      <c r="X63" s="12">
        <v>-9.2486575951468142E-3</v>
      </c>
      <c r="Y63" s="12">
        <v>9.7220318055859511E-3</v>
      </c>
      <c r="Z63" s="12">
        <v>3.4723382516754553E-2</v>
      </c>
      <c r="AA63" s="12">
        <v>-8.4911069810975626E-3</v>
      </c>
      <c r="AB63" s="12">
        <v>1.0799104113755176E-2</v>
      </c>
      <c r="AC63" s="12">
        <v>2.7941971100260865E-2</v>
      </c>
    </row>
    <row r="64" spans="12:29" x14ac:dyDescent="0.2">
      <c r="L64" s="11">
        <v>44287</v>
      </c>
      <c r="M64" s="10">
        <v>13.760985374450684</v>
      </c>
      <c r="N64" s="10">
        <v>46.763877868652344</v>
      </c>
      <c r="O64" s="10">
        <v>134.06794738769531</v>
      </c>
      <c r="P64" s="10">
        <v>119.58802032470705</v>
      </c>
      <c r="Q64" s="10">
        <v>373.20138549804688</v>
      </c>
      <c r="R64" s="10">
        <v>140.59017944335938</v>
      </c>
      <c r="S64" s="10">
        <v>116.60902404785156</v>
      </c>
      <c r="V64" s="11">
        <v>44291</v>
      </c>
      <c r="W64" s="12">
        <v>2.3577445888553372E-2</v>
      </c>
      <c r="X64" s="12">
        <v>3.6845060810413166E-3</v>
      </c>
      <c r="Y64" s="12">
        <v>5.3005385557500784E-3</v>
      </c>
      <c r="Z64" s="12">
        <v>1.2724749728662443E-2</v>
      </c>
      <c r="AA64" s="12">
        <v>1.6159783012210438E-2</v>
      </c>
      <c r="AB64" s="12">
        <v>1.4353430021580627E-2</v>
      </c>
      <c r="AC64" s="12">
        <v>-1.5507954648348532E-2</v>
      </c>
    </row>
    <row r="65" spans="12:29" x14ac:dyDescent="0.2">
      <c r="L65" s="11">
        <v>44291</v>
      </c>
      <c r="M65" s="10">
        <v>13.936090469360352</v>
      </c>
      <c r="N65" s="10">
        <v>46.038665771484375</v>
      </c>
      <c r="O65" s="10">
        <v>134.77857971191406</v>
      </c>
      <c r="P65" s="10">
        <v>122.40760040283205</v>
      </c>
      <c r="Q65" s="10">
        <v>378.55810546875</v>
      </c>
      <c r="R65" s="10">
        <v>141.10818481445312</v>
      </c>
      <c r="S65" s="10">
        <v>118.49340057373048</v>
      </c>
      <c r="V65" s="11">
        <v>44292</v>
      </c>
      <c r="W65" s="12">
        <v>2.4620721407955237E-3</v>
      </c>
      <c r="X65" s="12">
        <v>-2.444941242470966E-4</v>
      </c>
      <c r="Y65" s="12">
        <v>-7.0304609531987028E-3</v>
      </c>
      <c r="Z65" s="12">
        <v>-9.0080441796885902E-3</v>
      </c>
      <c r="AA65" s="12">
        <v>3.6668204005518845E-4</v>
      </c>
      <c r="AB65" s="12">
        <v>-5.9082958955847253E-4</v>
      </c>
      <c r="AC65" s="12">
        <v>-2.8320225110118891E-3</v>
      </c>
    </row>
    <row r="66" spans="12:29" x14ac:dyDescent="0.2">
      <c r="L66" s="11">
        <v>44292</v>
      </c>
      <c r="M66" s="10">
        <v>13.810553550720217</v>
      </c>
      <c r="N66" s="10">
        <v>45.908283233642578</v>
      </c>
      <c r="O66" s="10">
        <v>133.83102416992188</v>
      </c>
      <c r="P66" s="10">
        <v>122.70897674560548</v>
      </c>
      <c r="Q66" s="10">
        <v>378.33444213867188</v>
      </c>
      <c r="R66" s="10">
        <v>141.07368469238281</v>
      </c>
      <c r="S66" s="10">
        <v>118.53684997558594</v>
      </c>
      <c r="V66" s="11">
        <v>44293</v>
      </c>
      <c r="W66" s="12">
        <v>1.3390628568245244E-2</v>
      </c>
      <c r="X66" s="12">
        <v>1.346506724151153E-3</v>
      </c>
      <c r="Y66" s="12">
        <v>1.5668329390303048E-2</v>
      </c>
      <c r="Z66" s="12">
        <v>2.034428265469912E-2</v>
      </c>
      <c r="AA66" s="12">
        <v>1.7583344693412606E-3</v>
      </c>
      <c r="AB66" s="12">
        <v>1.1573522316983276E-3</v>
      </c>
      <c r="AC66" s="12">
        <v>4.437462342893328E-3</v>
      </c>
    </row>
    <row r="67" spans="12:29" x14ac:dyDescent="0.2">
      <c r="L67" s="11">
        <v>44293</v>
      </c>
      <c r="M67" s="10">
        <v>14.091519355773926</v>
      </c>
      <c r="N67" s="10">
        <v>46.11199951171875</v>
      </c>
      <c r="O67" s="10">
        <v>135.92793273925781</v>
      </c>
      <c r="P67" s="10">
        <v>124.35212707519533</v>
      </c>
      <c r="Q67" s="10">
        <v>378.77230834960938</v>
      </c>
      <c r="R67" s="10">
        <v>141.26364135742188</v>
      </c>
      <c r="S67" s="10">
        <v>118.74527740478516</v>
      </c>
      <c r="V67" s="11">
        <v>44294</v>
      </c>
      <c r="W67" s="12">
        <v>1.9233598554814213E-2</v>
      </c>
      <c r="X67" s="12">
        <v>-3.911597655352983E-3</v>
      </c>
      <c r="Y67" s="12">
        <v>1.2262896106753907E-3</v>
      </c>
      <c r="Z67" s="12">
        <v>1.2267098284660882E-2</v>
      </c>
      <c r="AA67" s="12">
        <v>3.8025772123826407E-3</v>
      </c>
      <c r="AB67" s="12">
        <v>4.746845514252751E-3</v>
      </c>
      <c r="AC67" s="12">
        <v>-1.0425890702701168E-2</v>
      </c>
    </row>
    <row r="68" spans="12:29" x14ac:dyDescent="0.2">
      <c r="L68" s="11">
        <v>44294</v>
      </c>
      <c r="M68" s="10">
        <v>14.264381408691406</v>
      </c>
      <c r="N68" s="10">
        <v>45.631240844726562</v>
      </c>
      <c r="O68" s="10">
        <v>136.09461975097656</v>
      </c>
      <c r="P68" s="10">
        <v>126.74386596679688</v>
      </c>
      <c r="Q68" s="10">
        <v>380.57028198242188</v>
      </c>
      <c r="R68" s="10">
        <v>140.71107482910156</v>
      </c>
      <c r="S68" s="10">
        <v>119.19681549072266</v>
      </c>
      <c r="V68" s="11">
        <v>44295</v>
      </c>
      <c r="W68" s="12">
        <v>2.025177076734419E-2</v>
      </c>
      <c r="X68" s="12">
        <v>-1.0554086848533761E-2</v>
      </c>
      <c r="Y68" s="12">
        <v>7.477999174131611E-3</v>
      </c>
      <c r="Z68" s="12">
        <v>5.7973076402619839E-3</v>
      </c>
      <c r="AA68" s="12">
        <v>-6.4840704931363735E-3</v>
      </c>
      <c r="AB68" s="12">
        <v>7.2702621148248436E-3</v>
      </c>
      <c r="AC68" s="12">
        <v>-2.3215266800845624E-3</v>
      </c>
    </row>
    <row r="69" spans="12:29" x14ac:dyDescent="0.2">
      <c r="L69" s="11">
        <v>44295</v>
      </c>
      <c r="M69" s="10">
        <v>14.347076416015623</v>
      </c>
      <c r="N69" s="10">
        <v>45.525306701660163</v>
      </c>
      <c r="O69" s="10">
        <v>137.11233520507812</v>
      </c>
      <c r="P69" s="10">
        <v>129.31065368652344</v>
      </c>
      <c r="Q69" s="10">
        <v>383.33712768554688</v>
      </c>
      <c r="R69" s="10">
        <v>139.22599792480469</v>
      </c>
      <c r="S69" s="10">
        <v>118.42393493652344</v>
      </c>
      <c r="V69" s="11">
        <v>44298</v>
      </c>
      <c r="W69" s="12">
        <v>-1.3232870411397535E-2</v>
      </c>
      <c r="X69" s="12">
        <v>2.4184829217317461E-3</v>
      </c>
      <c r="Y69" s="12">
        <v>-2.1115551947885614E-3</v>
      </c>
      <c r="Z69" s="12">
        <v>5.6180404147833318E-2</v>
      </c>
      <c r="AA69" s="12">
        <v>4.0332914531586717E-3</v>
      </c>
      <c r="AB69" s="12">
        <v>3.6429666581772047E-4</v>
      </c>
      <c r="AC69" s="12">
        <v>-6.6224877004600335E-3</v>
      </c>
    </row>
    <row r="70" spans="12:29" x14ac:dyDescent="0.2">
      <c r="L70" s="11">
        <v>44298</v>
      </c>
      <c r="M70" s="10">
        <v>15.153100967407228</v>
      </c>
      <c r="N70" s="10">
        <v>45.22381591796875</v>
      </c>
      <c r="O70" s="10">
        <v>136.82281494140625</v>
      </c>
      <c r="P70" s="10">
        <v>127.59950256347656</v>
      </c>
      <c r="Q70" s="10">
        <v>383.47677612304688</v>
      </c>
      <c r="R70" s="10">
        <v>139.56271362304688</v>
      </c>
      <c r="S70" s="10">
        <v>118.90157318115234</v>
      </c>
      <c r="V70" s="11">
        <v>44299</v>
      </c>
      <c r="W70" s="12">
        <v>2.4306293402066803E-2</v>
      </c>
      <c r="X70" s="12">
        <v>-1.3362988775233786E-2</v>
      </c>
      <c r="Y70" s="12">
        <v>-1.1926747721042741E-2</v>
      </c>
      <c r="Z70" s="12">
        <v>3.0935709827153879E-2</v>
      </c>
      <c r="AA70" s="12">
        <v>-1.3219467570272925E-2</v>
      </c>
      <c r="AB70" s="12">
        <v>2.9640053010691059E-3</v>
      </c>
      <c r="AC70" s="12">
        <v>3.7840931942501044E-3</v>
      </c>
    </row>
    <row r="71" spans="12:29" x14ac:dyDescent="0.2">
      <c r="L71" s="11">
        <v>44299</v>
      </c>
      <c r="M71" s="10">
        <v>15.621872901916504</v>
      </c>
      <c r="N71" s="10">
        <v>45.394947052001953</v>
      </c>
      <c r="O71" s="10">
        <v>135.19096374511719</v>
      </c>
      <c r="P71" s="10">
        <v>130.70097351074219</v>
      </c>
      <c r="Q71" s="10">
        <v>384.6134033203125</v>
      </c>
      <c r="R71" s="10">
        <v>137.69773864746094</v>
      </c>
      <c r="S71" s="10">
        <v>117.32975769042967</v>
      </c>
      <c r="V71" s="11">
        <v>44300</v>
      </c>
      <c r="W71" s="12">
        <v>-1.7853117211961034E-2</v>
      </c>
      <c r="X71" s="12">
        <v>2.7587058251079544E-3</v>
      </c>
      <c r="Y71" s="12">
        <v>-1.8690557146686659E-2</v>
      </c>
      <c r="Z71" s="12">
        <v>-2.5670420734227761E-2</v>
      </c>
      <c r="AA71" s="12">
        <v>3.6266521773113958E-3</v>
      </c>
      <c r="AB71" s="12">
        <v>-3.4152153469345636E-3</v>
      </c>
      <c r="AC71" s="12">
        <v>2.8899464227476024E-2</v>
      </c>
    </row>
    <row r="72" spans="12:29" x14ac:dyDescent="0.2">
      <c r="L72" s="11">
        <v>44300</v>
      </c>
      <c r="M72" s="10">
        <v>15.220852851867676</v>
      </c>
      <c r="N72" s="10">
        <v>46.706836700439453</v>
      </c>
      <c r="O72" s="10">
        <v>132.66416931152344</v>
      </c>
      <c r="P72" s="10">
        <v>128.3675537109375</v>
      </c>
      <c r="Q72" s="10">
        <v>383.29986572265625</v>
      </c>
      <c r="R72" s="10">
        <v>138.07760620117188</v>
      </c>
      <c r="S72" s="10">
        <v>117.75527191162109</v>
      </c>
      <c r="V72" s="11">
        <v>44301</v>
      </c>
      <c r="W72" s="12">
        <v>1.8708033667209634E-2</v>
      </c>
      <c r="X72" s="12">
        <v>2.9390917547844619E-3</v>
      </c>
      <c r="Y72" s="12">
        <v>6.3491176209091726E-3</v>
      </c>
      <c r="Z72" s="12">
        <v>5.6309809243869413E-2</v>
      </c>
      <c r="AA72" s="12">
        <v>1.2094397592808503E-2</v>
      </c>
      <c r="AB72" s="12">
        <v>1.0742302728430131E-2</v>
      </c>
      <c r="AC72" s="12">
        <v>-5.9315168503674132E-3</v>
      </c>
    </row>
    <row r="73" spans="12:29" x14ac:dyDescent="0.2">
      <c r="L73" s="11">
        <v>44301</v>
      </c>
      <c r="M73" s="10">
        <v>16.077936172485352</v>
      </c>
      <c r="N73" s="10">
        <v>46.429794311523438</v>
      </c>
      <c r="O73" s="10">
        <v>133.5064697265625</v>
      </c>
      <c r="P73" s="10">
        <v>130.76905822753906</v>
      </c>
      <c r="Q73" s="10">
        <v>387.41738891601562</v>
      </c>
      <c r="R73" s="10">
        <v>138.48342895507812</v>
      </c>
      <c r="S73" s="10">
        <v>119.17945098876952</v>
      </c>
      <c r="V73" s="11">
        <v>44302</v>
      </c>
      <c r="W73" s="12">
        <v>-2.5282141440670092E-3</v>
      </c>
      <c r="X73" s="12">
        <v>1.1534380457598026E-2</v>
      </c>
      <c r="Y73" s="12">
        <v>7.4254698564943933E-3</v>
      </c>
      <c r="Z73" s="12">
        <v>-1.3926915206639801E-2</v>
      </c>
      <c r="AA73" s="12">
        <v>7.2850234705157391E-5</v>
      </c>
      <c r="AB73" s="12">
        <v>3.3425252186056742E-3</v>
      </c>
      <c r="AC73" s="12">
        <v>-5.6160019823696672E-3</v>
      </c>
    </row>
    <row r="74" spans="12:29" x14ac:dyDescent="0.2">
      <c r="L74" s="11">
        <v>44302</v>
      </c>
      <c r="M74" s="10">
        <v>15.854020118713381</v>
      </c>
      <c r="N74" s="10">
        <v>46.169044494628906</v>
      </c>
      <c r="O74" s="10">
        <v>134.49781799316406</v>
      </c>
      <c r="P74" s="10">
        <v>130.43844604492188</v>
      </c>
      <c r="Q74" s="10">
        <v>388.71234130859375</v>
      </c>
      <c r="R74" s="10">
        <v>140.08074951171875</v>
      </c>
      <c r="S74" s="10">
        <v>119.18813323974609</v>
      </c>
      <c r="V74" s="11">
        <v>44305</v>
      </c>
      <c r="W74" s="12">
        <v>5.0690104620576548E-3</v>
      </c>
      <c r="X74" s="12">
        <v>2.7735380376221475E-3</v>
      </c>
      <c r="Y74" s="12">
        <v>-4.2399700764051973E-3</v>
      </c>
      <c r="Z74" s="12">
        <v>-3.4611404075217234E-2</v>
      </c>
      <c r="AA74" s="12">
        <v>-4.6627795128058036E-3</v>
      </c>
      <c r="AB74" s="12">
        <v>-4.913040617787412E-3</v>
      </c>
      <c r="AC74" s="12">
        <v>-3.1768319394844813E-3</v>
      </c>
    </row>
    <row r="75" spans="12:29" x14ac:dyDescent="0.2">
      <c r="L75" s="11">
        <v>44305</v>
      </c>
      <c r="M75" s="10">
        <v>15.305290222167969</v>
      </c>
      <c r="N75" s="10">
        <v>46.022373199462891</v>
      </c>
      <c r="O75" s="10">
        <v>133.92755126953125</v>
      </c>
      <c r="P75" s="10">
        <v>131.09963989257812</v>
      </c>
      <c r="Q75" s="10">
        <v>386.80258178710938</v>
      </c>
      <c r="R75" s="10">
        <v>140.46926879882812</v>
      </c>
      <c r="S75" s="10">
        <v>118.63238525390624</v>
      </c>
      <c r="V75" s="11">
        <v>44306</v>
      </c>
      <c r="W75" s="12">
        <v>-1.2830337395914659E-2</v>
      </c>
      <c r="X75" s="12">
        <v>2.3295980770371427E-2</v>
      </c>
      <c r="Y75" s="12">
        <v>-2.2141656287355871E-2</v>
      </c>
      <c r="Z75" s="12">
        <v>-1.2400833460030514E-2</v>
      </c>
      <c r="AA75" s="12">
        <v>8.3445749362160981E-3</v>
      </c>
      <c r="AB75" s="12">
        <v>-7.3218818490026205E-3</v>
      </c>
      <c r="AC75" s="12">
        <v>-2.1069520640285666E-2</v>
      </c>
    </row>
    <row r="76" spans="12:29" x14ac:dyDescent="0.2">
      <c r="L76" s="11">
        <v>44306</v>
      </c>
      <c r="M76" s="10">
        <v>15.11549186706543</v>
      </c>
      <c r="N76" s="10">
        <v>45.052703857421875</v>
      </c>
      <c r="O76" s="10">
        <v>130.96217346191406</v>
      </c>
      <c r="P76" s="10">
        <v>129.41758728027344</v>
      </c>
      <c r="Q76" s="10">
        <v>383.970458984375</v>
      </c>
      <c r="R76" s="10">
        <v>143.74163818359375</v>
      </c>
      <c r="S76" s="10">
        <v>119.62232208251952</v>
      </c>
      <c r="V76" s="11">
        <v>44307</v>
      </c>
      <c r="W76" s="12">
        <v>2.9297845631515163E-3</v>
      </c>
      <c r="X76" s="12">
        <v>6.607041934758584E-4</v>
      </c>
      <c r="Y76" s="12">
        <v>8.5075425240224156E-3</v>
      </c>
      <c r="Z76" s="12">
        <v>1.2474146266860275E-2</v>
      </c>
      <c r="AA76" s="12">
        <v>-6.5335228590704952E-3</v>
      </c>
      <c r="AB76" s="12">
        <v>9.4624487281138592E-3</v>
      </c>
      <c r="AC76" s="12">
        <v>1.2841337761559934E-2</v>
      </c>
    </row>
    <row r="77" spans="12:29" x14ac:dyDescent="0.2">
      <c r="L77" s="11">
        <v>44307</v>
      </c>
      <c r="M77" s="10">
        <v>15.304044723510742</v>
      </c>
      <c r="N77" s="10">
        <v>45.631240844726562</v>
      </c>
      <c r="O77" s="10">
        <v>132.07633972167969</v>
      </c>
      <c r="P77" s="10">
        <v>129.7967529296875</v>
      </c>
      <c r="Q77" s="10">
        <v>387.603759765625</v>
      </c>
      <c r="R77" s="10">
        <v>143.83660888671875</v>
      </c>
      <c r="S77" s="10">
        <v>118.84076690673828</v>
      </c>
      <c r="V77" s="11">
        <v>44308</v>
      </c>
      <c r="W77" s="12">
        <v>-1.1685374237629276E-2</v>
      </c>
      <c r="X77" s="12">
        <v>-8.4638204139065865E-3</v>
      </c>
      <c r="Y77" s="12">
        <v>-2.105755072781057E-2</v>
      </c>
      <c r="Z77" s="12">
        <v>-3.3218291200585393E-2</v>
      </c>
      <c r="AA77" s="12">
        <v>-9.9277144570509845E-3</v>
      </c>
      <c r="AB77" s="12">
        <v>-9.1332178568617195E-3</v>
      </c>
      <c r="AC77" s="12">
        <v>-1.3035577124677622E-2</v>
      </c>
    </row>
    <row r="78" spans="12:29" x14ac:dyDescent="0.2">
      <c r="L78" s="11">
        <v>44308</v>
      </c>
      <c r="M78" s="10">
        <v>14.795670509338381</v>
      </c>
      <c r="N78" s="10">
        <v>45.036411285400391</v>
      </c>
      <c r="O78" s="10">
        <v>129.29513549804688</v>
      </c>
      <c r="P78" s="10">
        <v>128.280029296875</v>
      </c>
      <c r="Q78" s="10">
        <v>384.06369018554688</v>
      </c>
      <c r="R78" s="10">
        <v>142.61920166015625</v>
      </c>
      <c r="S78" s="10">
        <v>117.66094970703124</v>
      </c>
      <c r="V78" s="11">
        <v>44309</v>
      </c>
      <c r="W78" s="12">
        <v>1.8038744088231695E-2</v>
      </c>
      <c r="X78" s="12">
        <v>2.0582683156777914E-3</v>
      </c>
      <c r="Y78" s="12">
        <v>1.913545381440418E-2</v>
      </c>
      <c r="Z78" s="12">
        <v>2.7945677511548084E-2</v>
      </c>
      <c r="AA78" s="12">
        <v>-5.1253218118257893E-3</v>
      </c>
      <c r="AB78" s="12">
        <v>1.0842432327567098E-2</v>
      </c>
      <c r="AC78" s="12">
        <v>5.4276524062926157E-3</v>
      </c>
    </row>
    <row r="79" spans="12:29" x14ac:dyDescent="0.2">
      <c r="L79" s="11">
        <v>44309</v>
      </c>
      <c r="M79" s="10">
        <v>15.209145545959473</v>
      </c>
      <c r="N79" s="10">
        <v>45.280853271484375</v>
      </c>
      <c r="O79" s="10">
        <v>131.76925659179688</v>
      </c>
      <c r="P79" s="10">
        <v>130.59403991699219</v>
      </c>
      <c r="Q79" s="10">
        <v>388.22787475585938</v>
      </c>
      <c r="R79" s="10">
        <v>142.91275024414062</v>
      </c>
      <c r="S79" s="10">
        <v>117.05789947509766</v>
      </c>
      <c r="V79" s="11">
        <v>44312</v>
      </c>
      <c r="W79" s="12">
        <v>2.97817017270674E-3</v>
      </c>
      <c r="X79" s="12">
        <v>-8.4582097026135727E-3</v>
      </c>
      <c r="Y79" s="12">
        <v>2.4637461308554265E-3</v>
      </c>
      <c r="Z79" s="12">
        <v>1.3936905350501183E-2</v>
      </c>
      <c r="AA79" s="12">
        <v>-2.0008912199970141E-2</v>
      </c>
      <c r="AB79" s="12">
        <v>2.0876549381041443E-3</v>
      </c>
      <c r="AC79" s="12">
        <v>1.9799321050599783E-3</v>
      </c>
    </row>
    <row r="80" spans="12:29" x14ac:dyDescent="0.2">
      <c r="L80" s="11">
        <v>44312</v>
      </c>
      <c r="M80" s="10">
        <v>15.421113967895508</v>
      </c>
      <c r="N80" s="10">
        <v>45.370506286621094</v>
      </c>
      <c r="O80" s="10">
        <v>132.09390258789062</v>
      </c>
      <c r="P80" s="10">
        <v>130.98297119140625</v>
      </c>
      <c r="Q80" s="10">
        <v>389.03836059570312</v>
      </c>
      <c r="R80" s="10">
        <v>141.70396423339844</v>
      </c>
      <c r="S80" s="10">
        <v>114.7156982421875</v>
      </c>
      <c r="V80" s="11">
        <v>44313</v>
      </c>
      <c r="W80" s="12">
        <v>-2.4497617688516993E-3</v>
      </c>
      <c r="X80" s="12">
        <v>-5.727539060922604E-3</v>
      </c>
      <c r="Y80" s="12">
        <v>4.5829306683011772E-3</v>
      </c>
      <c r="Z80" s="12">
        <v>-6.2184102742017799E-3</v>
      </c>
      <c r="AA80" s="12">
        <v>-6.0953646231820535E-4</v>
      </c>
      <c r="AB80" s="12">
        <v>-2.1540618617388319E-4</v>
      </c>
      <c r="AC80" s="12">
        <v>1.3110405708748107E-2</v>
      </c>
    </row>
    <row r="81" spans="12:29" x14ac:dyDescent="0.2">
      <c r="L81" s="11">
        <v>44313</v>
      </c>
      <c r="M81" s="10">
        <v>15.32521915435791</v>
      </c>
      <c r="N81" s="10">
        <v>45.96533203125</v>
      </c>
      <c r="O81" s="10">
        <v>132.69927978515625</v>
      </c>
      <c r="P81" s="10">
        <v>130.66209411621094</v>
      </c>
      <c r="Q81" s="10">
        <v>388.95455932617188</v>
      </c>
      <c r="R81" s="10">
        <v>140.89234924316406</v>
      </c>
      <c r="S81" s="10">
        <v>114.64577484130859</v>
      </c>
      <c r="V81" s="11">
        <v>44314</v>
      </c>
      <c r="W81" s="12">
        <v>-6.0273936768713288E-3</v>
      </c>
      <c r="X81" s="12">
        <v>-7.3536411516257338E-3</v>
      </c>
      <c r="Y81" s="12">
        <v>6.4792136679017176E-3</v>
      </c>
      <c r="Z81" s="12">
        <v>-6.8264680447132076E-3</v>
      </c>
      <c r="AA81" s="12">
        <v>1.6771311567540526E-3</v>
      </c>
      <c r="AB81" s="12">
        <v>-2.8755781657863189E-4</v>
      </c>
      <c r="AC81" s="12">
        <v>3.013634715892799E-2</v>
      </c>
    </row>
    <row r="82" spans="12:29" x14ac:dyDescent="0.2">
      <c r="L82" s="11">
        <v>44314</v>
      </c>
      <c r="M82" s="10">
        <v>15.220602035522459</v>
      </c>
      <c r="N82" s="10">
        <v>47.350559234619141</v>
      </c>
      <c r="O82" s="10">
        <v>133.55906677246094</v>
      </c>
      <c r="P82" s="10">
        <v>129.87454223632812</v>
      </c>
      <c r="Q82" s="10">
        <v>388.84271240234375</v>
      </c>
      <c r="R82" s="10">
        <v>139.85627746582031</v>
      </c>
      <c r="S82" s="10">
        <v>114.83805084228516</v>
      </c>
      <c r="V82" s="11">
        <v>44315</v>
      </c>
      <c r="W82" s="12">
        <v>-7.4852040625705829E-4</v>
      </c>
      <c r="X82" s="12">
        <v>1.3705236120934883E-2</v>
      </c>
      <c r="Y82" s="12">
        <v>1.9444466976589636E-2</v>
      </c>
      <c r="Z82" s="12">
        <v>3.142050875071245E-3</v>
      </c>
      <c r="AA82" s="12">
        <v>8.4473526634538665E-3</v>
      </c>
      <c r="AB82" s="12">
        <v>6.3728270190286374E-3</v>
      </c>
      <c r="AC82" s="12">
        <v>1.4283153537133275E-2</v>
      </c>
    </row>
    <row r="83" spans="12:29" x14ac:dyDescent="0.2">
      <c r="L83" s="11">
        <v>44315</v>
      </c>
      <c r="M83" s="10">
        <v>15.268425941467283</v>
      </c>
      <c r="N83" s="10">
        <v>48.026874542236328</v>
      </c>
      <c r="O83" s="10">
        <v>136.15605163574219</v>
      </c>
      <c r="P83" s="10">
        <v>129.77732849121094</v>
      </c>
      <c r="Q83" s="10">
        <v>391.32073974609375</v>
      </c>
      <c r="R83" s="10">
        <v>141.77304077148438</v>
      </c>
      <c r="S83" s="10">
        <v>115.80812835693359</v>
      </c>
      <c r="V83" s="11">
        <v>44316</v>
      </c>
      <c r="W83" s="12">
        <v>-1.5133590050284029E-2</v>
      </c>
      <c r="X83" s="12">
        <v>-8.9525206436429361E-3</v>
      </c>
      <c r="Y83" s="12">
        <v>-8.8926264941097122E-3</v>
      </c>
      <c r="Z83" s="12">
        <v>-2.0571257964891454E-2</v>
      </c>
      <c r="AA83" s="12">
        <v>6.8675542451075433E-3</v>
      </c>
      <c r="AB83" s="12">
        <v>-6.5704848504982705E-3</v>
      </c>
      <c r="AC83" s="12">
        <v>-2.8842671980531809E-2</v>
      </c>
    </row>
    <row r="84" spans="12:29" x14ac:dyDescent="0.2">
      <c r="L84" s="11">
        <v>44316</v>
      </c>
      <c r="M84" s="10">
        <v>14.95433521270752</v>
      </c>
      <c r="N84" s="10">
        <v>46.641651153564453</v>
      </c>
      <c r="O84" s="10">
        <v>134.94526672363281</v>
      </c>
      <c r="P84" s="10">
        <v>127.81333160400391</v>
      </c>
      <c r="Q84" s="10">
        <v>388.74957275390625</v>
      </c>
      <c r="R84" s="10">
        <v>140.50381469726562</v>
      </c>
      <c r="S84" s="10">
        <v>116.60344696044922</v>
      </c>
      <c r="V84" s="11">
        <v>44319</v>
      </c>
      <c r="W84" s="12">
        <v>8.2156665750796609E-3</v>
      </c>
      <c r="X84" s="12">
        <v>1.5240129894924737E-2</v>
      </c>
      <c r="Y84" s="12">
        <v>-2.9253351482450007E-3</v>
      </c>
      <c r="Z84" s="12">
        <v>-1.1509329555964731E-2</v>
      </c>
      <c r="AA84" s="12">
        <v>1.184235467300021E-2</v>
      </c>
      <c r="AB84" s="12">
        <v>2.1566825601602169E-3</v>
      </c>
      <c r="AC84" s="12">
        <v>2.7603150416187328E-2</v>
      </c>
    </row>
    <row r="85" spans="12:29" x14ac:dyDescent="0.2">
      <c r="L85" s="11">
        <v>44319</v>
      </c>
      <c r="M85" s="10">
        <v>14.782220840454102</v>
      </c>
      <c r="N85" s="10">
        <v>47.929107666015625</v>
      </c>
      <c r="O85" s="10">
        <v>134.55050659179688</v>
      </c>
      <c r="P85" s="10">
        <v>128.8634033203125</v>
      </c>
      <c r="Q85" s="10">
        <v>389.58798217773438</v>
      </c>
      <c r="R85" s="10">
        <v>142.64511108398438</v>
      </c>
      <c r="S85" s="10">
        <v>117.98430633544922</v>
      </c>
      <c r="V85" s="11">
        <v>44320</v>
      </c>
      <c r="W85" s="12">
        <v>-3.538551876618079E-2</v>
      </c>
      <c r="X85" s="12">
        <v>1.5495395463817729E-2</v>
      </c>
      <c r="Y85" s="12">
        <v>1.3823356167941059E-2</v>
      </c>
      <c r="Z85" s="12">
        <v>-3.2722759495601328E-2</v>
      </c>
      <c r="AA85" s="12">
        <v>-3.4074950924505298E-3</v>
      </c>
      <c r="AB85" s="12">
        <v>-6.1691119212653467E-3</v>
      </c>
      <c r="AC85" s="12">
        <v>6.2903483576677299E-3</v>
      </c>
    </row>
    <row r="86" spans="12:29" x14ac:dyDescent="0.2">
      <c r="L86" s="11">
        <v>44320</v>
      </c>
      <c r="M86" s="10">
        <v>14.298505783081056</v>
      </c>
      <c r="N86" s="10">
        <v>48.230598449707031</v>
      </c>
      <c r="O86" s="10">
        <v>136.41044616699219</v>
      </c>
      <c r="P86" s="10">
        <v>124.30350494384766</v>
      </c>
      <c r="Q86" s="10">
        <v>387.1845703125</v>
      </c>
      <c r="R86" s="10">
        <v>144.85545349121094</v>
      </c>
      <c r="S86" s="10">
        <v>117.582275390625</v>
      </c>
      <c r="V86" s="11">
        <v>44321</v>
      </c>
      <c r="W86" s="12">
        <v>1.9555372897164247E-3</v>
      </c>
      <c r="X86" s="12">
        <v>-4.1722289539080082E-3</v>
      </c>
      <c r="Y86" s="12">
        <v>1.3120994385217966E-2</v>
      </c>
      <c r="Z86" s="12">
        <v>7.4731192477588415E-3</v>
      </c>
      <c r="AA86" s="12">
        <v>-8.0273848306849915E-3</v>
      </c>
      <c r="AB86" s="12">
        <v>3.1259694761609502E-4</v>
      </c>
      <c r="AC86" s="12">
        <v>3.007253925024056E-2</v>
      </c>
    </row>
    <row r="87" spans="12:29" x14ac:dyDescent="0.2">
      <c r="L87" s="11">
        <v>44321</v>
      </c>
      <c r="M87" s="10">
        <v>14.405360221862791</v>
      </c>
      <c r="N87" s="10">
        <v>49.681015014648438</v>
      </c>
      <c r="O87" s="10">
        <v>138.20028686523438</v>
      </c>
      <c r="P87" s="10">
        <v>124.5465850830078</v>
      </c>
      <c r="Q87" s="10">
        <v>387.30560302734375</v>
      </c>
      <c r="R87" s="10">
        <v>144.25108337402344</v>
      </c>
      <c r="S87" s="10">
        <v>116.63839721679688</v>
      </c>
      <c r="V87" s="11">
        <v>44322</v>
      </c>
      <c r="W87" s="12">
        <v>1.2802174881176187E-2</v>
      </c>
      <c r="X87" s="12">
        <v>4.0102017857885919E-3</v>
      </c>
      <c r="Y87" s="12">
        <v>2.0124335686479533E-2</v>
      </c>
      <c r="Z87" s="12">
        <v>4.460939224891769E-3</v>
      </c>
      <c r="AA87" s="12">
        <v>1.2588019854489874E-2</v>
      </c>
      <c r="AB87" s="12">
        <v>7.9856719955433419E-3</v>
      </c>
      <c r="AC87" s="12">
        <v>9.5128989110520035E-3</v>
      </c>
    </row>
    <row r="88" spans="12:29" x14ac:dyDescent="0.2">
      <c r="L88" s="11">
        <v>44322</v>
      </c>
      <c r="M88" s="10">
        <v>14.469621658325195</v>
      </c>
      <c r="N88" s="10">
        <v>50.15362548828125</v>
      </c>
      <c r="O88" s="10">
        <v>140.98147583007812</v>
      </c>
      <c r="P88" s="10">
        <v>126.14105224609376</v>
      </c>
      <c r="Q88" s="10">
        <v>390.39849853515625</v>
      </c>
      <c r="R88" s="10">
        <v>144.82955932617188</v>
      </c>
      <c r="S88" s="10">
        <v>118.1066436767578</v>
      </c>
      <c r="V88" s="11">
        <v>44323</v>
      </c>
      <c r="W88" s="12">
        <v>5.327648733847834E-3</v>
      </c>
      <c r="X88" s="12">
        <v>4.5306614831086556E-3</v>
      </c>
      <c r="Y88" s="12">
        <v>3.4226389224709663E-3</v>
      </c>
      <c r="Z88" s="12">
        <v>1.9916825825253115E-2</v>
      </c>
      <c r="AA88" s="12">
        <v>7.396414347526914E-5</v>
      </c>
      <c r="AB88" s="12">
        <v>7.2779700854668228E-3</v>
      </c>
      <c r="AC88" s="12">
        <v>1.4297425390980001E-2</v>
      </c>
    </row>
    <row r="89" spans="12:29" x14ac:dyDescent="0.2">
      <c r="L89" s="11">
        <v>44323</v>
      </c>
      <c r="M89" s="10">
        <v>14.757810592651367</v>
      </c>
      <c r="N89" s="10">
        <v>50.870693206787109</v>
      </c>
      <c r="O89" s="10">
        <v>141.46400451660156</v>
      </c>
      <c r="P89" s="10">
        <v>126.81308746337891</v>
      </c>
      <c r="Q89" s="10">
        <v>393.23980712890625</v>
      </c>
      <c r="R89" s="10">
        <v>145.48573303222656</v>
      </c>
      <c r="S89" s="10">
        <v>118.11537933349609</v>
      </c>
      <c r="V89" s="11">
        <v>44326</v>
      </c>
      <c r="W89" s="12">
        <v>-2.5804425494588501E-2</v>
      </c>
      <c r="X89" s="12">
        <v>1.0504530207131824E-2</v>
      </c>
      <c r="Y89" s="12">
        <v>-1.2415077793781482E-4</v>
      </c>
      <c r="Z89" s="12">
        <v>-3.6895094349571833E-2</v>
      </c>
      <c r="AA89" s="12">
        <v>1.86460472900154E-2</v>
      </c>
      <c r="AB89" s="12">
        <v>-9.9023862299255638E-3</v>
      </c>
      <c r="AC89" s="12">
        <v>2.4026941129158264E-3</v>
      </c>
    </row>
    <row r="90" spans="12:29" x14ac:dyDescent="0.2">
      <c r="L90" s="11">
        <v>44326</v>
      </c>
      <c r="M90" s="10">
        <v>14.213319778442385</v>
      </c>
      <c r="N90" s="10">
        <v>50.992919921875</v>
      </c>
      <c r="O90" s="10">
        <v>141.44644165039062</v>
      </c>
      <c r="P90" s="10">
        <v>123.54074859619141</v>
      </c>
      <c r="Q90" s="10">
        <v>389.34579467773438</v>
      </c>
      <c r="R90" s="10">
        <v>147.01399230957031</v>
      </c>
      <c r="S90" s="10">
        <v>120.31776428222656</v>
      </c>
      <c r="V90" s="11">
        <v>44327</v>
      </c>
      <c r="W90" s="12">
        <v>-7.4104229347818906E-3</v>
      </c>
      <c r="X90" s="12">
        <v>-8.1636093004988641E-3</v>
      </c>
      <c r="Y90" s="12">
        <v>-1.6623167146250895E-2</v>
      </c>
      <c r="Z90" s="12">
        <v>2.8388835934265444E-3</v>
      </c>
      <c r="AA90" s="12">
        <v>-4.9393511469986162E-3</v>
      </c>
      <c r="AB90" s="12">
        <v>-8.9246166528309523E-3</v>
      </c>
      <c r="AC90" s="12">
        <v>-3.1799392675721849E-2</v>
      </c>
    </row>
    <row r="91" spans="12:29" x14ac:dyDescent="0.2">
      <c r="L91" s="11">
        <v>44327</v>
      </c>
      <c r="M91" s="10">
        <v>14.253669738769531</v>
      </c>
      <c r="N91" s="10">
        <v>49.371376037597656</v>
      </c>
      <c r="O91" s="10">
        <v>139.09515380859375</v>
      </c>
      <c r="P91" s="10">
        <v>122.62525939941406</v>
      </c>
      <c r="Q91" s="10">
        <v>385.87103271484375</v>
      </c>
      <c r="R91" s="10">
        <v>145.81382751464844</v>
      </c>
      <c r="S91" s="10">
        <v>119.72347259521484</v>
      </c>
      <c r="V91" s="11">
        <v>44328</v>
      </c>
      <c r="W91" s="12">
        <v>-2.4938439237919496E-2</v>
      </c>
      <c r="X91" s="12">
        <v>-4.0264523383342077E-3</v>
      </c>
      <c r="Y91" s="12">
        <v>-6.8749218384903665E-3</v>
      </c>
      <c r="Z91" s="12">
        <v>-3.8287358216776424E-2</v>
      </c>
      <c r="AA91" s="12">
        <v>-1.0584936206359807E-2</v>
      </c>
      <c r="AB91" s="12">
        <v>-2.1245198004274157E-2</v>
      </c>
      <c r="AC91" s="12">
        <v>5.3583528879088682E-3</v>
      </c>
    </row>
    <row r="92" spans="12:29" x14ac:dyDescent="0.2">
      <c r="L92" s="11">
        <v>44328</v>
      </c>
      <c r="M92" s="10">
        <v>13.707934379577637</v>
      </c>
      <c r="N92" s="10">
        <v>49.63592529296875</v>
      </c>
      <c r="O92" s="10">
        <v>138.13888549804688</v>
      </c>
      <c r="P92" s="10">
        <v>119.56717681884766</v>
      </c>
      <c r="Q92" s="10">
        <v>377.67312622070312</v>
      </c>
      <c r="R92" s="10">
        <v>145.22671508789062</v>
      </c>
      <c r="S92" s="10">
        <v>118.45620727539062</v>
      </c>
      <c r="V92" s="11">
        <v>44329</v>
      </c>
      <c r="W92" s="12">
        <v>1.7919642080616915E-2</v>
      </c>
      <c r="X92" s="12">
        <v>1.0463901635479056E-2</v>
      </c>
      <c r="Y92" s="12">
        <v>2.572221356954052E-2</v>
      </c>
      <c r="Z92" s="12">
        <v>-6.7776040745213262E-3</v>
      </c>
      <c r="AA92" s="12">
        <v>1.6084072101696822E-2</v>
      </c>
      <c r="AB92" s="12">
        <v>1.2012272866439577E-2</v>
      </c>
      <c r="AC92" s="12">
        <v>-1.2325158164614214E-2</v>
      </c>
    </row>
    <row r="93" spans="12:29" x14ac:dyDescent="0.2">
      <c r="L93" s="11">
        <v>44329</v>
      </c>
      <c r="M93" s="10">
        <v>13.61502742767334</v>
      </c>
      <c r="N93" s="10">
        <v>49.024154663085938</v>
      </c>
      <c r="O93" s="10">
        <v>141.69212341308594</v>
      </c>
      <c r="P93" s="10">
        <v>121.70977783203124</v>
      </c>
      <c r="Q93" s="10">
        <v>382.2098388671875</v>
      </c>
      <c r="R93" s="10">
        <v>146.74635314941406</v>
      </c>
      <c r="S93" s="10">
        <v>120.36146545410156</v>
      </c>
      <c r="V93" s="11">
        <v>44330</v>
      </c>
      <c r="W93" s="12">
        <v>1.9844673743902641E-2</v>
      </c>
      <c r="X93" s="12">
        <v>1.5296601317913439E-3</v>
      </c>
      <c r="Y93" s="12">
        <v>1.5541569050397275E-2</v>
      </c>
      <c r="Z93" s="12">
        <v>4.2278682336453377E-2</v>
      </c>
      <c r="AA93" s="12">
        <v>2.1055376584890872E-3</v>
      </c>
      <c r="AB93" s="12">
        <v>1.5355408051514807E-2</v>
      </c>
      <c r="AC93" s="12">
        <v>2.4789228992230239E-2</v>
      </c>
    </row>
    <row r="94" spans="12:29" x14ac:dyDescent="0.2">
      <c r="L94" s="11">
        <v>44330</v>
      </c>
      <c r="M94" s="10">
        <v>14.190652847290041</v>
      </c>
      <c r="N94" s="10">
        <v>50.239425659179688</v>
      </c>
      <c r="O94" s="10">
        <v>143.89424133300781</v>
      </c>
      <c r="P94" s="10">
        <v>124.12506866455078</v>
      </c>
      <c r="Q94" s="10">
        <v>388.07882690429688</v>
      </c>
      <c r="R94" s="10">
        <v>146.9708251953125</v>
      </c>
      <c r="S94" s="10">
        <v>120.61489105224609</v>
      </c>
      <c r="V94" s="11">
        <v>44333</v>
      </c>
      <c r="W94" s="12">
        <v>-9.258284350035284E-3</v>
      </c>
      <c r="X94" s="12">
        <v>9.985589521464E-4</v>
      </c>
      <c r="Y94" s="12">
        <v>4.0243883170472117E-3</v>
      </c>
      <c r="Z94" s="12">
        <v>-5.4414058945518873E-3</v>
      </c>
      <c r="AA94" s="12">
        <v>-2.0285611542874005E-3</v>
      </c>
      <c r="AB94" s="12">
        <v>-2.5445546742293157E-3</v>
      </c>
      <c r="AC94" s="12">
        <v>2.3366806469630408E-2</v>
      </c>
    </row>
    <row r="95" spans="12:29" x14ac:dyDescent="0.2">
      <c r="L95" s="11">
        <v>44333</v>
      </c>
      <c r="M95" s="10">
        <v>14.113435745239258</v>
      </c>
      <c r="N95" s="10">
        <v>51.413360595703125</v>
      </c>
      <c r="O95" s="10">
        <v>144.47332763671875</v>
      </c>
      <c r="P95" s="10">
        <v>122.97588348388672</v>
      </c>
      <c r="Q95" s="10">
        <v>387.09133911132812</v>
      </c>
      <c r="R95" s="10">
        <v>147.11758422851562</v>
      </c>
      <c r="S95" s="10">
        <v>120.37021636962891</v>
      </c>
      <c r="V95" s="11">
        <v>44334</v>
      </c>
      <c r="W95" s="12">
        <v>-1.1245947640302068E-2</v>
      </c>
      <c r="X95" s="12">
        <v>3.5222742358076431E-4</v>
      </c>
      <c r="Y95" s="12">
        <v>-1.4088838812513993E-2</v>
      </c>
      <c r="Z95" s="12">
        <v>-1.0571315243384505E-2</v>
      </c>
      <c r="AA95" s="12">
        <v>-1.0237453940552532E-2</v>
      </c>
      <c r="AB95" s="12">
        <v>-8.6157520740945959E-3</v>
      </c>
      <c r="AC95" s="12">
        <v>-2.8300517654935797E-2</v>
      </c>
    </row>
    <row r="96" spans="12:29" x14ac:dyDescent="0.2">
      <c r="L96" s="11">
        <v>44334</v>
      </c>
      <c r="M96" s="10">
        <v>13.964238166809082</v>
      </c>
      <c r="N96" s="10">
        <v>49.958335876464851</v>
      </c>
      <c r="O96" s="10">
        <v>142.4378662109375</v>
      </c>
      <c r="P96" s="10">
        <v>121.59290313720705</v>
      </c>
      <c r="Q96" s="10">
        <v>383.75625610351562</v>
      </c>
      <c r="R96" s="10">
        <v>147.16940307617188</v>
      </c>
      <c r="S96" s="10">
        <v>119.13793182373048</v>
      </c>
      <c r="V96" s="11">
        <v>44335</v>
      </c>
      <c r="W96" s="12">
        <v>-1.2813864222107618E-3</v>
      </c>
      <c r="X96" s="12">
        <v>-2.1708895919436699E-3</v>
      </c>
      <c r="Y96" s="12">
        <v>-7.6376503940949192E-3</v>
      </c>
      <c r="Z96" s="12">
        <v>3.5672028773647835E-3</v>
      </c>
      <c r="AA96" s="12">
        <v>2.0537733723104967E-3</v>
      </c>
      <c r="AB96" s="12">
        <v>-2.6217253780838057E-3</v>
      </c>
      <c r="AC96" s="12">
        <v>-2.3994527300046808E-2</v>
      </c>
    </row>
    <row r="97" spans="12:29" x14ac:dyDescent="0.2">
      <c r="L97" s="11">
        <v>44335</v>
      </c>
      <c r="M97" s="10">
        <v>14.01405143737793</v>
      </c>
      <c r="N97" s="10">
        <v>48.759609222412109</v>
      </c>
      <c r="O97" s="10">
        <v>141.3499755859375</v>
      </c>
      <c r="P97" s="10">
        <v>121.43709564208984</v>
      </c>
      <c r="Q97" s="10">
        <v>382.75015258789062</v>
      </c>
      <c r="R97" s="10">
        <v>146.84991455078125</v>
      </c>
      <c r="S97" s="10">
        <v>119.3826141357422</v>
      </c>
      <c r="V97" s="11">
        <v>44336</v>
      </c>
      <c r="W97" s="12">
        <v>2.1011932962505364E-2</v>
      </c>
      <c r="X97" s="12">
        <v>5.8212028400794757E-3</v>
      </c>
      <c r="Y97" s="12">
        <v>-1.738001742751516E-3</v>
      </c>
      <c r="Z97" s="12">
        <v>3.8871238651936535E-2</v>
      </c>
      <c r="AA97" s="12">
        <v>1.0249098303023896E-2</v>
      </c>
      <c r="AB97" s="12">
        <v>1.0757970227453395E-2</v>
      </c>
      <c r="AC97" s="12">
        <v>-2.3738779078987804E-3</v>
      </c>
    </row>
    <row r="98" spans="12:29" x14ac:dyDescent="0.2">
      <c r="L98" s="11">
        <v>44336</v>
      </c>
      <c r="M98" s="10">
        <v>14.558794975280762</v>
      </c>
      <c r="N98" s="10">
        <v>48.64385986328125</v>
      </c>
      <c r="O98" s="10">
        <v>141.10430908203125</v>
      </c>
      <c r="P98" s="10">
        <v>123.9887237548828</v>
      </c>
      <c r="Q98" s="10">
        <v>386.86776733398438</v>
      </c>
      <c r="R98" s="10">
        <v>147.70475769042969</v>
      </c>
      <c r="S98" s="10">
        <v>120.60617828369141</v>
      </c>
      <c r="V98" s="11">
        <v>44337</v>
      </c>
      <c r="W98" s="12">
        <v>-1.476711308837042E-2</v>
      </c>
      <c r="X98" s="12">
        <v>-6.4307990750811506E-4</v>
      </c>
      <c r="Y98" s="12">
        <v>1.1378426742530756E-2</v>
      </c>
      <c r="Z98" s="12">
        <v>2.5953748338710447E-2</v>
      </c>
      <c r="AA98" s="12">
        <v>0</v>
      </c>
      <c r="AB98" s="12">
        <v>-8.1873438446977698E-4</v>
      </c>
      <c r="AC98" s="12">
        <v>1.3596622755123189E-3</v>
      </c>
    </row>
    <row r="99" spans="12:29" x14ac:dyDescent="0.2">
      <c r="L99" s="11">
        <v>44337</v>
      </c>
      <c r="M99" s="10">
        <v>14.936650276184082</v>
      </c>
      <c r="N99" s="10">
        <v>48.709999084472656</v>
      </c>
      <c r="O99" s="10">
        <v>142.70985412597656</v>
      </c>
      <c r="P99" s="10">
        <v>122.15776824951172</v>
      </c>
      <c r="Q99" s="10">
        <v>386.551025390625</v>
      </c>
      <c r="R99" s="10">
        <v>147.60977172851562</v>
      </c>
      <c r="S99" s="10">
        <v>120.60617828369141</v>
      </c>
      <c r="V99" s="11">
        <v>44340</v>
      </c>
      <c r="W99" s="12">
        <v>1.3314336110322955E-2</v>
      </c>
      <c r="X99" s="12">
        <v>3.825608962146454E-3</v>
      </c>
      <c r="Y99" s="12">
        <v>5.4100273153026013E-3</v>
      </c>
      <c r="Z99" s="12">
        <v>4.1372761307741035E-2</v>
      </c>
      <c r="AA99" s="12">
        <v>-2.8985153364169403E-4</v>
      </c>
      <c r="AB99" s="12">
        <v>1.0194446707631366E-2</v>
      </c>
      <c r="AC99" s="12">
        <v>1.17110660054629E-2</v>
      </c>
    </row>
    <row r="100" spans="12:29" x14ac:dyDescent="0.2">
      <c r="L100" s="11">
        <v>44340</v>
      </c>
      <c r="M100" s="10">
        <v>15.554620742797852</v>
      </c>
      <c r="N100" s="10">
        <v>49.280445098876953</v>
      </c>
      <c r="O100" s="10">
        <v>143.48191833496094</v>
      </c>
      <c r="P100" s="10">
        <v>123.78421783447266</v>
      </c>
      <c r="Q100" s="10">
        <v>390.49169921875</v>
      </c>
      <c r="R100" s="10">
        <v>148.17446899414062</v>
      </c>
      <c r="S100" s="10">
        <v>120.57122039794922</v>
      </c>
      <c r="V100" s="11">
        <v>44341</v>
      </c>
      <c r="W100" s="12">
        <v>-1.5736553866048109E-3</v>
      </c>
      <c r="X100" s="12">
        <v>-2.7560144095798433E-3</v>
      </c>
      <c r="Y100" s="12">
        <v>-1.0333894807008304E-2</v>
      </c>
      <c r="Z100" s="12">
        <v>2.2899777697418244E-3</v>
      </c>
      <c r="AA100" s="12">
        <v>3.4065215001906068E-3</v>
      </c>
      <c r="AB100" s="12">
        <v>-2.218804041879241E-3</v>
      </c>
      <c r="AC100" s="12">
        <v>-2.2647238205024678E-2</v>
      </c>
    </row>
    <row r="101" spans="12:29" x14ac:dyDescent="0.2">
      <c r="L101" s="11">
        <v>44341</v>
      </c>
      <c r="M101" s="10">
        <v>15.590240478515623</v>
      </c>
      <c r="N101" s="10">
        <v>48.164379119873047</v>
      </c>
      <c r="O101" s="10">
        <v>141.99919128417969</v>
      </c>
      <c r="P101" s="10">
        <v>123.58942413330078</v>
      </c>
      <c r="Q101" s="10">
        <v>389.62527465820312</v>
      </c>
      <c r="R101" s="10">
        <v>147.76609802246094</v>
      </c>
      <c r="S101" s="10">
        <v>120.98194885253906</v>
      </c>
      <c r="V101" s="11">
        <v>44342</v>
      </c>
      <c r="W101" s="12">
        <v>-3.9384872492709277E-4</v>
      </c>
      <c r="X101" s="12">
        <v>-5.9381460076565196E-3</v>
      </c>
      <c r="Y101" s="12">
        <v>-1.2346794706541431E-4</v>
      </c>
      <c r="Z101" s="12">
        <v>3.3389708746607294E-3</v>
      </c>
      <c r="AA101" s="12">
        <v>-2.2390253703234997E-3</v>
      </c>
      <c r="AB101" s="12">
        <v>1.9845321318834319E-3</v>
      </c>
      <c r="AC101" s="12">
        <v>1.1671785599924211E-2</v>
      </c>
    </row>
    <row r="102" spans="12:29" x14ac:dyDescent="0.2">
      <c r="L102" s="11">
        <v>44342</v>
      </c>
      <c r="M102" s="10">
        <v>15.642295837402344</v>
      </c>
      <c r="N102" s="10">
        <v>48.726543426513672</v>
      </c>
      <c r="O102" s="10">
        <v>141.98165893554688</v>
      </c>
      <c r="P102" s="10">
        <v>123.54074859619141</v>
      </c>
      <c r="Q102" s="10">
        <v>390.39849853515625</v>
      </c>
      <c r="R102" s="10">
        <v>146.88864135742188</v>
      </c>
      <c r="S102" s="10">
        <v>120.71106719970705</v>
      </c>
      <c r="V102" s="11">
        <v>44343</v>
      </c>
      <c r="W102" s="12">
        <v>-1.2376971818160665E-2</v>
      </c>
      <c r="X102" s="12">
        <v>-1.5378392174763E-3</v>
      </c>
      <c r="Y102" s="12">
        <v>1.5571671300421031E-2</v>
      </c>
      <c r="Z102" s="12">
        <v>-1.3503058382152155E-2</v>
      </c>
      <c r="AA102" s="12">
        <v>-2.2733890449284755E-2</v>
      </c>
      <c r="AB102" s="12">
        <v>5.2507008360636043E-4</v>
      </c>
      <c r="AC102" s="12">
        <v>-6.4472409045348567E-3</v>
      </c>
    </row>
    <row r="103" spans="12:29" x14ac:dyDescent="0.2">
      <c r="L103" s="11">
        <v>44343</v>
      </c>
      <c r="M103" s="10">
        <v>15.431077003479004</v>
      </c>
      <c r="N103" s="10">
        <v>48.412391662597656</v>
      </c>
      <c r="O103" s="10">
        <v>144.19255065917969</v>
      </c>
      <c r="P103" s="10">
        <v>122.01168823242188</v>
      </c>
      <c r="Q103" s="10">
        <v>390.60348510742188</v>
      </c>
      <c r="R103" s="10">
        <v>146.66275024414062</v>
      </c>
      <c r="S103" s="10">
        <v>117.96683502197266</v>
      </c>
      <c r="V103" s="11">
        <v>44344</v>
      </c>
      <c r="W103" s="12">
        <v>-5.3479433497936046E-3</v>
      </c>
      <c r="X103" s="12">
        <v>2.6063054468048463E-3</v>
      </c>
      <c r="Y103" s="12">
        <v>-6.6900865552432798E-4</v>
      </c>
      <c r="Z103" s="12">
        <v>4.8844308361520872E-2</v>
      </c>
      <c r="AA103" s="12">
        <v>-9.631261476008568E-4</v>
      </c>
      <c r="AB103" s="12">
        <v>1.7888485264228038E-3</v>
      </c>
      <c r="AC103" s="12">
        <v>-3.2445781733191348E-3</v>
      </c>
    </row>
    <row r="104" spans="12:29" x14ac:dyDescent="0.2">
      <c r="L104" s="11">
        <v>44344</v>
      </c>
      <c r="M104" s="10">
        <v>16.184797286987305</v>
      </c>
      <c r="N104" s="10">
        <v>48.255313873291016</v>
      </c>
      <c r="O104" s="10">
        <v>144.09608459472656</v>
      </c>
      <c r="P104" s="10">
        <v>121.3591766357422</v>
      </c>
      <c r="Q104" s="10">
        <v>391.30221557617188</v>
      </c>
      <c r="R104" s="10">
        <v>147.04499816894531</v>
      </c>
      <c r="S104" s="10">
        <v>117.85321807861328</v>
      </c>
      <c r="V104" s="11">
        <v>44348</v>
      </c>
      <c r="W104" s="12">
        <v>-2.6481772878125254E-3</v>
      </c>
      <c r="X104" s="12">
        <v>-2.1979214757354204E-2</v>
      </c>
      <c r="Y104" s="12">
        <v>1.1020300670907313E-2</v>
      </c>
      <c r="Z104" s="12">
        <v>1.2313954577782837E-3</v>
      </c>
      <c r="AA104" s="12">
        <v>-1.4609001455727744E-2</v>
      </c>
      <c r="AB104" s="12">
        <v>-8.8112866202039175E-4</v>
      </c>
      <c r="AC104" s="12">
        <v>3.5806141753086163E-2</v>
      </c>
    </row>
    <row r="105" spans="12:29" x14ac:dyDescent="0.2">
      <c r="L105" s="11">
        <v>44348</v>
      </c>
      <c r="M105" s="10">
        <v>16.204727172851562</v>
      </c>
      <c r="N105" s="10">
        <v>49.983150482177734</v>
      </c>
      <c r="O105" s="10">
        <v>145.68406677246094</v>
      </c>
      <c r="P105" s="10">
        <v>121.0377960205078</v>
      </c>
      <c r="Q105" s="10">
        <v>390.95742797851562</v>
      </c>
      <c r="R105" s="10">
        <v>143.81306457519531</v>
      </c>
      <c r="S105" s="10">
        <v>116.13150024414062</v>
      </c>
      <c r="V105" s="11">
        <v>44349</v>
      </c>
      <c r="W105" s="12">
        <v>6.2760224514024632E-3</v>
      </c>
      <c r="X105" s="12">
        <v>4.0477741327180627E-3</v>
      </c>
      <c r="Y105" s="12">
        <v>6.0120129235174957E-5</v>
      </c>
      <c r="Z105" s="12">
        <v>3.1586954904599285E-2</v>
      </c>
      <c r="AA105" s="12">
        <v>4.3648533911180287E-3</v>
      </c>
      <c r="AB105" s="12">
        <v>1.5727240872278614E-3</v>
      </c>
      <c r="AC105" s="12">
        <v>7.9390004398300906E-3</v>
      </c>
    </row>
    <row r="106" spans="12:29" x14ac:dyDescent="0.2">
      <c r="L106" s="11">
        <v>44349</v>
      </c>
      <c r="M106" s="10">
        <v>16.716585159301758</v>
      </c>
      <c r="N106" s="10">
        <v>50.379966735839837</v>
      </c>
      <c r="O106" s="10">
        <v>145.69282531738281</v>
      </c>
      <c r="P106" s="10">
        <v>121.79743194580078</v>
      </c>
      <c r="Q106" s="10">
        <v>391.57229614257812</v>
      </c>
      <c r="R106" s="10">
        <v>144.39518737792969</v>
      </c>
      <c r="S106" s="10">
        <v>116.63839721679688</v>
      </c>
      <c r="V106" s="11">
        <v>44350</v>
      </c>
      <c r="W106" s="12">
        <v>-1.2154232527174846E-2</v>
      </c>
      <c r="X106" s="12">
        <v>-9.6247702783547329E-4</v>
      </c>
      <c r="Y106" s="12">
        <v>6.6253845650332543E-4</v>
      </c>
      <c r="Z106" s="12">
        <v>1.1413226719060976E-2</v>
      </c>
      <c r="AA106" s="12">
        <v>1.790806505587228E-2</v>
      </c>
      <c r="AB106" s="12">
        <v>-3.7113122777800989E-3</v>
      </c>
      <c r="AC106" s="12">
        <v>3.9382724331682439E-3</v>
      </c>
    </row>
    <row r="107" spans="12:29" x14ac:dyDescent="0.2">
      <c r="L107" s="11">
        <v>44350</v>
      </c>
      <c r="M107" s="10">
        <v>16.907375335693359</v>
      </c>
      <c r="N107" s="10">
        <v>50.578376770019531</v>
      </c>
      <c r="O107" s="10">
        <v>145.78935241699219</v>
      </c>
      <c r="P107" s="10">
        <v>120.31707763671876</v>
      </c>
      <c r="Q107" s="10">
        <v>390.11904907226562</v>
      </c>
      <c r="R107" s="10">
        <v>144.25621032714844</v>
      </c>
      <c r="S107" s="10">
        <v>118.72716522216795</v>
      </c>
      <c r="V107" s="11">
        <v>44351</v>
      </c>
      <c r="W107" s="12">
        <v>1.9022206439994083E-2</v>
      </c>
      <c r="X107" s="12">
        <v>-4.2204469548523527E-4</v>
      </c>
      <c r="Y107" s="12">
        <v>1.6243738127914575E-3</v>
      </c>
      <c r="Z107" s="12">
        <v>3.585819306898852E-2</v>
      </c>
      <c r="AA107" s="12">
        <v>7.3609703551791306E-4</v>
      </c>
      <c r="AB107" s="12">
        <v>9.1456739162387723E-3</v>
      </c>
      <c r="AC107" s="12">
        <v>4.4132139079064991E-3</v>
      </c>
    </row>
    <row r="108" spans="12:29" x14ac:dyDescent="0.2">
      <c r="L108" s="11">
        <v>44351</v>
      </c>
      <c r="M108" s="10">
        <v>17.513643264770508</v>
      </c>
      <c r="N108" s="10">
        <v>50.801589965820312</v>
      </c>
      <c r="O108" s="10">
        <v>146.02616882324219</v>
      </c>
      <c r="P108" s="10">
        <v>122.60577392578124</v>
      </c>
      <c r="Q108" s="10">
        <v>393.68695068359375</v>
      </c>
      <c r="R108" s="10">
        <v>144.19532775878906</v>
      </c>
      <c r="S108" s="10">
        <v>118.81455993652344</v>
      </c>
      <c r="V108" s="11">
        <v>44354</v>
      </c>
      <c r="W108" s="12">
        <v>7.9463931464740512E-5</v>
      </c>
      <c r="X108" s="12">
        <v>-6.8081589547496213E-3</v>
      </c>
      <c r="Y108" s="12">
        <v>-4.6859076166479996E-3</v>
      </c>
      <c r="Z108" s="12">
        <v>2.3180736889325537E-3</v>
      </c>
      <c r="AA108" s="12">
        <v>3.4572718291134841E-3</v>
      </c>
      <c r="AB108" s="12">
        <v>-9.700524032943969E-4</v>
      </c>
      <c r="AC108" s="12">
        <v>-6.509336855159864E-3</v>
      </c>
    </row>
    <row r="109" spans="12:29" x14ac:dyDescent="0.2">
      <c r="L109" s="11">
        <v>44354</v>
      </c>
      <c r="M109" s="10">
        <v>17.554241180419922</v>
      </c>
      <c r="N109" s="10">
        <v>50.470905303955078</v>
      </c>
      <c r="O109" s="10">
        <v>145.34190368652344</v>
      </c>
      <c r="P109" s="10">
        <v>122.61551666259766</v>
      </c>
      <c r="Q109" s="10">
        <v>393.3050537109375</v>
      </c>
      <c r="R109" s="10">
        <v>143.213623046875</v>
      </c>
      <c r="S109" s="10">
        <v>119.22533416748048</v>
      </c>
      <c r="V109" s="11">
        <v>44355</v>
      </c>
      <c r="W109" s="12">
        <v>6.6718887598333776E-3</v>
      </c>
      <c r="X109" s="12">
        <v>-8.796622247073449E-3</v>
      </c>
      <c r="Y109" s="12">
        <v>-3.983988874899036E-3</v>
      </c>
      <c r="Z109" s="12">
        <v>-9.1944588773940072E-3</v>
      </c>
      <c r="AA109" s="12">
        <v>-1.1582121139151802E-2</v>
      </c>
      <c r="AB109" s="12">
        <v>2.1299180156142405E-4</v>
      </c>
      <c r="AC109" s="12">
        <v>1.7690445174819436E-2</v>
      </c>
    </row>
    <row r="110" spans="12:29" x14ac:dyDescent="0.2">
      <c r="L110" s="11">
        <v>44355</v>
      </c>
      <c r="M110" s="10">
        <v>17.392839431762695</v>
      </c>
      <c r="N110" s="10">
        <v>51.363758087158203</v>
      </c>
      <c r="O110" s="10">
        <v>144.76286315917969</v>
      </c>
      <c r="P110" s="10">
        <v>123.43359375</v>
      </c>
      <c r="Q110" s="10">
        <v>393.38882446289062</v>
      </c>
      <c r="R110" s="10">
        <v>141.95382690429688</v>
      </c>
      <c r="S110" s="10">
        <v>117.84445190429688</v>
      </c>
      <c r="V110" s="11">
        <v>44356</v>
      </c>
      <c r="W110" s="12">
        <v>3.0771963709295136E-3</v>
      </c>
      <c r="X110" s="12">
        <v>1.3464886812827537E-2</v>
      </c>
      <c r="Y110" s="12">
        <v>-1.2484849289762567E-2</v>
      </c>
      <c r="Z110" s="12">
        <v>-5.428640892164438E-3</v>
      </c>
      <c r="AA110" s="12">
        <v>-3.7070827162410946E-4</v>
      </c>
      <c r="AB110" s="12">
        <v>-1.4917111856617149E-3</v>
      </c>
      <c r="AC110" s="12">
        <v>8.3694394699147523E-3</v>
      </c>
    </row>
    <row r="111" spans="12:29" x14ac:dyDescent="0.2">
      <c r="L111" s="11">
        <v>44356</v>
      </c>
      <c r="M111" s="10">
        <v>17.298419952392578</v>
      </c>
      <c r="N111" s="10">
        <v>51.793643951416016</v>
      </c>
      <c r="O111" s="10">
        <v>142.95552062988281</v>
      </c>
      <c r="P111" s="10">
        <v>123.81342315673828</v>
      </c>
      <c r="Q111" s="10">
        <v>392.802001953125</v>
      </c>
      <c r="R111" s="10">
        <v>143.86521911621094</v>
      </c>
      <c r="S111" s="10">
        <v>117.80076599121094</v>
      </c>
      <c r="V111" s="11">
        <v>44357</v>
      </c>
      <c r="W111" s="12">
        <v>-8.0231824645485839E-3</v>
      </c>
      <c r="X111" s="12">
        <v>8.9979679373413113E-3</v>
      </c>
      <c r="Y111" s="12">
        <v>-1.5588447231872249E-2</v>
      </c>
      <c r="Z111" s="12">
        <v>3.8452573358587205E-3</v>
      </c>
      <c r="AA111" s="12">
        <v>7.4189226665506425E-3</v>
      </c>
      <c r="AB111" s="12">
        <v>4.6482354279306914E-3</v>
      </c>
      <c r="AC111" s="12">
        <v>1.5962563652682782E-3</v>
      </c>
    </row>
    <row r="112" spans="12:29" x14ac:dyDescent="0.2">
      <c r="L112" s="11">
        <v>44357</v>
      </c>
      <c r="M112" s="10">
        <v>17.364936828613281</v>
      </c>
      <c r="N112" s="10">
        <v>51.876319885253906</v>
      </c>
      <c r="O112" s="10">
        <v>140.72706604003906</v>
      </c>
      <c r="P112" s="10">
        <v>122.82004547119141</v>
      </c>
      <c r="Q112" s="10">
        <v>394.62783813476562</v>
      </c>
      <c r="R112" s="10">
        <v>145.15971374511719</v>
      </c>
      <c r="S112" s="10">
        <v>118.67472076416016</v>
      </c>
      <c r="V112" s="11">
        <v>44358</v>
      </c>
      <c r="W112" s="12">
        <v>9.8326720717611948E-3</v>
      </c>
      <c r="X112" s="12">
        <v>-1.2688702534702667E-2</v>
      </c>
      <c r="Y112" s="12">
        <v>-6.8624237464798288E-4</v>
      </c>
      <c r="Z112" s="12">
        <v>2.2969767453099754E-2</v>
      </c>
      <c r="AA112" s="12">
        <v>-6.8487598114371773E-3</v>
      </c>
      <c r="AB112" s="12">
        <v>1.6526739856772554E-3</v>
      </c>
      <c r="AC112" s="12">
        <v>-9.2430612514123878E-3</v>
      </c>
    </row>
    <row r="113" spans="12:29" x14ac:dyDescent="0.2">
      <c r="L113" s="11">
        <v>44358</v>
      </c>
      <c r="M113" s="10">
        <v>17.763805389404297</v>
      </c>
      <c r="N113" s="10">
        <v>51.396823883056641</v>
      </c>
      <c r="O113" s="10">
        <v>140.6304931640625</v>
      </c>
      <c r="P113" s="10">
        <v>124.02769470214844</v>
      </c>
      <c r="Q113" s="10">
        <v>395.280029296875</v>
      </c>
      <c r="R113" s="10">
        <v>143.31782531738281</v>
      </c>
      <c r="S113" s="10">
        <v>117.86194610595705</v>
      </c>
      <c r="V113" s="11">
        <v>44361</v>
      </c>
      <c r="W113" s="12">
        <v>2.4577958015466583E-2</v>
      </c>
      <c r="X113" s="12">
        <v>2.4856062995948225E-3</v>
      </c>
      <c r="Y113" s="12">
        <v>-1.6969063708448862E-2</v>
      </c>
      <c r="Z113" s="12">
        <v>1.0855707130087433E-2</v>
      </c>
      <c r="AA113" s="12">
        <v>3.7078271078017089E-4</v>
      </c>
      <c r="AB113" s="12">
        <v>2.2387893768447409E-3</v>
      </c>
      <c r="AC113" s="12">
        <v>-1.6085063802527833E-3</v>
      </c>
    </row>
    <row r="114" spans="12:29" x14ac:dyDescent="0.2">
      <c r="L114" s="11">
        <v>44361</v>
      </c>
      <c r="M114" s="10">
        <v>17.956644058227539</v>
      </c>
      <c r="N114" s="10">
        <v>51.314151763916016</v>
      </c>
      <c r="O114" s="10">
        <v>138.24412536621094</v>
      </c>
      <c r="P114" s="10">
        <v>127.07604217529295</v>
      </c>
      <c r="Q114" s="10">
        <v>396.16497802734375</v>
      </c>
      <c r="R114" s="10">
        <v>143.67405700683594</v>
      </c>
      <c r="S114" s="10">
        <v>117.90564727783205</v>
      </c>
      <c r="V114" s="11">
        <v>44362</v>
      </c>
      <c r="W114" s="12">
        <v>-6.4378773652502552E-3</v>
      </c>
      <c r="X114" s="12">
        <v>-5.3213617120883017E-3</v>
      </c>
      <c r="Y114" s="12">
        <v>-1.5167825666473234E-2</v>
      </c>
      <c r="Z114" s="12">
        <v>-1.2778756237882383E-2</v>
      </c>
      <c r="AA114" s="12">
        <v>-1.9273166413972254E-3</v>
      </c>
      <c r="AB114" s="12">
        <v>-1.8341437922513304E-3</v>
      </c>
      <c r="AC114" s="12">
        <v>3.6410722007788276E-2</v>
      </c>
    </row>
    <row r="115" spans="12:29" x14ac:dyDescent="0.2">
      <c r="L115" s="11">
        <v>44362</v>
      </c>
      <c r="M115" s="10">
        <v>17.727180480957031</v>
      </c>
      <c r="N115" s="10">
        <v>53.182537078857422</v>
      </c>
      <c r="O115" s="10">
        <v>136.14726257324219</v>
      </c>
      <c r="P115" s="10">
        <v>126.25794219970705</v>
      </c>
      <c r="Q115" s="10">
        <v>395.4383544921875</v>
      </c>
      <c r="R115" s="10">
        <v>142.90951538085938</v>
      </c>
      <c r="S115" s="10">
        <v>117.67840576171876</v>
      </c>
      <c r="V115" s="11">
        <v>44363</v>
      </c>
      <c r="W115" s="12">
        <v>3.9338007204232639E-3</v>
      </c>
      <c r="X115" s="12">
        <v>-3.6484122199709201E-4</v>
      </c>
      <c r="Y115" s="12">
        <v>7.0241154235444192E-3</v>
      </c>
      <c r="Z115" s="12">
        <v>1.2227048676221042E-3</v>
      </c>
      <c r="AA115" s="12">
        <v>-1.3887657069889037E-2</v>
      </c>
      <c r="AB115" s="12">
        <v>-5.5833879468338843E-3</v>
      </c>
      <c r="AC115" s="12">
        <v>-3.5755163206094842E-3</v>
      </c>
    </row>
    <row r="116" spans="12:29" x14ac:dyDescent="0.2">
      <c r="L116" s="11">
        <v>44363</v>
      </c>
      <c r="M116" s="10">
        <v>17.748855590820312</v>
      </c>
      <c r="N116" s="10">
        <v>52.992382049560547</v>
      </c>
      <c r="O116" s="10">
        <v>137.10357666015625</v>
      </c>
      <c r="P116" s="10">
        <v>126.75461578369141</v>
      </c>
      <c r="Q116" s="10">
        <v>393.23046875</v>
      </c>
      <c r="R116" s="10">
        <v>142.85737609863281</v>
      </c>
      <c r="S116" s="10">
        <v>116.04412841796876</v>
      </c>
      <c r="V116" s="11">
        <v>44364</v>
      </c>
      <c r="W116" s="12">
        <v>1.2601133948570098E-2</v>
      </c>
      <c r="X116" s="12">
        <v>4.8046949142097617E-3</v>
      </c>
      <c r="Y116" s="12">
        <v>-2.8860395182310539E-2</v>
      </c>
      <c r="Z116" s="12">
        <v>4.7556974833840693E-2</v>
      </c>
      <c r="AA116" s="12">
        <v>9.1127390313932022E-3</v>
      </c>
      <c r="AB116" s="12">
        <v>-3.3169385200715329E-4</v>
      </c>
      <c r="AC116" s="12">
        <v>-3.2917147621572274E-2</v>
      </c>
    </row>
    <row r="117" spans="12:29" x14ac:dyDescent="0.2">
      <c r="L117" s="11">
        <v>44364</v>
      </c>
      <c r="M117" s="10">
        <v>18.592937469482425</v>
      </c>
      <c r="N117" s="10">
        <v>51.248023986816406</v>
      </c>
      <c r="O117" s="10">
        <v>133.14671325683594</v>
      </c>
      <c r="P117" s="10">
        <v>128.35186767578125</v>
      </c>
      <c r="Q117" s="10">
        <v>393.10003662109375</v>
      </c>
      <c r="R117" s="10">
        <v>143.54376220703125</v>
      </c>
      <c r="S117" s="10">
        <v>117.1016082763672</v>
      </c>
      <c r="V117" s="11">
        <v>44365</v>
      </c>
      <c r="W117" s="12">
        <v>-1.0092053086260711E-2</v>
      </c>
      <c r="X117" s="12">
        <v>-1.9610442291313812E-2</v>
      </c>
      <c r="Y117" s="12">
        <v>-2.5303054595037344E-2</v>
      </c>
      <c r="Z117" s="12">
        <v>-9.9158252508668721E-4</v>
      </c>
      <c r="AA117" s="12">
        <v>-1.4627974071099836E-2</v>
      </c>
      <c r="AB117" s="12">
        <v>-1.3490305410204795E-2</v>
      </c>
      <c r="AC117" s="12">
        <v>-2.5649375831915178E-2</v>
      </c>
    </row>
    <row r="118" spans="12:29" x14ac:dyDescent="0.2">
      <c r="L118" s="11">
        <v>44365</v>
      </c>
      <c r="M118" s="10">
        <v>18.574501037597656</v>
      </c>
      <c r="N118" s="10">
        <v>49.933544158935547</v>
      </c>
      <c r="O118" s="10">
        <v>129.77769470214844</v>
      </c>
      <c r="P118" s="10">
        <v>127.05653381347656</v>
      </c>
      <c r="Q118" s="10">
        <v>387.7969970703125</v>
      </c>
      <c r="R118" s="10">
        <v>140.72880554199219</v>
      </c>
      <c r="S118" s="10">
        <v>115.38864898681641</v>
      </c>
      <c r="V118" s="11">
        <v>44368</v>
      </c>
      <c r="W118" s="12">
        <v>1.4104016476002679E-2</v>
      </c>
      <c r="X118" s="12">
        <v>1.1482843122638586E-2</v>
      </c>
      <c r="Y118" s="12">
        <v>1.6968620397781908E-2</v>
      </c>
      <c r="Z118" s="12">
        <v>-1.1347257882926787E-2</v>
      </c>
      <c r="AA118" s="12">
        <v>7.8769676798560173E-3</v>
      </c>
      <c r="AB118" s="12">
        <v>1.4315829632844945E-2</v>
      </c>
      <c r="AC118" s="12">
        <v>3.6258213373961512E-2</v>
      </c>
    </row>
    <row r="119" spans="12:29" x14ac:dyDescent="0.2">
      <c r="L119" s="11">
        <v>44368</v>
      </c>
      <c r="M119" s="10">
        <v>18.363731384277344</v>
      </c>
      <c r="N119" s="10">
        <v>51.744045257568359</v>
      </c>
      <c r="O119" s="10">
        <v>131.97984313964844</v>
      </c>
      <c r="P119" s="10">
        <v>128.84854125976562</v>
      </c>
      <c r="Q119" s="10">
        <v>393.3486328125</v>
      </c>
      <c r="R119" s="10">
        <v>142.34477233886719</v>
      </c>
      <c r="S119" s="10">
        <v>116.2975616455078</v>
      </c>
      <c r="V119" s="11">
        <v>44369</v>
      </c>
      <c r="W119" s="12">
        <v>1.2698274724787906E-2</v>
      </c>
      <c r="X119" s="12">
        <v>-1.3423082105590289E-3</v>
      </c>
      <c r="Y119" s="12">
        <v>-1.4622927219143378E-3</v>
      </c>
      <c r="Z119" s="12">
        <v>2.4935801054520423E-2</v>
      </c>
      <c r="AA119" s="12">
        <v>3.7550790987328497E-4</v>
      </c>
      <c r="AB119" s="12">
        <v>5.3463165578007121E-3</v>
      </c>
      <c r="AC119" s="12">
        <v>1.9172552604831195E-2</v>
      </c>
    </row>
    <row r="120" spans="12:29" x14ac:dyDescent="0.2">
      <c r="L120" s="11">
        <v>44369</v>
      </c>
      <c r="M120" s="10">
        <v>18.821645736694336</v>
      </c>
      <c r="N120" s="10">
        <v>52.736110687255859</v>
      </c>
      <c r="O120" s="10">
        <v>131.78684997558594</v>
      </c>
      <c r="P120" s="10">
        <v>130.48469543457031</v>
      </c>
      <c r="Q120" s="10">
        <v>395.45159912109375</v>
      </c>
      <c r="R120" s="10">
        <v>142.15370178222656</v>
      </c>
      <c r="S120" s="10">
        <v>116.34123229980467</v>
      </c>
      <c r="V120" s="11">
        <v>44370</v>
      </c>
      <c r="W120" s="12">
        <v>-2.0899391857165384E-3</v>
      </c>
      <c r="X120" s="12">
        <v>-6.0507600482386792E-3</v>
      </c>
      <c r="Y120" s="12">
        <v>6.0580426763066075E-3</v>
      </c>
      <c r="Z120" s="12">
        <v>9.0274963536041142E-3</v>
      </c>
      <c r="AA120" s="12">
        <v>-1.4271682524017448E-3</v>
      </c>
      <c r="AB120" s="12">
        <v>-1.2051867248416004E-3</v>
      </c>
      <c r="AC120" s="12">
        <v>7.3676683818639788E-3</v>
      </c>
    </row>
    <row r="121" spans="12:29" x14ac:dyDescent="0.2">
      <c r="L121" s="11">
        <v>44370</v>
      </c>
      <c r="M121" s="10">
        <v>18.991558074951172</v>
      </c>
      <c r="N121" s="10">
        <v>53.124652862548828</v>
      </c>
      <c r="O121" s="10">
        <v>132.58522033691406</v>
      </c>
      <c r="P121" s="10">
        <v>130.21199035644531</v>
      </c>
      <c r="Q121" s="10">
        <v>394.97500610351562</v>
      </c>
      <c r="R121" s="10">
        <v>141.29356384277344</v>
      </c>
      <c r="S121" s="10">
        <v>116.17519378662109</v>
      </c>
      <c r="V121" s="11">
        <v>44371</v>
      </c>
      <c r="W121" s="12">
        <v>-2.168845335945413E-3</v>
      </c>
      <c r="X121" s="12">
        <v>4.5498749165076013E-3</v>
      </c>
      <c r="Y121" s="12">
        <v>9.1980704571990035E-3</v>
      </c>
      <c r="Z121" s="12">
        <v>7.7795161336002838E-3</v>
      </c>
      <c r="AA121" s="12">
        <v>6.7726976160931152E-4</v>
      </c>
      <c r="AB121" s="12">
        <v>5.9156080710889292E-3</v>
      </c>
      <c r="AC121" s="12">
        <v>4.0460110428397478E-3</v>
      </c>
    </row>
    <row r="122" spans="12:29" x14ac:dyDescent="0.2">
      <c r="L122" s="11">
        <v>44371</v>
      </c>
      <c r="M122" s="10">
        <v>19.139303207397461</v>
      </c>
      <c r="N122" s="10">
        <v>53.339595794677734</v>
      </c>
      <c r="O122" s="10">
        <v>133.80474853515625</v>
      </c>
      <c r="P122" s="10">
        <v>129.92958068847656</v>
      </c>
      <c r="Q122" s="10">
        <v>397.3115234375</v>
      </c>
      <c r="R122" s="10">
        <v>141.93643188476562</v>
      </c>
      <c r="S122" s="10">
        <v>116.25387573242188</v>
      </c>
      <c r="V122" s="11">
        <v>44372</v>
      </c>
      <c r="W122" s="12">
        <v>-2.2489552340470009E-3</v>
      </c>
      <c r="X122" s="12">
        <v>5.1420423210368771E-3</v>
      </c>
      <c r="Y122" s="12">
        <v>1.0097698399412103E-2</v>
      </c>
      <c r="Z122" s="12">
        <v>-9.0860467783816512E-3</v>
      </c>
      <c r="AA122" s="12">
        <v>1.4283522343503829E-2</v>
      </c>
      <c r="AB122" s="12">
        <v>3.5518573321173807E-3</v>
      </c>
      <c r="AC122" s="12">
        <v>2.1698311229161327E-3</v>
      </c>
    </row>
    <row r="123" spans="12:29" x14ac:dyDescent="0.2">
      <c r="L123" s="11">
        <v>44372</v>
      </c>
      <c r="M123" s="10">
        <v>18.965402603149418</v>
      </c>
      <c r="N123" s="10">
        <v>53.455333709716797</v>
      </c>
      <c r="O123" s="10">
        <v>135.15586853027344</v>
      </c>
      <c r="P123" s="10">
        <v>129.63737487792969</v>
      </c>
      <c r="Q123" s="10">
        <v>398.72271728515625</v>
      </c>
      <c r="R123" s="10">
        <v>142.66627502441406</v>
      </c>
      <c r="S123" s="10">
        <v>117.91439056396484</v>
      </c>
      <c r="V123" s="11">
        <v>44375</v>
      </c>
      <c r="W123" s="12">
        <v>1.2546264881416525E-2</v>
      </c>
      <c r="X123" s="12">
        <v>-1.157032943138625E-3</v>
      </c>
      <c r="Y123" s="12">
        <v>1.8176532515954413E-3</v>
      </c>
      <c r="Z123" s="12">
        <v>5.0128462961061215E-2</v>
      </c>
      <c r="AA123" s="12">
        <v>2.9646188760796832E-3</v>
      </c>
      <c r="AB123" s="12">
        <v>2.01632624195347E-3</v>
      </c>
      <c r="AC123" s="12">
        <v>-2.551788536283639E-2</v>
      </c>
    </row>
    <row r="124" spans="12:29" x14ac:dyDescent="0.2">
      <c r="L124" s="11">
        <v>44375</v>
      </c>
      <c r="M124" s="10">
        <v>19.916109085083008</v>
      </c>
      <c r="N124" s="10">
        <v>52.091266632080078</v>
      </c>
      <c r="O124" s="10">
        <v>135.40153503417969</v>
      </c>
      <c r="P124" s="10">
        <v>131.26383972167969</v>
      </c>
      <c r="Q124" s="10">
        <v>399.52667236328131</v>
      </c>
      <c r="R124" s="10">
        <v>142.50120544433594</v>
      </c>
      <c r="S124" s="10">
        <v>118.2639617919922</v>
      </c>
      <c r="V124" s="11">
        <v>44376</v>
      </c>
      <c r="W124" s="12">
        <v>1.1500252193924476E-2</v>
      </c>
      <c r="X124" s="12">
        <v>6.0927561626566984E-5</v>
      </c>
      <c r="Y124" s="12">
        <v>-1.2312824168114744E-3</v>
      </c>
      <c r="Z124" s="12">
        <v>2.0892037820765541E-3</v>
      </c>
      <c r="AA124" s="12">
        <v>-6.7988104581523379E-3</v>
      </c>
      <c r="AB124" s="12">
        <v>5.3782208408525989E-4</v>
      </c>
      <c r="AC124" s="12">
        <v>-6.1895601399972744E-3</v>
      </c>
    </row>
    <row r="125" spans="12:29" x14ac:dyDescent="0.2">
      <c r="L125" s="11">
        <v>44376</v>
      </c>
      <c r="M125" s="10">
        <v>19.957717895507812</v>
      </c>
      <c r="N125" s="10">
        <v>51.768844604492188</v>
      </c>
      <c r="O125" s="10">
        <v>135.23481750488281</v>
      </c>
      <c r="P125" s="10">
        <v>132.77340698242188</v>
      </c>
      <c r="Q125" s="10">
        <v>399.74154663085938</v>
      </c>
      <c r="R125" s="10">
        <v>142.5098876953125</v>
      </c>
      <c r="S125" s="10">
        <v>117.45990753173828</v>
      </c>
      <c r="V125" s="11">
        <v>44377</v>
      </c>
      <c r="W125" s="12">
        <v>4.621305122210817E-3</v>
      </c>
      <c r="X125" s="12">
        <v>4.3284842660142875E-3</v>
      </c>
      <c r="Y125" s="12">
        <v>9.0827349392383905E-3</v>
      </c>
      <c r="Z125" s="12">
        <v>-1.2109608249251114E-3</v>
      </c>
      <c r="AA125" s="12">
        <v>3.9435024248646311E-3</v>
      </c>
      <c r="AB125" s="12">
        <v>8.4176093088705883E-4</v>
      </c>
      <c r="AC125" s="12">
        <v>7.3459430669700065E-3</v>
      </c>
    </row>
    <row r="126" spans="12:29" x14ac:dyDescent="0.2">
      <c r="L126" s="11">
        <v>44377</v>
      </c>
      <c r="M126" s="10">
        <v>19.933549880981445</v>
      </c>
      <c r="N126" s="10">
        <v>52.149135589599609</v>
      </c>
      <c r="O126" s="10">
        <v>136.46311950683594</v>
      </c>
      <c r="P126" s="10">
        <v>133.38699340820312</v>
      </c>
      <c r="Q126" s="10">
        <v>400.07803344726562</v>
      </c>
      <c r="R126" s="10">
        <v>143.12673950195312</v>
      </c>
      <c r="S126" s="10">
        <v>117.92311096191406</v>
      </c>
      <c r="V126" s="11">
        <v>44378</v>
      </c>
      <c r="W126" s="12">
        <v>2.263417089451103E-3</v>
      </c>
      <c r="X126" s="12">
        <v>7.4055800273646888E-3</v>
      </c>
      <c r="Y126" s="12">
        <v>9.9009900990099098E-3</v>
      </c>
      <c r="Z126" s="12">
        <v>1.0473909428652339E-2</v>
      </c>
      <c r="AA126" s="12">
        <v>2.2976216093535395E-3</v>
      </c>
      <c r="AB126" s="12">
        <v>5.5367921770022033E-3</v>
      </c>
      <c r="AC126" s="12">
        <v>2.853499371606949E-3</v>
      </c>
    </row>
    <row r="127" spans="12:29" x14ac:dyDescent="0.2">
      <c r="L127" s="11">
        <v>44378</v>
      </c>
      <c r="M127" s="10">
        <v>20.142332077026367</v>
      </c>
      <c r="N127" s="10">
        <v>52.297943115234375</v>
      </c>
      <c r="O127" s="10">
        <v>137.81423950195312</v>
      </c>
      <c r="P127" s="10">
        <v>133.68890380859375</v>
      </c>
      <c r="Q127" s="10">
        <v>402.29318237304688</v>
      </c>
      <c r="R127" s="10">
        <v>144.18667602539062</v>
      </c>
      <c r="S127" s="10">
        <v>118.19405364990234</v>
      </c>
      <c r="V127" s="11">
        <v>44379</v>
      </c>
      <c r="W127" s="12">
        <v>1.9596331012404766E-2</v>
      </c>
      <c r="X127" s="12">
        <v>1.8196887892989899E-2</v>
      </c>
      <c r="Y127" s="12">
        <v>-9.6049577747236992E-4</v>
      </c>
      <c r="Z127" s="12">
        <v>1.3605661840105698E-2</v>
      </c>
      <c r="AA127" s="12">
        <v>4.88021796637228E-3</v>
      </c>
      <c r="AB127" s="12">
        <v>7.6431784546950876E-3</v>
      </c>
      <c r="AC127" s="12">
        <v>-1.4227265114818977E-3</v>
      </c>
    </row>
    <row r="128" spans="12:29" x14ac:dyDescent="0.2">
      <c r="L128" s="11">
        <v>44379</v>
      </c>
      <c r="M128" s="10">
        <v>20.4163818359375</v>
      </c>
      <c r="N128" s="10">
        <v>52.223537445068359</v>
      </c>
      <c r="O128" s="10">
        <v>137.68186950683594</v>
      </c>
      <c r="P128" s="10">
        <v>136.3087158203125</v>
      </c>
      <c r="Q128" s="10">
        <v>405.36798095703131</v>
      </c>
      <c r="R128" s="10">
        <v>146.8104248046875</v>
      </c>
      <c r="S128" s="10">
        <v>118.77086639404295</v>
      </c>
      <c r="V128" s="11">
        <v>44383</v>
      </c>
      <c r="W128" s="12">
        <v>1.4718472633550084E-2</v>
      </c>
      <c r="X128" s="12">
        <v>-5.9768008042099252E-3</v>
      </c>
      <c r="Y128" s="12">
        <v>-1.679164377639264E-2</v>
      </c>
      <c r="Z128" s="12">
        <v>1.0323742458939078E-2</v>
      </c>
      <c r="AA128" s="12">
        <v>5.885324812182624E-4</v>
      </c>
      <c r="AB128" s="12">
        <v>-1.8212618773120193E-3</v>
      </c>
      <c r="AC128" s="12">
        <v>-2.8494559603602254E-2</v>
      </c>
    </row>
    <row r="129" spans="12:29" x14ac:dyDescent="0.2">
      <c r="L129" s="11">
        <v>44383</v>
      </c>
      <c r="M129" s="10">
        <v>20.627155303955082</v>
      </c>
      <c r="N129" s="10">
        <v>50.735450744628906</v>
      </c>
      <c r="O129" s="10">
        <v>135.36996459960938</v>
      </c>
      <c r="P129" s="10">
        <v>138.31497192382812</v>
      </c>
      <c r="Q129" s="10">
        <v>404.62969970703131</v>
      </c>
      <c r="R129" s="10">
        <v>145.93296813964844</v>
      </c>
      <c r="S129" s="10">
        <v>118.84076690673828</v>
      </c>
      <c r="V129" s="11">
        <v>44384</v>
      </c>
      <c r="W129" s="12">
        <v>1.7955322953773001E-2</v>
      </c>
      <c r="X129" s="12">
        <v>8.5728957012454199E-3</v>
      </c>
      <c r="Y129" s="12">
        <v>1.1732937643984531E-3</v>
      </c>
      <c r="Z129" s="12">
        <v>-1.5786388178170907E-2</v>
      </c>
      <c r="AA129" s="12">
        <v>7.5011409671768003E-3</v>
      </c>
      <c r="AB129" s="12">
        <v>3.5340773967322825E-3</v>
      </c>
      <c r="AC129" s="12">
        <v>-1.5642638635776862E-2</v>
      </c>
    </row>
    <row r="130" spans="12:29" x14ac:dyDescent="0.2">
      <c r="L130" s="11">
        <v>44384</v>
      </c>
      <c r="M130" s="10">
        <v>20.30152702331543</v>
      </c>
      <c r="N130" s="10">
        <v>49.941814422607422</v>
      </c>
      <c r="O130" s="10">
        <v>135.52879333496094</v>
      </c>
      <c r="P130" s="10">
        <v>140.7984619140625</v>
      </c>
      <c r="Q130" s="10">
        <v>406.0596923828125</v>
      </c>
      <c r="R130" s="10">
        <v>147.18403625488281</v>
      </c>
      <c r="S130" s="10">
        <v>119.73220825195312</v>
      </c>
      <c r="V130" s="11">
        <v>44385</v>
      </c>
      <c r="W130" s="12">
        <v>-9.1999148619628102E-3</v>
      </c>
      <c r="X130" s="12">
        <v>-1.9479873889847177E-3</v>
      </c>
      <c r="Y130" s="12">
        <v>-1.7253404773578951E-2</v>
      </c>
      <c r="Z130" s="12">
        <v>-2.3022221195024728E-2</v>
      </c>
      <c r="AA130" s="12">
        <v>-1.4566503159907374E-4</v>
      </c>
      <c r="AB130" s="12">
        <v>-8.1479725628682553E-3</v>
      </c>
      <c r="AC130" s="12">
        <v>-4.4694650841468064E-3</v>
      </c>
    </row>
    <row r="131" spans="12:29" x14ac:dyDescent="0.2">
      <c r="L131" s="11">
        <v>44385</v>
      </c>
      <c r="M131" s="10">
        <v>19.834140777587891</v>
      </c>
      <c r="N131" s="10">
        <v>49.718601226806641</v>
      </c>
      <c r="O131" s="10">
        <v>133.19046020507812</v>
      </c>
      <c r="P131" s="10">
        <v>139.50312805175781</v>
      </c>
      <c r="Q131" s="10">
        <v>402.75112915039062</v>
      </c>
      <c r="R131" s="10">
        <v>146.89732360839844</v>
      </c>
      <c r="S131" s="10">
        <v>119.71476745605467</v>
      </c>
      <c r="V131" s="11">
        <v>44386</v>
      </c>
      <c r="W131" s="12">
        <v>1.3055214686348071E-2</v>
      </c>
      <c r="X131" s="12">
        <v>3.9628908629765203E-3</v>
      </c>
      <c r="Y131" s="12">
        <v>3.1999239297174853E-2</v>
      </c>
      <c r="Z131" s="12">
        <v>7.4113344979547247E-3</v>
      </c>
      <c r="AA131" s="12">
        <v>3.6466174086546843E-4</v>
      </c>
      <c r="AB131" s="12">
        <v>1.0674719597094873E-2</v>
      </c>
      <c r="AC131" s="12">
        <v>1.8124388255956747E-2</v>
      </c>
    </row>
    <row r="132" spans="12:29" x14ac:dyDescent="0.2">
      <c r="L132" s="11">
        <v>44386</v>
      </c>
      <c r="M132" s="10">
        <v>19.981138229370117</v>
      </c>
      <c r="N132" s="10">
        <v>50.619720458984375</v>
      </c>
      <c r="O132" s="10">
        <v>137.45245361328125</v>
      </c>
      <c r="P132" s="10">
        <v>141.32437133789062</v>
      </c>
      <c r="Q132" s="10">
        <v>407.05038452148438</v>
      </c>
      <c r="R132" s="10">
        <v>147.47946166992188</v>
      </c>
      <c r="S132" s="10">
        <v>119.7584228515625</v>
      </c>
      <c r="V132" s="11">
        <v>44389</v>
      </c>
      <c r="W132" s="12">
        <v>-4.2039190078336786E-3</v>
      </c>
      <c r="X132" s="12">
        <v>-1.590859757476637E-3</v>
      </c>
      <c r="Y132" s="12">
        <v>1.4315585867094471E-2</v>
      </c>
      <c r="Z132" s="12">
        <v>2.3054503057549969E-2</v>
      </c>
      <c r="AA132" s="12">
        <v>8.0302091307271617E-4</v>
      </c>
      <c r="AB132" s="12">
        <v>3.5817354135598833E-3</v>
      </c>
      <c r="AC132" s="12">
        <v>-9.7998018938849629E-4</v>
      </c>
    </row>
    <row r="133" spans="12:29" x14ac:dyDescent="0.2">
      <c r="L133" s="11">
        <v>44389</v>
      </c>
      <c r="M133" s="10">
        <v>20.441793441772461</v>
      </c>
      <c r="N133" s="10">
        <v>50.570114135742188</v>
      </c>
      <c r="O133" s="10">
        <v>139.420166015625</v>
      </c>
      <c r="P133" s="10">
        <v>140.73025512695312</v>
      </c>
      <c r="Q133" s="10">
        <v>408.50833129882812</v>
      </c>
      <c r="R133" s="10">
        <v>147.24484252929688</v>
      </c>
      <c r="S133" s="10">
        <v>119.85459136962891</v>
      </c>
      <c r="V133" s="11">
        <v>44390</v>
      </c>
      <c r="W133" s="12">
        <v>7.8891688924673797E-3</v>
      </c>
      <c r="X133" s="12">
        <v>-1.238880901420325E-3</v>
      </c>
      <c r="Y133" s="12">
        <v>-1.4873088002241408E-2</v>
      </c>
      <c r="Z133" s="12">
        <v>-1.2797055849527506E-2</v>
      </c>
      <c r="AA133" s="12">
        <v>-1.2398802997991565E-3</v>
      </c>
      <c r="AB133" s="12">
        <v>-3.408785043419571E-3</v>
      </c>
      <c r="AC133" s="12">
        <v>-4.7409406236205154E-3</v>
      </c>
    </row>
    <row r="134" spans="12:29" x14ac:dyDescent="0.2">
      <c r="L134" s="11">
        <v>44390</v>
      </c>
      <c r="M134" s="10">
        <v>20.180198669433594</v>
      </c>
      <c r="N134" s="10">
        <v>50.330364227294922</v>
      </c>
      <c r="O134" s="10">
        <v>137.3465576171875</v>
      </c>
      <c r="P134" s="10">
        <v>141.84049987792969</v>
      </c>
      <c r="Q134" s="10">
        <v>407.11581420898438</v>
      </c>
      <c r="R134" s="10">
        <v>147.06242370605469</v>
      </c>
      <c r="S134" s="10">
        <v>119.70598602294922</v>
      </c>
      <c r="V134" s="11">
        <v>44391</v>
      </c>
      <c r="W134" s="12">
        <v>2.4100711955978626E-2</v>
      </c>
      <c r="X134" s="12">
        <v>6.7937118556014031E-3</v>
      </c>
      <c r="Y134" s="12">
        <v>-3.4052338236117974E-3</v>
      </c>
      <c r="Z134" s="12">
        <v>-2.0172801438455679E-2</v>
      </c>
      <c r="AA134" s="12">
        <v>7.374138971554256E-3</v>
      </c>
      <c r="AB134" s="12">
        <v>1.4922373598154071E-3</v>
      </c>
      <c r="AC134" s="12">
        <v>-2.2174652751750235E-2</v>
      </c>
    </row>
    <row r="135" spans="12:29" x14ac:dyDescent="0.2">
      <c r="L135" s="11">
        <v>44391</v>
      </c>
      <c r="M135" s="10">
        <v>19.773107528686523</v>
      </c>
      <c r="N135" s="10">
        <v>49.214305877685547</v>
      </c>
      <c r="O135" s="10">
        <v>136.87886047363281</v>
      </c>
      <c r="P135" s="10">
        <v>145.25895690917969</v>
      </c>
      <c r="Q135" s="10">
        <v>407.72332763671869</v>
      </c>
      <c r="R135" s="10">
        <v>148.0615234375</v>
      </c>
      <c r="S135" s="10">
        <v>120.58871459960938</v>
      </c>
      <c r="V135" s="11">
        <v>44392</v>
      </c>
      <c r="W135" s="12">
        <v>-4.492057567834884E-3</v>
      </c>
      <c r="X135" s="12">
        <v>-1.2029029119810075E-2</v>
      </c>
      <c r="Y135" s="12">
        <v>2.1921872075481019E-3</v>
      </c>
      <c r="Z135" s="12">
        <v>-4.4112152994515319E-2</v>
      </c>
      <c r="AA135" s="12">
        <v>8.5519850809232523E-3</v>
      </c>
      <c r="AB135" s="12">
        <v>-3.4154977912884688E-3</v>
      </c>
      <c r="AC135" s="12">
        <v>-9.7431757502285388E-3</v>
      </c>
    </row>
    <row r="136" spans="12:29" x14ac:dyDescent="0.2">
      <c r="L136" s="11">
        <v>44392</v>
      </c>
      <c r="M136" s="10">
        <v>18.900873184204102</v>
      </c>
      <c r="N136" s="10">
        <v>48.73480224609375</v>
      </c>
      <c r="O136" s="10">
        <v>137.17892456054688</v>
      </c>
      <c r="P136" s="10">
        <v>144.6064453125</v>
      </c>
      <c r="Q136" s="10">
        <v>406.33074951171869</v>
      </c>
      <c r="R136" s="10">
        <v>146.28048706054688</v>
      </c>
      <c r="S136" s="10">
        <v>121.61998748779295</v>
      </c>
      <c r="V136" s="11">
        <v>44393</v>
      </c>
      <c r="W136" s="12">
        <v>-1.4075974830662474E-2</v>
      </c>
      <c r="X136" s="12">
        <v>-1.6035861581505939E-3</v>
      </c>
      <c r="Y136" s="12">
        <v>-2.2835638706238504E-2</v>
      </c>
      <c r="Z136" s="12">
        <v>-4.2456830066418094E-2</v>
      </c>
      <c r="AA136" s="12">
        <v>9.7009122716771312E-3</v>
      </c>
      <c r="AB136" s="12">
        <v>-7.8437684336480906E-3</v>
      </c>
      <c r="AC136" s="12">
        <v>-2.765050327438312E-2</v>
      </c>
    </row>
    <row r="137" spans="12:29" x14ac:dyDescent="0.2">
      <c r="L137" s="11">
        <v>44393</v>
      </c>
      <c r="M137" s="10">
        <v>18.09840202331543</v>
      </c>
      <c r="N137" s="10">
        <v>47.387260437011719</v>
      </c>
      <c r="O137" s="10">
        <v>134.04635620117188</v>
      </c>
      <c r="P137" s="10">
        <v>142.57096862792969</v>
      </c>
      <c r="Q137" s="10">
        <v>403.14358520507812</v>
      </c>
      <c r="R137" s="10">
        <v>146.04591369628906</v>
      </c>
      <c r="S137" s="10">
        <v>122.79981231689452</v>
      </c>
      <c r="V137" s="11">
        <v>44396</v>
      </c>
      <c r="W137" s="12">
        <v>-2.691434319637831E-2</v>
      </c>
      <c r="X137" s="12">
        <v>-7.2578703024104296E-3</v>
      </c>
      <c r="Y137" s="12">
        <v>-3.2519349763263206E-2</v>
      </c>
      <c r="Z137" s="12">
        <v>3.4070045922682368E-2</v>
      </c>
      <c r="AA137" s="12">
        <v>-4.9808590748634529E-4</v>
      </c>
      <c r="AB137" s="12">
        <v>-1.4767745158309031E-2</v>
      </c>
      <c r="AC137" s="12">
        <v>-3.4368472920362603E-2</v>
      </c>
    </row>
    <row r="138" spans="12:29" x14ac:dyDescent="0.2">
      <c r="L138" s="11">
        <v>44396</v>
      </c>
      <c r="M138" s="10">
        <v>18.715015411376953</v>
      </c>
      <c r="N138" s="10">
        <v>45.758632659912109</v>
      </c>
      <c r="O138" s="10">
        <v>129.687255859375</v>
      </c>
      <c r="P138" s="10">
        <v>138.7337646484375</v>
      </c>
      <c r="Q138" s="10">
        <v>397.1900634765625</v>
      </c>
      <c r="R138" s="10">
        <v>144.98593139648438</v>
      </c>
      <c r="S138" s="10">
        <v>122.7386474609375</v>
      </c>
      <c r="V138" s="11">
        <v>44397</v>
      </c>
      <c r="W138" s="12">
        <v>2.5973883134903675E-2</v>
      </c>
      <c r="X138" s="12">
        <v>9.408219370691695E-3</v>
      </c>
      <c r="Y138" s="12">
        <v>1.8643083853697062E-2</v>
      </c>
      <c r="Z138" s="12">
        <v>-8.9325807083489028E-3</v>
      </c>
      <c r="AA138" s="12">
        <v>-5.3402620651930022E-3</v>
      </c>
      <c r="AB138" s="12">
        <v>1.4330328316503271E-2</v>
      </c>
      <c r="AC138" s="12">
        <v>1.1020769629834115E-2</v>
      </c>
    </row>
    <row r="139" spans="12:29" x14ac:dyDescent="0.2">
      <c r="L139" s="11">
        <v>44397</v>
      </c>
      <c r="M139" s="10">
        <v>18.547842025756836</v>
      </c>
      <c r="N139" s="10">
        <v>46.262928009033203</v>
      </c>
      <c r="O139" s="10">
        <v>132.10502624511719</v>
      </c>
      <c r="P139" s="10">
        <v>142.33721923828125</v>
      </c>
      <c r="Q139" s="10">
        <v>402.88192749023438</v>
      </c>
      <c r="R139" s="10">
        <v>146.34999084472656</v>
      </c>
      <c r="S139" s="10">
        <v>122.08319091796876</v>
      </c>
      <c r="V139" s="11">
        <v>44398</v>
      </c>
      <c r="W139" s="12">
        <v>-5.1316372312293357E-3</v>
      </c>
      <c r="X139" s="12">
        <v>6.1741015950778078E-3</v>
      </c>
      <c r="Y139" s="12">
        <v>2.1040965575471748E-2</v>
      </c>
      <c r="Z139" s="12">
        <v>4.2875707330757518E-2</v>
      </c>
      <c r="AA139" s="12">
        <v>-3.5081298922964299E-3</v>
      </c>
      <c r="AB139" s="12">
        <v>8.0962698938427113E-3</v>
      </c>
      <c r="AC139" s="12">
        <v>3.2165856431501494E-2</v>
      </c>
    </row>
    <row r="140" spans="12:29" x14ac:dyDescent="0.2">
      <c r="L140" s="11">
        <v>44398</v>
      </c>
      <c r="M140" s="10">
        <v>19.343093872070312</v>
      </c>
      <c r="N140" s="10">
        <v>47.751014709472656</v>
      </c>
      <c r="O140" s="10">
        <v>134.8846435546875</v>
      </c>
      <c r="P140" s="10">
        <v>141.60679626464844</v>
      </c>
      <c r="Q140" s="10">
        <v>406.14376831054688</v>
      </c>
      <c r="R140" s="10">
        <v>147.25357055664062</v>
      </c>
      <c r="S140" s="10">
        <v>121.6549072265625</v>
      </c>
      <c r="V140" s="11">
        <v>44399</v>
      </c>
      <c r="W140" s="12">
        <v>9.6286311831361715E-3</v>
      </c>
      <c r="X140" s="12">
        <v>2.890758009245209E-3</v>
      </c>
      <c r="Y140" s="12">
        <v>-1.2625964388334632E-2</v>
      </c>
      <c r="Z140" s="12">
        <v>9.4798011152754658E-3</v>
      </c>
      <c r="AA140" s="12">
        <v>-3.8313505860443353E-3</v>
      </c>
      <c r="AB140" s="12">
        <v>2.0940722254669808E-3</v>
      </c>
      <c r="AC140" s="12">
        <v>-1.125347729228876E-2</v>
      </c>
    </row>
    <row r="141" spans="12:29" x14ac:dyDescent="0.2">
      <c r="L141" s="11">
        <v>44399</v>
      </c>
      <c r="M141" s="10">
        <v>19.526462554931641</v>
      </c>
      <c r="N141" s="10">
        <v>47.213649749755859</v>
      </c>
      <c r="O141" s="10">
        <v>133.18159484863281</v>
      </c>
      <c r="P141" s="10">
        <v>142.97027587890625</v>
      </c>
      <c r="Q141" s="10">
        <v>406.9942626953125</v>
      </c>
      <c r="R141" s="10">
        <v>147.67924499511719</v>
      </c>
      <c r="S141" s="10">
        <v>121.18880462646484</v>
      </c>
      <c r="V141" s="11">
        <v>44400</v>
      </c>
      <c r="W141" s="12">
        <v>1.1989071154892894E-2</v>
      </c>
      <c r="X141" s="12">
        <v>1.0648246640657222E-2</v>
      </c>
      <c r="Y141" s="12">
        <v>-1.921589919741673E-3</v>
      </c>
      <c r="Z141" s="12">
        <v>-1.8372667519088726E-3</v>
      </c>
      <c r="AA141" s="12">
        <v>1.4441222077503424E-2</v>
      </c>
      <c r="AB141" s="12">
        <v>1.0288018015072842E-2</v>
      </c>
      <c r="AC141" s="12">
        <v>-1.2256827808536652E-3</v>
      </c>
    </row>
    <row r="142" spans="12:29" x14ac:dyDescent="0.2">
      <c r="L142" s="11">
        <v>44400</v>
      </c>
      <c r="M142" s="10">
        <v>19.49058723449707</v>
      </c>
      <c r="N142" s="10">
        <v>47.155780792236328</v>
      </c>
      <c r="O142" s="10">
        <v>132.92567443847656</v>
      </c>
      <c r="P142" s="10">
        <v>144.68435668945312</v>
      </c>
      <c r="Q142" s="10">
        <v>411.18142700195312</v>
      </c>
      <c r="R142" s="10">
        <v>149.25177001953125</v>
      </c>
      <c r="S142" s="10">
        <v>122.9389190673828</v>
      </c>
      <c r="V142" s="11">
        <v>44403</v>
      </c>
      <c r="W142" s="12">
        <v>2.8946321010872023E-3</v>
      </c>
      <c r="X142" s="12">
        <v>4.6568147346315314E-4</v>
      </c>
      <c r="Y142" s="12">
        <v>6.7048793554480568E-3</v>
      </c>
      <c r="Z142" s="12">
        <v>-1.3498513164272419E-2</v>
      </c>
      <c r="AA142" s="12">
        <v>3.5052454875774686E-3</v>
      </c>
      <c r="AB142" s="12">
        <v>2.4548759933598063E-3</v>
      </c>
      <c r="AC142" s="12">
        <v>2.5245589063879859E-2</v>
      </c>
    </row>
    <row r="143" spans="12:29" x14ac:dyDescent="0.2">
      <c r="L143" s="11">
        <v>44403</v>
      </c>
      <c r="M143" s="10">
        <v>19.227493286132812</v>
      </c>
      <c r="N143" s="10">
        <v>48.346256256103523</v>
      </c>
      <c r="O143" s="10">
        <v>133.81692504882812</v>
      </c>
      <c r="P143" s="10">
        <v>145.10316467285156</v>
      </c>
      <c r="Q143" s="10">
        <v>412.19082641601562</v>
      </c>
      <c r="R143" s="10">
        <v>149.32127380371094</v>
      </c>
      <c r="S143" s="10">
        <v>123.36985015869141</v>
      </c>
      <c r="V143" s="11">
        <v>44404</v>
      </c>
      <c r="W143" s="12">
        <v>-1.490049772432378E-2</v>
      </c>
      <c r="X143" s="12">
        <v>4.5967067579446574E-3</v>
      </c>
      <c r="Y143" s="12">
        <v>-1.3188403053834286E-3</v>
      </c>
      <c r="Z143" s="12">
        <v>-4.4574090959953461E-3</v>
      </c>
      <c r="AA143" s="12">
        <v>4.0635526800840704E-3</v>
      </c>
      <c r="AB143" s="12">
        <v>-4.5575263597560367E-3</v>
      </c>
      <c r="AC143" s="12">
        <v>-1.1114766104654339E-2</v>
      </c>
    </row>
    <row r="144" spans="12:29" x14ac:dyDescent="0.2">
      <c r="L144" s="11">
        <v>44404</v>
      </c>
      <c r="M144" s="10">
        <v>19.141788482666016</v>
      </c>
      <c r="N144" s="10">
        <v>47.80889892578125</v>
      </c>
      <c r="O144" s="10">
        <v>133.64044189453125</v>
      </c>
      <c r="P144" s="10">
        <v>142.94105529785156</v>
      </c>
      <c r="Q144" s="10">
        <v>410.312255859375</v>
      </c>
      <c r="R144" s="10">
        <v>150.00765991210938</v>
      </c>
      <c r="S144" s="10">
        <v>123.87117004394533</v>
      </c>
      <c r="V144" s="11">
        <v>44405</v>
      </c>
      <c r="W144" s="12">
        <v>-1.2196052748862152E-2</v>
      </c>
      <c r="X144" s="12">
        <v>-2.7801111230688624E-3</v>
      </c>
      <c r="Y144" s="12">
        <v>1.6507845165592006E-3</v>
      </c>
      <c r="Z144" s="12">
        <v>1.5358501207177078E-2</v>
      </c>
      <c r="AA144" s="12">
        <v>-1.483859181936098E-2</v>
      </c>
      <c r="AB144" s="12">
        <v>-4.1026062110904871E-4</v>
      </c>
      <c r="AC144" s="12">
        <v>6.7434166431550313E-3</v>
      </c>
    </row>
    <row r="145" spans="12:29" x14ac:dyDescent="0.2">
      <c r="L145" s="11">
        <v>44405</v>
      </c>
      <c r="M145" s="10">
        <v>19.43577766418457</v>
      </c>
      <c r="N145" s="10">
        <v>48.131294250488281</v>
      </c>
      <c r="O145" s="10">
        <v>133.86105346679688</v>
      </c>
      <c r="P145" s="10">
        <v>141.19773864746094</v>
      </c>
      <c r="Q145" s="10">
        <v>410.1439208984375</v>
      </c>
      <c r="R145" s="10">
        <v>149.59062194824219</v>
      </c>
      <c r="S145" s="10">
        <v>122.03309631347656</v>
      </c>
      <c r="V145" s="11">
        <v>44406</v>
      </c>
      <c r="W145" s="12">
        <v>4.5522062649572259E-3</v>
      </c>
      <c r="X145" s="12">
        <v>0</v>
      </c>
      <c r="Y145" s="12">
        <v>8.5695220113082282E-3</v>
      </c>
      <c r="Z145" s="12">
        <v>8.1522520484653693E-3</v>
      </c>
      <c r="AA145" s="12">
        <v>5.1883943117159159E-3</v>
      </c>
      <c r="AB145" s="12">
        <v>4.1475949128233491E-3</v>
      </c>
      <c r="AC145" s="12">
        <v>1.2195448640877293E-2</v>
      </c>
    </row>
    <row r="146" spans="12:29" x14ac:dyDescent="0.2">
      <c r="L146" s="11">
        <v>44406</v>
      </c>
      <c r="M146" s="10">
        <v>19.594223022460938</v>
      </c>
      <c r="N146" s="10">
        <v>48.718276977539062</v>
      </c>
      <c r="O146" s="10">
        <v>135.0081787109375</v>
      </c>
      <c r="P146" s="10">
        <v>141.84049987792969</v>
      </c>
      <c r="Q146" s="10">
        <v>411.84503173828131</v>
      </c>
      <c r="R146" s="10">
        <v>149.59062194824219</v>
      </c>
      <c r="S146" s="10">
        <v>122.66625213623048</v>
      </c>
      <c r="V146" s="11">
        <v>44407</v>
      </c>
      <c r="W146" s="12">
        <v>1.5107051581819686E-3</v>
      </c>
      <c r="X146" s="12">
        <v>1.160801507940068E-4</v>
      </c>
      <c r="Y146" s="12">
        <v>-7.9736470681843752E-3</v>
      </c>
      <c r="Z146" s="12">
        <v>-8.2899705402970092E-3</v>
      </c>
      <c r="AA146" s="12">
        <v>1.9716495302215531E-2</v>
      </c>
      <c r="AB146" s="12">
        <v>-4.8564178236959465E-3</v>
      </c>
      <c r="AC146" s="12">
        <v>-2.3078246968727512E-2</v>
      </c>
    </row>
    <row r="147" spans="12:29" x14ac:dyDescent="0.2">
      <c r="L147" s="11">
        <v>44407</v>
      </c>
      <c r="M147" s="10">
        <v>19.431787490844727</v>
      </c>
      <c r="N147" s="10">
        <v>47.593944549560547</v>
      </c>
      <c r="O147" s="10">
        <v>133.93167114257812</v>
      </c>
      <c r="P147" s="10">
        <v>142.05477905273438</v>
      </c>
      <c r="Q147" s="10">
        <v>409.84494018554688</v>
      </c>
      <c r="R147" s="10">
        <v>149.60798645019531</v>
      </c>
      <c r="S147" s="10">
        <v>125.08480072021484</v>
      </c>
      <c r="V147" s="11">
        <v>44410</v>
      </c>
      <c r="W147" s="12">
        <v>-2.3310090913758463E-3</v>
      </c>
      <c r="X147" s="12">
        <v>4.0653934757273191E-4</v>
      </c>
      <c r="Y147" s="12">
        <v>-4.019438221986471E-3</v>
      </c>
      <c r="Z147" s="12">
        <v>1.287238832362414E-2</v>
      </c>
      <c r="AA147" s="12">
        <v>-2.4607939621039687E-3</v>
      </c>
      <c r="AB147" s="12">
        <v>-2.0979465143149412E-3</v>
      </c>
      <c r="AC147" s="12">
        <v>1.7368699007480615E-4</v>
      </c>
    </row>
    <row r="148" spans="12:29" x14ac:dyDescent="0.2">
      <c r="L148" s="11">
        <v>44410</v>
      </c>
      <c r="M148" s="10">
        <v>19.681921005249023</v>
      </c>
      <c r="N148" s="10">
        <v>47.602210998535149</v>
      </c>
      <c r="O148" s="10">
        <v>133.39334106445312</v>
      </c>
      <c r="P148" s="10">
        <v>141.72364807128906</v>
      </c>
      <c r="Q148" s="10">
        <v>408.985107421875</v>
      </c>
      <c r="R148" s="10">
        <v>149.66880798339844</v>
      </c>
      <c r="S148" s="10">
        <v>124.77699279785156</v>
      </c>
      <c r="V148" s="11">
        <v>44411</v>
      </c>
      <c r="W148" s="12">
        <v>1.2644270817800285E-2</v>
      </c>
      <c r="X148" s="12">
        <v>1.2306122272127018E-2</v>
      </c>
      <c r="Y148" s="12">
        <v>1.1378202818418393E-2</v>
      </c>
      <c r="Z148" s="12">
        <v>3.2912119833374831E-3</v>
      </c>
      <c r="AA148" s="12">
        <v>1.4589688512892662E-2</v>
      </c>
      <c r="AB148" s="12">
        <v>8.1355065624881817E-3</v>
      </c>
      <c r="AC148" s="12">
        <v>1.0767604851620982E-2</v>
      </c>
    </row>
    <row r="149" spans="12:29" x14ac:dyDescent="0.2">
      <c r="L149" s="11">
        <v>44411</v>
      </c>
      <c r="M149" s="10">
        <v>19.746698379516602</v>
      </c>
      <c r="N149" s="10">
        <v>48.114772796630859</v>
      </c>
      <c r="O149" s="10">
        <v>134.91111755371094</v>
      </c>
      <c r="P149" s="10">
        <v>143.51564025878906</v>
      </c>
      <c r="Q149" s="10">
        <v>412.31240844726562</v>
      </c>
      <c r="R149" s="10">
        <v>151.51065063476562</v>
      </c>
      <c r="S149" s="10">
        <v>126.59745025634766</v>
      </c>
      <c r="V149" s="11">
        <v>44412</v>
      </c>
      <c r="W149" s="12">
        <v>-2.7821130343596012E-3</v>
      </c>
      <c r="X149" s="12">
        <v>-5.9060958555208209E-3</v>
      </c>
      <c r="Y149" s="12">
        <v>-1.0792243654523803E-2</v>
      </c>
      <c r="Z149" s="12">
        <v>2.3164203231984759E-2</v>
      </c>
      <c r="AA149" s="12">
        <v>-1.0559029531112429E-2</v>
      </c>
      <c r="AB149" s="12">
        <v>-4.9192292926182324E-3</v>
      </c>
      <c r="AC149" s="12">
        <v>-2.3367717701396784E-2</v>
      </c>
    </row>
    <row r="150" spans="12:29" x14ac:dyDescent="0.2">
      <c r="L150" s="11">
        <v>44412</v>
      </c>
      <c r="M150" s="10">
        <v>20.20411491394043</v>
      </c>
      <c r="N150" s="10">
        <v>46.990440368652344</v>
      </c>
      <c r="O150" s="10">
        <v>133.45512390136719</v>
      </c>
      <c r="P150" s="10">
        <v>143.11636352539062</v>
      </c>
      <c r="Q150" s="10">
        <v>410.28414916992188</v>
      </c>
      <c r="R150" s="10">
        <v>150.61581420898438</v>
      </c>
      <c r="S150" s="10">
        <v>125.26070404052734</v>
      </c>
      <c r="V150" s="11">
        <v>44413</v>
      </c>
      <c r="W150" s="12">
        <v>7.4856540069090372E-4</v>
      </c>
      <c r="X150" s="12">
        <v>1.9032986119200679E-3</v>
      </c>
      <c r="Y150" s="12">
        <v>1.2629150199831685E-2</v>
      </c>
      <c r="Z150" s="12">
        <v>1.7904845519705503E-2</v>
      </c>
      <c r="AA150" s="12">
        <v>4.9122402245660446E-4</v>
      </c>
      <c r="AB150" s="12">
        <v>6.3329210363047839E-3</v>
      </c>
      <c r="AC150" s="12">
        <v>6.3334421690333098E-3</v>
      </c>
    </row>
    <row r="151" spans="12:29" x14ac:dyDescent="0.2">
      <c r="L151" s="11">
        <v>44413</v>
      </c>
      <c r="M151" s="10">
        <v>20.565866470336911</v>
      </c>
      <c r="N151" s="10">
        <v>47.288051605224609</v>
      </c>
      <c r="O151" s="10">
        <v>135.14054870605469</v>
      </c>
      <c r="P151" s="10">
        <v>143.22349548339844</v>
      </c>
      <c r="Q151" s="10">
        <v>412.8824462890625</v>
      </c>
      <c r="R151" s="10">
        <v>150.90248107910156</v>
      </c>
      <c r="S151" s="10">
        <v>125.32223510742188</v>
      </c>
      <c r="V151" s="11">
        <v>44414</v>
      </c>
      <c r="W151" s="12">
        <v>-4.7670566501478717E-3</v>
      </c>
      <c r="X151" s="12">
        <v>-3.3391829452213972E-3</v>
      </c>
      <c r="Y151" s="12">
        <v>2.8403430627948367E-2</v>
      </c>
      <c r="Z151" s="12">
        <v>-1.3131910717400719E-2</v>
      </c>
      <c r="AA151" s="12">
        <v>-7.64892212677315E-3</v>
      </c>
      <c r="AB151" s="12">
        <v>1.6524836555122935E-3</v>
      </c>
      <c r="AC151" s="12">
        <v>1.1538462469262045E-2</v>
      </c>
    </row>
    <row r="152" spans="12:29" x14ac:dyDescent="0.2">
      <c r="L152" s="11">
        <v>44414</v>
      </c>
      <c r="M152" s="10">
        <v>20.295797348022461</v>
      </c>
      <c r="N152" s="10">
        <v>47.833683013916016</v>
      </c>
      <c r="O152" s="10">
        <v>138.97900390625</v>
      </c>
      <c r="P152" s="10">
        <v>142.54074096679688</v>
      </c>
      <c r="Q152" s="10">
        <v>413.56472778320312</v>
      </c>
      <c r="R152" s="10">
        <v>150.39859008789062</v>
      </c>
      <c r="S152" s="10">
        <v>124.36365509033205</v>
      </c>
      <c r="V152" s="11">
        <v>44417</v>
      </c>
      <c r="W152" s="12">
        <v>-3.4212737714833796E-4</v>
      </c>
      <c r="X152" s="12">
        <v>3.4661313595201193E-3</v>
      </c>
      <c r="Y152" s="12">
        <v>-1.0792558031683663E-3</v>
      </c>
      <c r="Z152" s="12">
        <v>-3.4861899569422761E-3</v>
      </c>
      <c r="AA152" s="12">
        <v>5.4450166322170812E-3</v>
      </c>
      <c r="AB152" s="12">
        <v>-8.1347793621888709E-4</v>
      </c>
      <c r="AC152" s="12">
        <v>-1.1406845016150413E-2</v>
      </c>
    </row>
    <row r="153" spans="12:29" x14ac:dyDescent="0.2">
      <c r="L153" s="11">
        <v>44417</v>
      </c>
      <c r="M153" s="10">
        <v>20.225042343139648</v>
      </c>
      <c r="N153" s="10">
        <v>47.288051605224609</v>
      </c>
      <c r="O153" s="10">
        <v>138.82901000976562</v>
      </c>
      <c r="P153" s="10">
        <v>142.49197387695312</v>
      </c>
      <c r="Q153" s="10">
        <v>413.22830200195312</v>
      </c>
      <c r="R153" s="10">
        <v>150.91989135742188</v>
      </c>
      <c r="S153" s="10">
        <v>125.0408172607422</v>
      </c>
      <c r="V153" s="11">
        <v>44418</v>
      </c>
      <c r="W153" s="12">
        <v>-3.3541242921396597E-3</v>
      </c>
      <c r="X153" s="12">
        <v>3.4537543705259743E-4</v>
      </c>
      <c r="Y153" s="12">
        <v>1.226701961179999E-2</v>
      </c>
      <c r="Z153" s="12">
        <v>-1.7689218726172795E-2</v>
      </c>
      <c r="AA153" s="12">
        <v>6.3327709762739381E-4</v>
      </c>
      <c r="AB153" s="12">
        <v>1.2438827782830231E-3</v>
      </c>
      <c r="AC153" s="12">
        <v>1.7133044520859952E-2</v>
      </c>
    </row>
    <row r="154" spans="12:29" x14ac:dyDescent="0.2">
      <c r="L154" s="11">
        <v>44418</v>
      </c>
      <c r="M154" s="10">
        <v>19.867277145385746</v>
      </c>
      <c r="N154" s="10">
        <v>48.098239898681641</v>
      </c>
      <c r="O154" s="10">
        <v>140.53202819824219</v>
      </c>
      <c r="P154" s="10">
        <v>142.0140380859375</v>
      </c>
      <c r="Q154" s="10">
        <v>413.7423095703125</v>
      </c>
      <c r="R154" s="10">
        <v>150.97201538085938</v>
      </c>
      <c r="S154" s="10">
        <v>125.12000274658205</v>
      </c>
      <c r="V154" s="11">
        <v>44419</v>
      </c>
      <c r="W154" s="12">
        <v>1.7857465194059952E-3</v>
      </c>
      <c r="X154" s="12">
        <v>1.7283023765068961E-4</v>
      </c>
      <c r="Y154" s="12">
        <v>1.193019647212501E-2</v>
      </c>
      <c r="Z154" s="12">
        <v>-1.1887761102324257E-2</v>
      </c>
      <c r="AA154" s="12">
        <v>2.4599796740540913E-3</v>
      </c>
      <c r="AB154" s="12">
        <v>2.4848224319691248E-3</v>
      </c>
      <c r="AC154" s="12">
        <v>2.9216415853701161E-3</v>
      </c>
    </row>
    <row r="155" spans="12:29" x14ac:dyDescent="0.2">
      <c r="L155" s="11">
        <v>44419</v>
      </c>
      <c r="M155" s="10">
        <v>19.631099700927734</v>
      </c>
      <c r="N155" s="10">
        <v>48.238765716552734</v>
      </c>
      <c r="O155" s="10">
        <v>142.20860290527344</v>
      </c>
      <c r="P155" s="10">
        <v>142.26763916015625</v>
      </c>
      <c r="Q155" s="10">
        <v>414.7703857421875</v>
      </c>
      <c r="R155" s="10">
        <v>150.99810791015625</v>
      </c>
      <c r="S155" s="10">
        <v>125.42779541015624</v>
      </c>
      <c r="V155" s="11">
        <v>44420</v>
      </c>
      <c r="W155" s="12">
        <v>2.0773190590982926E-2</v>
      </c>
      <c r="X155" s="12">
        <v>8.0549226278752162E-3</v>
      </c>
      <c r="Y155" s="12">
        <v>3.9092111908614058E-3</v>
      </c>
      <c r="Z155" s="12">
        <v>1.0457378538428985E-2</v>
      </c>
      <c r="AA155" s="12">
        <v>2.3137976524678638E-3</v>
      </c>
      <c r="AB155" s="12">
        <v>2.9973079631844257E-3</v>
      </c>
      <c r="AC155" s="12">
        <v>-2.2615154177734187E-3</v>
      </c>
    </row>
    <row r="156" spans="12:29" x14ac:dyDescent="0.2">
      <c r="L156" s="11">
        <v>44420</v>
      </c>
      <c r="M156" s="10">
        <v>19.836389541625977</v>
      </c>
      <c r="N156" s="10">
        <v>48.129673004150391</v>
      </c>
      <c r="O156" s="10">
        <v>142.7645263671875</v>
      </c>
      <c r="P156" s="10">
        <v>145.22299194335938</v>
      </c>
      <c r="Q156" s="10">
        <v>416.01358032226562</v>
      </c>
      <c r="R156" s="10">
        <v>152.21438598632812</v>
      </c>
      <c r="S156" s="10">
        <v>125.71800994873048</v>
      </c>
      <c r="V156" s="11">
        <v>44421</v>
      </c>
      <c r="W156" s="12">
        <v>1.4106891698872914E-3</v>
      </c>
      <c r="X156" s="12">
        <v>5.9931700817259514E-3</v>
      </c>
      <c r="Y156" s="12">
        <v>-1.1187215002304352E-2</v>
      </c>
      <c r="Z156" s="12">
        <v>1.4217429820304384E-2</v>
      </c>
      <c r="AA156" s="12">
        <v>4.8268882276616409E-3</v>
      </c>
      <c r="AB156" s="12">
        <v>1.8196979107805156E-3</v>
      </c>
      <c r="AC156" s="12">
        <v>-1.0113256777315782E-2</v>
      </c>
    </row>
    <row r="157" spans="12:29" x14ac:dyDescent="0.2">
      <c r="L157" s="11">
        <v>44421</v>
      </c>
      <c r="M157" s="10">
        <v>20.118412017822266</v>
      </c>
      <c r="N157" s="10">
        <v>47.642925262451172</v>
      </c>
      <c r="O157" s="10">
        <v>141.16738891601562</v>
      </c>
      <c r="P157" s="10">
        <v>145.4278564453125</v>
      </c>
      <c r="Q157" s="10">
        <v>416.77059936523438</v>
      </c>
      <c r="R157" s="10">
        <v>153.12663269042969</v>
      </c>
      <c r="S157" s="10">
        <v>126.32483673095705</v>
      </c>
      <c r="V157" s="11">
        <v>44424</v>
      </c>
      <c r="W157" s="12">
        <v>1.3547817802567641E-2</v>
      </c>
      <c r="X157" s="12">
        <v>9.0213483254673044E-3</v>
      </c>
      <c r="Y157" s="12">
        <v>-6.5635516485569312E-3</v>
      </c>
      <c r="Z157" s="12">
        <v>-1.1788856905516787E-2</v>
      </c>
      <c r="AA157" s="12">
        <v>6.9618579304342454E-3</v>
      </c>
      <c r="AB157" s="12">
        <v>2.3545152323698471E-3</v>
      </c>
      <c r="AC157" s="12">
        <v>-1.4620266760998146E-2</v>
      </c>
    </row>
    <row r="158" spans="12:29" x14ac:dyDescent="0.2">
      <c r="L158" s="11">
        <v>44424</v>
      </c>
      <c r="M158" s="10">
        <v>19.88123893737793</v>
      </c>
      <c r="N158" s="10">
        <v>46.946372985839837</v>
      </c>
      <c r="O158" s="10">
        <v>140.24082946777344</v>
      </c>
      <c r="P158" s="10">
        <v>147.39808654785156</v>
      </c>
      <c r="Q158" s="10">
        <v>417.75189208984375</v>
      </c>
      <c r="R158" s="10">
        <v>154.50804138183594</v>
      </c>
      <c r="S158" s="10">
        <v>127.20429229736328</v>
      </c>
      <c r="V158" s="11">
        <v>44425</v>
      </c>
      <c r="W158" s="12">
        <v>-6.1541130786186837E-3</v>
      </c>
      <c r="X158" s="12">
        <v>9.1656602480050253E-3</v>
      </c>
      <c r="Y158" s="12">
        <v>-1.2080963804873668E-2</v>
      </c>
      <c r="Z158" s="12">
        <v>-2.4662073517567773E-2</v>
      </c>
      <c r="AA158" s="12">
        <v>1.6593373170783465E-3</v>
      </c>
      <c r="AB158" s="12">
        <v>-6.5552410589196919E-3</v>
      </c>
      <c r="AC158" s="12">
        <v>-6.7931234261633389E-3</v>
      </c>
    </row>
    <row r="159" spans="12:29" x14ac:dyDescent="0.2">
      <c r="L159" s="11">
        <v>44425</v>
      </c>
      <c r="M159" s="10">
        <v>19.390926361083984</v>
      </c>
      <c r="N159" s="10">
        <v>46.627460479736328</v>
      </c>
      <c r="O159" s="10">
        <v>138.54658508300781</v>
      </c>
      <c r="P159" s="10">
        <v>146.49098205566406</v>
      </c>
      <c r="Q159" s="10">
        <v>415.013427734375</v>
      </c>
      <c r="R159" s="10">
        <v>155.92420959472656</v>
      </c>
      <c r="S159" s="10">
        <v>127.41536712646484</v>
      </c>
      <c r="V159" s="11">
        <v>44426</v>
      </c>
      <c r="W159" s="12">
        <v>-2.5501141458932119E-2</v>
      </c>
      <c r="X159" s="12">
        <v>-1.2704223425229699E-2</v>
      </c>
      <c r="Y159" s="12">
        <v>-9.1073702263345657E-3</v>
      </c>
      <c r="Z159" s="12">
        <v>-2.1481877119106763E-2</v>
      </c>
      <c r="AA159" s="12">
        <v>-1.0905784329616752E-2</v>
      </c>
      <c r="AB159" s="12">
        <v>-1.0945014250880236E-2</v>
      </c>
      <c r="AC159" s="12">
        <v>-2.1058308487636013E-2</v>
      </c>
    </row>
    <row r="160" spans="12:29" x14ac:dyDescent="0.2">
      <c r="L160" s="11">
        <v>44426</v>
      </c>
      <c r="M160" s="10">
        <v>18.974372863769531</v>
      </c>
      <c r="N160" s="10">
        <v>45.645565032958984</v>
      </c>
      <c r="O160" s="10">
        <v>137.2847900390625</v>
      </c>
      <c r="P160" s="10">
        <v>142.75529479980469</v>
      </c>
      <c r="Q160" s="10">
        <v>410.47109985351562</v>
      </c>
      <c r="R160" s="10">
        <v>153.94331359863281</v>
      </c>
      <c r="S160" s="10">
        <v>126.02580261230467</v>
      </c>
      <c r="V160" s="11">
        <v>44427</v>
      </c>
      <c r="W160" s="12">
        <v>2.3233116468823756E-3</v>
      </c>
      <c r="X160" s="12">
        <v>7.7884162770525123E-3</v>
      </c>
      <c r="Y160" s="12">
        <v>-8.3561406925078963E-3</v>
      </c>
      <c r="Z160" s="12">
        <v>3.9810772699254482E-2</v>
      </c>
      <c r="AA160" s="12">
        <v>1.179353709493669E-2</v>
      </c>
      <c r="AB160" s="12">
        <v>1.5482906462351842E-3</v>
      </c>
      <c r="AC160" s="12">
        <v>-3.052012538160076E-2</v>
      </c>
    </row>
    <row r="161" spans="12:29" x14ac:dyDescent="0.2">
      <c r="L161" s="11">
        <v>44427</v>
      </c>
      <c r="M161" s="10">
        <v>19.729757308959961</v>
      </c>
      <c r="N161" s="10">
        <v>44.252456665039062</v>
      </c>
      <c r="O161" s="10">
        <v>136.13761901855469</v>
      </c>
      <c r="P161" s="10">
        <v>143.08695983886719</v>
      </c>
      <c r="Q161" s="10">
        <v>411.10662841796869</v>
      </c>
      <c r="R161" s="10">
        <v>155.14228820800781</v>
      </c>
      <c r="S161" s="10">
        <v>127.51209259033205</v>
      </c>
      <c r="V161" s="11">
        <v>44428</v>
      </c>
      <c r="W161" s="12">
        <v>1.0156603994711855E-2</v>
      </c>
      <c r="X161" s="12">
        <v>4.8720396207291294E-3</v>
      </c>
      <c r="Y161" s="12">
        <v>2.8521903649609825E-3</v>
      </c>
      <c r="Z161" s="12">
        <v>5.1419290753402569E-2</v>
      </c>
      <c r="AA161" s="12">
        <v>6.8951219285984244E-4</v>
      </c>
      <c r="AB161" s="12">
        <v>7.9570833712541145E-3</v>
      </c>
      <c r="AC161" s="12">
        <v>1.8938812721769338E-4</v>
      </c>
    </row>
    <row r="162" spans="12:29" x14ac:dyDescent="0.2">
      <c r="L162" s="11">
        <v>44428</v>
      </c>
      <c r="M162" s="10">
        <v>20.744247436523441</v>
      </c>
      <c r="N162" s="10">
        <v>44.260837554931641</v>
      </c>
      <c r="O162" s="10">
        <v>136.52590942382812</v>
      </c>
      <c r="P162" s="10">
        <v>144.54023742675781</v>
      </c>
      <c r="Q162" s="10">
        <v>414.37783813476562</v>
      </c>
      <c r="R162" s="10">
        <v>155.89814758300781</v>
      </c>
      <c r="S162" s="10">
        <v>127.60001373291016</v>
      </c>
      <c r="V162" s="11">
        <v>44431</v>
      </c>
      <c r="W162" s="12">
        <v>1.0257174675265546E-2</v>
      </c>
      <c r="X162" s="12">
        <v>-4.3164583215269392E-3</v>
      </c>
      <c r="Y162" s="12">
        <v>1.2797068007307733E-2</v>
      </c>
      <c r="Z162" s="12">
        <v>5.486173174597897E-2</v>
      </c>
      <c r="AA162" s="12">
        <v>-5.1000344458754787E-3</v>
      </c>
      <c r="AB162" s="12">
        <v>8.7965879169409344E-3</v>
      </c>
      <c r="AC162" s="12">
        <v>4.1145204574137173E-2</v>
      </c>
    </row>
    <row r="163" spans="12:29" x14ac:dyDescent="0.2">
      <c r="L163" s="11">
        <v>44431</v>
      </c>
      <c r="M163" s="10">
        <v>21.882312774658203</v>
      </c>
      <c r="N163" s="10">
        <v>46.081958770751953</v>
      </c>
      <c r="O163" s="10">
        <v>138.27304077148438</v>
      </c>
      <c r="P163" s="10">
        <v>146.02281188964844</v>
      </c>
      <c r="Q163" s="10">
        <v>418.02294921875</v>
      </c>
      <c r="R163" s="10">
        <v>155.2252197265625</v>
      </c>
      <c r="S163" s="10">
        <v>126.94924926757812</v>
      </c>
      <c r="V163" s="11">
        <v>44432</v>
      </c>
      <c r="W163" s="12">
        <v>-6.0106057095943299E-4</v>
      </c>
      <c r="X163" s="12">
        <v>-1.2499655946618615E-2</v>
      </c>
      <c r="Y163" s="12">
        <v>6.1905599533518263E-3</v>
      </c>
      <c r="Z163" s="12">
        <v>-7.5143162415884923E-3</v>
      </c>
      <c r="AA163" s="12">
        <v>-8.1054157182202102E-3</v>
      </c>
      <c r="AB163" s="12">
        <v>1.5874839828013965E-3</v>
      </c>
      <c r="AC163" s="12">
        <v>8.1953730715509376E-3</v>
      </c>
    </row>
    <row r="164" spans="12:29" x14ac:dyDescent="0.2">
      <c r="L164" s="11">
        <v>44432</v>
      </c>
      <c r="M164" s="10">
        <v>21.71788215637207</v>
      </c>
      <c r="N164" s="10">
        <v>46.459617614746094</v>
      </c>
      <c r="O164" s="10">
        <v>139.1290283203125</v>
      </c>
      <c r="P164" s="10">
        <v>145.93504333496094</v>
      </c>
      <c r="Q164" s="10">
        <v>418.68655395507812</v>
      </c>
      <c r="R164" s="10">
        <v>153.28495788574219</v>
      </c>
      <c r="S164" s="10">
        <v>125.92027282714844</v>
      </c>
      <c r="V164" s="11">
        <v>44433</v>
      </c>
      <c r="W164" s="12">
        <v>-8.4212681327131556E-3</v>
      </c>
      <c r="X164" s="12">
        <v>-6.6137862403183867E-3</v>
      </c>
      <c r="Y164" s="12">
        <v>2.0612505428845962E-2</v>
      </c>
      <c r="Z164" s="12">
        <v>1.9272247434993783E-2</v>
      </c>
      <c r="AA164" s="12">
        <v>-3.5618507349032269E-3</v>
      </c>
      <c r="AB164" s="12">
        <v>2.0985426532018625E-3</v>
      </c>
      <c r="AC164" s="12">
        <v>1.8062896221480162E-3</v>
      </c>
    </row>
    <row r="165" spans="12:29" x14ac:dyDescent="0.2">
      <c r="L165" s="11">
        <v>44433</v>
      </c>
      <c r="M165" s="10">
        <v>22.136434555053711</v>
      </c>
      <c r="N165" s="10">
        <v>46.543537139892578</v>
      </c>
      <c r="O165" s="10">
        <v>141.996826171875</v>
      </c>
      <c r="P165" s="10">
        <v>144.70608520507812</v>
      </c>
      <c r="Q165" s="10">
        <v>419.565185546875</v>
      </c>
      <c r="R165" s="10">
        <v>152.27116394042969</v>
      </c>
      <c r="S165" s="10">
        <v>125.47176361083984</v>
      </c>
      <c r="V165" s="11">
        <v>44434</v>
      </c>
      <c r="W165" s="12">
        <v>-5.5273087095445428E-3</v>
      </c>
      <c r="X165" s="12">
        <v>-5.3376794211745793E-3</v>
      </c>
      <c r="Y165" s="12">
        <v>5.1576934384880424E-3</v>
      </c>
      <c r="Z165" s="12">
        <v>-6.5279052396516324E-3</v>
      </c>
      <c r="AA165" s="12">
        <v>-1.7522977702256748E-3</v>
      </c>
      <c r="AB165" s="12">
        <v>-5.9034156338610977E-3</v>
      </c>
      <c r="AC165" s="12">
        <v>-1.3523360868262002E-2</v>
      </c>
    </row>
    <row r="166" spans="12:29" x14ac:dyDescent="0.2">
      <c r="L166" s="11">
        <v>44434</v>
      </c>
      <c r="M166" s="10">
        <v>21.99193000793457</v>
      </c>
      <c r="N166" s="10">
        <v>45.914112091064453</v>
      </c>
      <c r="O166" s="10">
        <v>142.72920227050781</v>
      </c>
      <c r="P166" s="10">
        <v>143.90625</v>
      </c>
      <c r="Q166" s="10">
        <v>417.08831787109375</v>
      </c>
      <c r="R166" s="10">
        <v>151.45838928222656</v>
      </c>
      <c r="S166" s="10">
        <v>125.25189971923828</v>
      </c>
      <c r="V166" s="11">
        <v>44435</v>
      </c>
      <c r="W166" s="12">
        <v>7.1845734934854466E-3</v>
      </c>
      <c r="X166" s="12">
        <v>-2.1349031939122964E-3</v>
      </c>
      <c r="Y166" s="12">
        <v>8.0373953070489446E-3</v>
      </c>
      <c r="Z166" s="12">
        <v>2.5738707496592683E-2</v>
      </c>
      <c r="AA166" s="12">
        <v>-7.7236930436253015E-4</v>
      </c>
      <c r="AB166" s="12">
        <v>8.9409276988985376E-3</v>
      </c>
      <c r="AC166" s="12">
        <v>1.9375032246716994E-2</v>
      </c>
    </row>
    <row r="167" spans="12:29" x14ac:dyDescent="0.2">
      <c r="L167" s="11">
        <v>44435</v>
      </c>
      <c r="M167" s="10">
        <v>22.557973861694336</v>
      </c>
      <c r="N167" s="10">
        <v>46.803699493408203</v>
      </c>
      <c r="O167" s="10">
        <v>143.87637329101562</v>
      </c>
      <c r="P167" s="10">
        <v>144.94015502929688</v>
      </c>
      <c r="Q167" s="10">
        <v>420.81747436523438</v>
      </c>
      <c r="R167" s="10">
        <v>151.13504028320312</v>
      </c>
      <c r="S167" s="10">
        <v>125.15515899658205</v>
      </c>
      <c r="V167" s="11">
        <v>44438</v>
      </c>
      <c r="W167" s="12">
        <v>3.0417006446499917E-2</v>
      </c>
      <c r="X167" s="12">
        <v>4.2211916542165273E-3</v>
      </c>
      <c r="Y167" s="12">
        <v>-1.6007390751294759E-2</v>
      </c>
      <c r="Z167" s="12">
        <v>2.2973101516672312E-3</v>
      </c>
      <c r="AA167" s="12">
        <v>4.3565917964254464E-3</v>
      </c>
      <c r="AB167" s="12">
        <v>4.3977426922392482E-3</v>
      </c>
      <c r="AC167" s="12">
        <v>-1.0937942796941491E-2</v>
      </c>
    </row>
    <row r="168" spans="12:29" x14ac:dyDescent="0.2">
      <c r="L168" s="11">
        <v>44438</v>
      </c>
      <c r="M168" s="10">
        <v>22.609796524047852</v>
      </c>
      <c r="N168" s="10">
        <v>46.291763305664062</v>
      </c>
      <c r="O168" s="10">
        <v>141.57328796386719</v>
      </c>
      <c r="P168" s="10">
        <v>149.34880065917969</v>
      </c>
      <c r="Q168" s="10">
        <v>422.66812133789062</v>
      </c>
      <c r="R168" s="10">
        <v>151.77301025390625</v>
      </c>
      <c r="S168" s="10">
        <v>125.70040893554688</v>
      </c>
      <c r="V168" s="11">
        <v>44439</v>
      </c>
      <c r="W168" s="12">
        <v>-8.424635637931277E-3</v>
      </c>
      <c r="X168" s="12">
        <v>-3.0516972841764245E-3</v>
      </c>
      <c r="Y168" s="12">
        <v>-3.0539503200369689E-3</v>
      </c>
      <c r="Z168" s="12">
        <v>-1.3181238977918563E-2</v>
      </c>
      <c r="AA168" s="12">
        <v>-3.7779643409208141E-3</v>
      </c>
      <c r="AB168" s="12">
        <v>-1.4815174221437521E-3</v>
      </c>
      <c r="AC168" s="12">
        <v>-1.1602368928236961E-2</v>
      </c>
    </row>
    <row r="169" spans="12:29" x14ac:dyDescent="0.2">
      <c r="L169" s="11">
        <v>44439</v>
      </c>
      <c r="M169" s="10">
        <v>22.311771392822266</v>
      </c>
      <c r="N169" s="10">
        <v>45.754669189453125</v>
      </c>
      <c r="O169" s="10">
        <v>141.14093017578125</v>
      </c>
      <c r="P169" s="10">
        <v>148.09059143066406</v>
      </c>
      <c r="Q169" s="10">
        <v>422.04193115234375</v>
      </c>
      <c r="R169" s="10">
        <v>151.30984497070312</v>
      </c>
      <c r="S169" s="10">
        <v>125.22551727294922</v>
      </c>
      <c r="V169" s="11">
        <v>44440</v>
      </c>
      <c r="W169" s="12">
        <v>4.478909128189601E-3</v>
      </c>
      <c r="X169" s="12">
        <v>3.5231088551490597E-3</v>
      </c>
      <c r="Y169" s="12">
        <v>-1.4380832821251355E-3</v>
      </c>
      <c r="Z169" s="12">
        <v>2.501839235671266E-3</v>
      </c>
      <c r="AA169" s="12">
        <v>1.0183288097359133E-2</v>
      </c>
      <c r="AB169" s="12">
        <v>5.3147372965134387E-4</v>
      </c>
      <c r="AC169" s="12">
        <v>-1.375643721790798E-2</v>
      </c>
    </row>
    <row r="170" spans="12:29" x14ac:dyDescent="0.2">
      <c r="L170" s="11">
        <v>44440</v>
      </c>
      <c r="M170" s="10">
        <v>22.367591857910156</v>
      </c>
      <c r="N170" s="10">
        <v>45.125247955322266</v>
      </c>
      <c r="O170" s="10">
        <v>140.93795776367188</v>
      </c>
      <c r="P170" s="10">
        <v>148.75387573242188</v>
      </c>
      <c r="Q170" s="10">
        <v>422.2662353515625</v>
      </c>
      <c r="R170" s="10">
        <v>151.84292602539062</v>
      </c>
      <c r="S170" s="10">
        <v>126.50072479248048</v>
      </c>
      <c r="V170" s="11">
        <v>44441</v>
      </c>
      <c r="W170" s="12">
        <v>7.4747141526274596E-3</v>
      </c>
      <c r="X170" s="12">
        <v>6.8491388657705432E-3</v>
      </c>
      <c r="Y170" s="12">
        <v>4.6331352426403072E-3</v>
      </c>
      <c r="Z170" s="12">
        <v>-2.0052766848639436E-3</v>
      </c>
      <c r="AA170" s="12">
        <v>7.6462379188613205E-4</v>
      </c>
      <c r="AB170" s="12">
        <v>3.0763571398630951E-3</v>
      </c>
      <c r="AC170" s="12">
        <v>2.4362868748168287E-2</v>
      </c>
    </row>
    <row r="171" spans="12:29" x14ac:dyDescent="0.2">
      <c r="L171" s="11">
        <v>44441</v>
      </c>
      <c r="M171" s="10">
        <v>22.322738647460938</v>
      </c>
      <c r="N171" s="10">
        <v>46.224628448486328</v>
      </c>
      <c r="O171" s="10">
        <v>141.5909423828125</v>
      </c>
      <c r="P171" s="10">
        <v>149.86576843261719</v>
      </c>
      <c r="Q171" s="10">
        <v>423.56527709960938</v>
      </c>
      <c r="R171" s="10">
        <v>152.88291931152344</v>
      </c>
      <c r="S171" s="10">
        <v>126.59745025634766</v>
      </c>
      <c r="V171" s="11">
        <v>44442</v>
      </c>
      <c r="W171" s="12">
        <v>4.2303685050188999E-3</v>
      </c>
      <c r="X171" s="12">
        <v>6.2888405268424208E-4</v>
      </c>
      <c r="Y171" s="12">
        <v>-6.0453887489837488E-3</v>
      </c>
      <c r="Z171" s="12">
        <v>1.9958826147020048E-2</v>
      </c>
      <c r="AA171" s="12">
        <v>6.9479511137604533E-4</v>
      </c>
      <c r="AB171" s="12">
        <v>-2.426620138195057E-4</v>
      </c>
      <c r="AC171" s="12">
        <v>-3.8124997472664957E-3</v>
      </c>
    </row>
    <row r="172" spans="12:29" x14ac:dyDescent="0.2">
      <c r="L172" s="11">
        <v>44442</v>
      </c>
      <c r="M172" s="10">
        <v>22.768274307250977</v>
      </c>
      <c r="N172" s="10">
        <v>46.048397064208984</v>
      </c>
      <c r="O172" s="10">
        <v>140.73497009277344</v>
      </c>
      <c r="P172" s="10">
        <v>150.499755859375</v>
      </c>
      <c r="Q172" s="10">
        <v>423.46249389648438</v>
      </c>
      <c r="R172" s="10">
        <v>152.97906494140625</v>
      </c>
      <c r="S172" s="10">
        <v>126.68540954589844</v>
      </c>
      <c r="V172" s="11">
        <v>44446</v>
      </c>
      <c r="W172" s="12">
        <v>1.5489368915738044E-2</v>
      </c>
      <c r="X172" s="12">
        <v>-1.553906405538763E-2</v>
      </c>
      <c r="Y172" s="12">
        <v>-1.7554631485555694E-3</v>
      </c>
      <c r="Z172" s="12">
        <v>-7.9236781562206371E-3</v>
      </c>
      <c r="AA172" s="12">
        <v>-3.7487104717821573E-3</v>
      </c>
      <c r="AB172" s="12">
        <v>-3.5754491255742815E-3</v>
      </c>
      <c r="AC172" s="12">
        <v>-5.832092305467107E-3</v>
      </c>
    </row>
    <row r="173" spans="12:29" x14ac:dyDescent="0.2">
      <c r="L173" s="11">
        <v>44446</v>
      </c>
      <c r="M173" s="10">
        <v>22.587865829467773</v>
      </c>
      <c r="N173" s="10">
        <v>45.779838562011719</v>
      </c>
      <c r="O173" s="10">
        <v>140.4879150390625</v>
      </c>
      <c r="P173" s="10">
        <v>152.83090209960938</v>
      </c>
      <c r="Q173" s="10">
        <v>421.94842529296869</v>
      </c>
      <c r="R173" s="10">
        <v>150.60191345214844</v>
      </c>
      <c r="S173" s="10">
        <v>126.21050262451172</v>
      </c>
      <c r="V173" s="11">
        <v>44447</v>
      </c>
      <c r="W173" s="12">
        <v>-1.0083540952678716E-2</v>
      </c>
      <c r="X173" s="12">
        <v>-2.4375251207034987E-3</v>
      </c>
      <c r="Y173" s="12">
        <v>-4.4595339032754699E-3</v>
      </c>
      <c r="Z173" s="12">
        <v>-1.4252846114944706E-2</v>
      </c>
      <c r="AA173" s="12">
        <v>7.5952100335960893E-3</v>
      </c>
      <c r="AB173" s="12">
        <v>-1.2183932686482546E-3</v>
      </c>
      <c r="AC173" s="12">
        <v>-9.1659715804884856E-3</v>
      </c>
    </row>
    <row r="174" spans="12:29" x14ac:dyDescent="0.2">
      <c r="L174" s="11">
        <v>44447</v>
      </c>
      <c r="M174" s="10">
        <v>22.265924453735352</v>
      </c>
      <c r="N174" s="10">
        <v>45.360221862792969</v>
      </c>
      <c r="O174" s="10">
        <v>139.86140441894531</v>
      </c>
      <c r="P174" s="10">
        <v>151.28982543945312</v>
      </c>
      <c r="Q174" s="10">
        <v>421.434326171875</v>
      </c>
      <c r="R174" s="10">
        <v>150.23481750488281</v>
      </c>
      <c r="S174" s="10">
        <v>127.16909790039062</v>
      </c>
      <c r="V174" s="11">
        <v>44448</v>
      </c>
      <c r="W174" s="12">
        <v>-6.7050397733519063E-3</v>
      </c>
      <c r="X174" s="12">
        <v>-2.2280286526554671E-2</v>
      </c>
      <c r="Y174" s="12">
        <v>4.353609775825884E-3</v>
      </c>
      <c r="Z174" s="12">
        <v>-7.251992653264927E-3</v>
      </c>
      <c r="AA174" s="12">
        <v>-4.2184845636401569E-3</v>
      </c>
      <c r="AB174" s="12">
        <v>-4.2801508520184939E-3</v>
      </c>
      <c r="AC174" s="12">
        <v>7.4014520335285994E-4</v>
      </c>
    </row>
    <row r="175" spans="12:29" x14ac:dyDescent="0.2">
      <c r="L175" s="11">
        <v>44448</v>
      </c>
      <c r="M175" s="10">
        <v>22.104452133178711</v>
      </c>
      <c r="N175" s="10">
        <v>45.393795013427734</v>
      </c>
      <c r="O175" s="10">
        <v>140.47030639648438</v>
      </c>
      <c r="P175" s="10">
        <v>150.27542114257812</v>
      </c>
      <c r="Q175" s="10">
        <v>419.63052368164062</v>
      </c>
      <c r="R175" s="10">
        <v>146.88754272460938</v>
      </c>
      <c r="S175" s="10">
        <v>126.63263702392578</v>
      </c>
      <c r="V175" s="11">
        <v>44449</v>
      </c>
      <c r="W175" s="12">
        <v>-3.3101655590473622E-2</v>
      </c>
      <c r="X175" s="12">
        <v>-6.5449031841737781E-3</v>
      </c>
      <c r="Y175" s="12">
        <v>-1.1496153211942528E-2</v>
      </c>
      <c r="Z175" s="12">
        <v>1.3572754879391136E-2</v>
      </c>
      <c r="AA175" s="12">
        <v>9.7228622761802441E-4</v>
      </c>
      <c r="AB175" s="12">
        <v>-7.8843947904843059E-3</v>
      </c>
      <c r="AC175" s="12">
        <v>-2.0334947630240574E-3</v>
      </c>
    </row>
    <row r="176" spans="12:29" x14ac:dyDescent="0.2">
      <c r="L176" s="11">
        <v>44449</v>
      </c>
      <c r="M176" s="10">
        <v>22.404470443725582</v>
      </c>
      <c r="N176" s="10">
        <v>45.301486968994141</v>
      </c>
      <c r="O176" s="10">
        <v>138.85543823242188</v>
      </c>
      <c r="P176" s="10">
        <v>145.30105590820312</v>
      </c>
      <c r="Q176" s="10">
        <v>416.32199096679688</v>
      </c>
      <c r="R176" s="10">
        <v>145.92617797851562</v>
      </c>
      <c r="S176" s="10">
        <v>126.75576019287109</v>
      </c>
      <c r="V176" s="11">
        <v>44452</v>
      </c>
      <c r="W176" s="12">
        <v>3.8932207572630606E-3</v>
      </c>
      <c r="X176" s="12">
        <v>-7.0072227314543767E-3</v>
      </c>
      <c r="Y176" s="12">
        <v>1.588742015136213E-2</v>
      </c>
      <c r="Z176" s="12">
        <v>-1.4503087968691486E-2</v>
      </c>
      <c r="AA176" s="12">
        <v>1.0754038234079166E-2</v>
      </c>
      <c r="AB176" s="12">
        <v>2.5589283244242811E-3</v>
      </c>
      <c r="AC176" s="12">
        <v>2.5750045492771489E-2</v>
      </c>
    </row>
    <row r="177" spans="12:29" x14ac:dyDescent="0.2">
      <c r="L177" s="11">
        <v>44452</v>
      </c>
      <c r="M177" s="10">
        <v>22.079536437988281</v>
      </c>
      <c r="N177" s="10">
        <v>46.468002319335938</v>
      </c>
      <c r="O177" s="10">
        <v>141.06149291992188</v>
      </c>
      <c r="P177" s="10">
        <v>145.86674499511719</v>
      </c>
      <c r="Q177" s="10">
        <v>417.3873291015625</v>
      </c>
      <c r="R177" s="10">
        <v>144.90364074707031</v>
      </c>
      <c r="S177" s="10">
        <v>128.118896484375</v>
      </c>
      <c r="V177" s="11">
        <v>44453</v>
      </c>
      <c r="W177" s="12">
        <v>-9.5620879828418603E-3</v>
      </c>
      <c r="X177" s="12">
        <v>-6.0315456217379104E-3</v>
      </c>
      <c r="Y177" s="12">
        <v>-1.7452880090292666E-2</v>
      </c>
      <c r="Z177" s="12">
        <v>4.0628761002470259E-3</v>
      </c>
      <c r="AA177" s="12">
        <v>-1.7159139631269804E-3</v>
      </c>
      <c r="AB177" s="12">
        <v>-5.3963062519503113E-3</v>
      </c>
      <c r="AC177" s="12">
        <v>-1.4267433349522074E-2</v>
      </c>
    </row>
    <row r="178" spans="12:29" x14ac:dyDescent="0.2">
      <c r="L178" s="11">
        <v>44453</v>
      </c>
      <c r="M178" s="10">
        <v>22.169242858886719</v>
      </c>
      <c r="N178" s="10">
        <v>45.805023193359375</v>
      </c>
      <c r="O178" s="10">
        <v>138.59956359863281</v>
      </c>
      <c r="P178" s="10">
        <v>144.47195434570312</v>
      </c>
      <c r="Q178" s="10">
        <v>415.13497924804688</v>
      </c>
      <c r="R178" s="10">
        <v>144.02964782714844</v>
      </c>
      <c r="S178" s="10">
        <v>127.89905548095705</v>
      </c>
      <c r="V178" s="11">
        <v>44454</v>
      </c>
      <c r="W178" s="12">
        <v>6.143990239238839E-3</v>
      </c>
      <c r="X178" s="12">
        <v>3.7624242157139332E-3</v>
      </c>
      <c r="Y178" s="12">
        <v>6.9395781977419357E-3</v>
      </c>
      <c r="Z178" s="12">
        <v>4.4508902468780587E-3</v>
      </c>
      <c r="AA178" s="12">
        <v>-2.1318916713420899E-3</v>
      </c>
      <c r="AB178" s="12">
        <v>8.3526285065149697E-3</v>
      </c>
      <c r="AC178" s="12">
        <v>3.3711896352883075E-2</v>
      </c>
    </row>
    <row r="179" spans="12:29" x14ac:dyDescent="0.2">
      <c r="L179" s="11">
        <v>44454</v>
      </c>
      <c r="M179" s="10">
        <v>22.267915725708008</v>
      </c>
      <c r="N179" s="10">
        <v>47.349197387695312</v>
      </c>
      <c r="O179" s="10">
        <v>139.56138610839844</v>
      </c>
      <c r="P179" s="10">
        <v>145.35958862304688</v>
      </c>
      <c r="Q179" s="10">
        <v>418.60244750976562</v>
      </c>
      <c r="R179" s="10">
        <v>144.57154846191406</v>
      </c>
      <c r="S179" s="10">
        <v>127.62638854980467</v>
      </c>
      <c r="V179" s="11">
        <v>44455</v>
      </c>
      <c r="W179" s="12">
        <v>-1.6107011693748952E-3</v>
      </c>
      <c r="X179" s="12">
        <v>-1.2091223298065223E-3</v>
      </c>
      <c r="Y179" s="12">
        <v>-4.4247424776922006E-4</v>
      </c>
      <c r="Z179" s="12">
        <v>-4.4311676061973282E-3</v>
      </c>
      <c r="AA179" s="12">
        <v>-6.9594265890158269E-3</v>
      </c>
      <c r="AB179" s="12">
        <v>-1.5852863266229145E-3</v>
      </c>
      <c r="AC179" s="12">
        <v>-1.0634605586648305E-2</v>
      </c>
    </row>
    <row r="180" spans="12:29" x14ac:dyDescent="0.2">
      <c r="L180" s="11">
        <v>44455</v>
      </c>
      <c r="M180" s="10">
        <v>22.169242858886719</v>
      </c>
      <c r="N180" s="10">
        <v>46.845657348632812</v>
      </c>
      <c r="O180" s="10">
        <v>139.4996337890625</v>
      </c>
      <c r="P180" s="10">
        <v>145.12545776367188</v>
      </c>
      <c r="Q180" s="10">
        <v>417.9388427734375</v>
      </c>
      <c r="R180" s="10">
        <v>144.39674377441406</v>
      </c>
      <c r="S180" s="10">
        <v>126.73818206787109</v>
      </c>
      <c r="V180" s="11">
        <v>44456</v>
      </c>
      <c r="W180" s="12">
        <v>-1.8347919690815062E-2</v>
      </c>
      <c r="X180" s="12">
        <v>-2.8447082034219751E-3</v>
      </c>
      <c r="Y180" s="12">
        <v>-2.5934540388753424E-3</v>
      </c>
      <c r="Z180" s="12">
        <v>-1.5376318885856999E-2</v>
      </c>
      <c r="AA180" s="12">
        <v>1.5957907579942088E-3</v>
      </c>
      <c r="AB180" s="12">
        <v>-9.7409131202437216E-3</v>
      </c>
      <c r="AC180" s="12">
        <v>-1.1823807676484943E-2</v>
      </c>
    </row>
    <row r="181" spans="12:29" x14ac:dyDescent="0.2">
      <c r="L181" s="11">
        <v>44456</v>
      </c>
      <c r="M181" s="10">
        <v>21.828361511230469</v>
      </c>
      <c r="N181" s="10">
        <v>46.291763305664062</v>
      </c>
      <c r="O181" s="10">
        <v>139.13784790039062</v>
      </c>
      <c r="P181" s="10">
        <v>142.46270751953125</v>
      </c>
      <c r="Q181" s="10">
        <v>413.86773681640625</v>
      </c>
      <c r="R181" s="10">
        <v>143.98597717285156</v>
      </c>
      <c r="S181" s="10">
        <v>126.9404296875</v>
      </c>
      <c r="V181" s="11">
        <v>44459</v>
      </c>
      <c r="W181" s="12">
        <v>-2.1360934729269254E-2</v>
      </c>
      <c r="X181" s="12">
        <v>-5.705541334415698E-3</v>
      </c>
      <c r="Y181" s="12">
        <v>-2.9933965291365827E-2</v>
      </c>
      <c r="Z181" s="12">
        <v>-3.5936341677131778E-2</v>
      </c>
      <c r="AA181" s="12">
        <v>-1.0045595905744498E-2</v>
      </c>
      <c r="AB181" s="12">
        <v>-1.6674264088547552E-2</v>
      </c>
      <c r="AC181" s="12">
        <v>-2.6649618610728454E-2</v>
      </c>
    </row>
    <row r="182" spans="12:29" x14ac:dyDescent="0.2">
      <c r="L182" s="11">
        <v>44459</v>
      </c>
      <c r="M182" s="10">
        <v>21.043930053710938</v>
      </c>
      <c r="N182" s="10">
        <v>45.05810546875</v>
      </c>
      <c r="O182" s="10">
        <v>134.972900390625</v>
      </c>
      <c r="P182" s="10">
        <v>139.41957092285156</v>
      </c>
      <c r="Q182" s="10">
        <v>406.966796875</v>
      </c>
      <c r="R182" s="10">
        <v>143.16445922851562</v>
      </c>
      <c r="S182" s="10">
        <v>125.6652374267578</v>
      </c>
      <c r="V182" s="11">
        <v>44460</v>
      </c>
      <c r="W182" s="12">
        <v>3.4278205726365751E-3</v>
      </c>
      <c r="X182" s="12">
        <v>4.3952385022807405E-3</v>
      </c>
      <c r="Y182" s="12">
        <v>1.3046057784316112E-4</v>
      </c>
      <c r="Z182" s="12">
        <v>6.2996008367564027E-3</v>
      </c>
      <c r="AA182" s="12">
        <v>1.5398397954635712E-3</v>
      </c>
      <c r="AB182" s="12">
        <v>-9.4462234902836784E-4</v>
      </c>
      <c r="AC182" s="12">
        <v>-9.3102507070952356E-4</v>
      </c>
    </row>
    <row r="183" spans="12:29" x14ac:dyDescent="0.2">
      <c r="L183" s="11">
        <v>44460</v>
      </c>
      <c r="M183" s="10">
        <v>21.176498413085938</v>
      </c>
      <c r="N183" s="10">
        <v>45.016155242919922</v>
      </c>
      <c r="O183" s="10">
        <v>134.99050903320312</v>
      </c>
      <c r="P183" s="10">
        <v>139.89747619628906</v>
      </c>
      <c r="Q183" s="10">
        <v>406.58236694335938</v>
      </c>
      <c r="R183" s="10">
        <v>143.793701171875</v>
      </c>
      <c r="S183" s="10">
        <v>125.85874176025391</v>
      </c>
      <c r="V183" s="11">
        <v>44461</v>
      </c>
      <c r="W183" s="12">
        <v>1.6872118679090775E-2</v>
      </c>
      <c r="X183" s="12">
        <v>-3.6465646483151426E-3</v>
      </c>
      <c r="Y183" s="12">
        <v>1.9152822204071107E-2</v>
      </c>
      <c r="Z183" s="12">
        <v>3.2712024516094562E-2</v>
      </c>
      <c r="AA183" s="12">
        <v>3.4238659618488487E-3</v>
      </c>
      <c r="AB183" s="12">
        <v>9.7546395898608917E-3</v>
      </c>
      <c r="AC183" s="12">
        <v>2.9269073950180191E-2</v>
      </c>
    </row>
    <row r="184" spans="12:29" x14ac:dyDescent="0.2">
      <c r="L184" s="11">
        <v>44461</v>
      </c>
      <c r="M184" s="10">
        <v>21.869224548339844</v>
      </c>
      <c r="N184" s="10">
        <v>46.333736419677734</v>
      </c>
      <c r="O184" s="10">
        <v>137.57595825195312</v>
      </c>
      <c r="P184" s="10">
        <v>142.25784301757812</v>
      </c>
      <c r="Q184" s="10">
        <v>410.54843139648438</v>
      </c>
      <c r="R184" s="10">
        <v>143.26934814453125</v>
      </c>
      <c r="S184" s="10">
        <v>126.28966522216795</v>
      </c>
      <c r="V184" s="11">
        <v>44462</v>
      </c>
      <c r="W184" s="12">
        <v>6.719610941101628E-3</v>
      </c>
      <c r="X184" s="12">
        <v>5.6727338566240348E-3</v>
      </c>
      <c r="Y184" s="12">
        <v>3.3801462216029865E-2</v>
      </c>
      <c r="Z184" s="12">
        <v>2.4656952885510064E-2</v>
      </c>
      <c r="AA184" s="12">
        <v>4.1085507017777356E-3</v>
      </c>
      <c r="AB184" s="12">
        <v>1.2150138286672441E-2</v>
      </c>
      <c r="AC184" s="12">
        <v>3.3870759126110483E-2</v>
      </c>
    </row>
    <row r="185" spans="12:29" x14ac:dyDescent="0.2">
      <c r="L185" s="11">
        <v>44462</v>
      </c>
      <c r="M185" s="10">
        <v>22.408452987670898</v>
      </c>
      <c r="N185" s="10">
        <v>47.903095245361328</v>
      </c>
      <c r="O185" s="10">
        <v>142.22622680664062</v>
      </c>
      <c r="P185" s="10">
        <v>143.21376037597656</v>
      </c>
      <c r="Q185" s="10">
        <v>415.53665161132812</v>
      </c>
      <c r="R185" s="10">
        <v>144.08207702636719</v>
      </c>
      <c r="S185" s="10">
        <v>126.80853271484376</v>
      </c>
      <c r="V185" s="11">
        <v>44463</v>
      </c>
      <c r="W185" s="12">
        <v>6.1274346590756146E-4</v>
      </c>
      <c r="X185" s="12">
        <v>-3.0325452951703857E-3</v>
      </c>
      <c r="Y185" s="12">
        <v>1.1540362139518479E-2</v>
      </c>
      <c r="Z185" s="12">
        <v>-1.7836345339223847E-2</v>
      </c>
      <c r="AA185" s="12">
        <v>-4.4384084565547433E-3</v>
      </c>
      <c r="AB185" s="12">
        <v>1.6470694509267414E-3</v>
      </c>
      <c r="AC185" s="12">
        <v>8.9347337915506309E-3</v>
      </c>
    </row>
    <row r="186" spans="12:29" x14ac:dyDescent="0.2">
      <c r="L186" s="11">
        <v>44463</v>
      </c>
      <c r="M186" s="10">
        <v>22.008768081665039</v>
      </c>
      <c r="N186" s="10">
        <v>48.331096649169922</v>
      </c>
      <c r="O186" s="10">
        <v>143.86756896972656</v>
      </c>
      <c r="P186" s="10">
        <v>143.301513671875</v>
      </c>
      <c r="Q186" s="10">
        <v>416.2210693359375</v>
      </c>
      <c r="R186" s="10">
        <v>143.6451416015625</v>
      </c>
      <c r="S186" s="10">
        <v>126.24570465087891</v>
      </c>
      <c r="V186" s="11">
        <v>44466</v>
      </c>
      <c r="W186" s="12">
        <v>-1.0549642822460736E-2</v>
      </c>
      <c r="X186" s="12">
        <v>-7.2401233576462332E-3</v>
      </c>
      <c r="Y186" s="12">
        <v>2.416607935192272E-2</v>
      </c>
      <c r="Z186" s="12">
        <v>-1.9066060960749143E-2</v>
      </c>
      <c r="AA186" s="12">
        <v>-1.316639589704105E-2</v>
      </c>
      <c r="AB186" s="12">
        <v>-2.8608231322383437E-3</v>
      </c>
      <c r="AC186" s="12">
        <v>2.9692557215411641E-2</v>
      </c>
    </row>
    <row r="187" spans="12:29" x14ac:dyDescent="0.2">
      <c r="L187" s="11">
        <v>44466</v>
      </c>
      <c r="M187" s="10">
        <v>21.589147567749023</v>
      </c>
      <c r="N187" s="10">
        <v>49.766170501708984</v>
      </c>
      <c r="O187" s="10">
        <v>147.34428405761719</v>
      </c>
      <c r="P187" s="10">
        <v>141.78973388671875</v>
      </c>
      <c r="Q187" s="10">
        <v>415.03033447265625</v>
      </c>
      <c r="R187" s="10">
        <v>142.60513305664062</v>
      </c>
      <c r="S187" s="10">
        <v>124.58350372314452</v>
      </c>
      <c r="V187" s="11">
        <v>44467</v>
      </c>
      <c r="W187" s="12">
        <v>-2.3801452638584131E-2</v>
      </c>
      <c r="X187" s="12">
        <v>-2.206345758562378E-3</v>
      </c>
      <c r="Y187" s="12">
        <v>-5.390232649897353E-3</v>
      </c>
      <c r="Z187" s="12">
        <v>-4.4367440706193917E-2</v>
      </c>
      <c r="AA187" s="12">
        <v>-7.5533045929585541E-3</v>
      </c>
      <c r="AB187" s="12">
        <v>-2.0151967901677947E-2</v>
      </c>
      <c r="AC187" s="12">
        <v>1.0455236406402779E-2</v>
      </c>
    </row>
    <row r="188" spans="12:29" x14ac:dyDescent="0.2">
      <c r="L188" s="11">
        <v>44467</v>
      </c>
      <c r="M188" s="10">
        <v>20.631292343139648</v>
      </c>
      <c r="N188" s="10">
        <v>50.286487579345703</v>
      </c>
      <c r="O188" s="10">
        <v>146.55006408691406</v>
      </c>
      <c r="P188" s="10">
        <v>138.41493225097656</v>
      </c>
      <c r="Q188" s="10">
        <v>406.66665649414062</v>
      </c>
      <c r="R188" s="10">
        <v>142.29049682617188</v>
      </c>
      <c r="S188" s="10">
        <v>123.64248657226562</v>
      </c>
      <c r="V188" s="11">
        <v>44468</v>
      </c>
      <c r="W188" s="12">
        <v>6.4828526359526073E-3</v>
      </c>
      <c r="X188" s="12">
        <v>7.4319447944537487E-3</v>
      </c>
      <c r="Y188" s="12">
        <v>-7.8287809477106673E-4</v>
      </c>
      <c r="Z188" s="12">
        <v>-8.792945822211351E-3</v>
      </c>
      <c r="AA188" s="12">
        <v>1.0171622135609848E-2</v>
      </c>
      <c r="AB188" s="12">
        <v>1.6833696630100814E-3</v>
      </c>
      <c r="AC188" s="12">
        <v>-6.674100371399927E-4</v>
      </c>
    </row>
    <row r="189" spans="12:29" x14ac:dyDescent="0.2">
      <c r="L189" s="11">
        <v>44468</v>
      </c>
      <c r="M189" s="10">
        <v>20.449882507324219</v>
      </c>
      <c r="N189" s="10">
        <v>50.252925872802734</v>
      </c>
      <c r="O189" s="10">
        <v>146.43533325195312</v>
      </c>
      <c r="P189" s="10">
        <v>139.312255859375</v>
      </c>
      <c r="Q189" s="10">
        <v>407.35122680664062</v>
      </c>
      <c r="R189" s="10">
        <v>143.34799194335938</v>
      </c>
      <c r="S189" s="10">
        <v>124.90013122558594</v>
      </c>
      <c r="V189" s="11">
        <v>44469</v>
      </c>
      <c r="W189" s="12">
        <v>-9.3116427133150825E-3</v>
      </c>
      <c r="X189" s="12">
        <v>-1.5364277689794426E-2</v>
      </c>
      <c r="Y189" s="12">
        <v>-1.3618517699571453E-2</v>
      </c>
      <c r="Z189" s="12">
        <v>9.699459820840417E-3</v>
      </c>
      <c r="AA189" s="12">
        <v>-1.5631568434497423E-2</v>
      </c>
      <c r="AB189" s="12">
        <v>-1.2222427411872183E-2</v>
      </c>
      <c r="AC189" s="12">
        <v>-1.770204933342312E-2</v>
      </c>
    </row>
    <row r="190" spans="12:29" x14ac:dyDescent="0.2">
      <c r="L190" s="11">
        <v>44469</v>
      </c>
      <c r="M190" s="10">
        <v>20.648235321044918</v>
      </c>
      <c r="N190" s="10">
        <v>49.363346099853523</v>
      </c>
      <c r="O190" s="10">
        <v>144.44110107421875</v>
      </c>
      <c r="P190" s="10">
        <v>138.01502990722656</v>
      </c>
      <c r="Q190" s="10">
        <v>402.37240600585938</v>
      </c>
      <c r="R190" s="10">
        <v>141.14555358886719</v>
      </c>
      <c r="S190" s="10">
        <v>122.94774627685548</v>
      </c>
      <c r="V190" s="11">
        <v>44470</v>
      </c>
      <c r="W190" s="12">
        <v>8.1271842982488796E-3</v>
      </c>
      <c r="X190" s="12">
        <v>-6.377542333257491E-3</v>
      </c>
      <c r="Y190" s="12">
        <v>2.101532501480019E-2</v>
      </c>
      <c r="Z190" s="12">
        <v>1.2549856257684233E-3</v>
      </c>
      <c r="AA190" s="12">
        <v>-1.5739366417899525E-3</v>
      </c>
      <c r="AB190" s="12">
        <v>1.1884165713622163E-2</v>
      </c>
      <c r="AC190" s="12">
        <v>3.5872029291426966E-2</v>
      </c>
    </row>
    <row r="191" spans="12:29" x14ac:dyDescent="0.2">
      <c r="L191" s="11">
        <v>44470</v>
      </c>
      <c r="M191" s="10">
        <v>20.674148559570312</v>
      </c>
      <c r="N191" s="10">
        <v>51.134109497070312</v>
      </c>
      <c r="O191" s="10">
        <v>147.47657775878906</v>
      </c>
      <c r="P191" s="10">
        <v>139.13670349121094</v>
      </c>
      <c r="Q191" s="10">
        <v>407.15426635742188</v>
      </c>
      <c r="R191" s="10">
        <v>140.24539184570312</v>
      </c>
      <c r="S191" s="10">
        <v>122.75423431396484</v>
      </c>
      <c r="V191" s="11">
        <v>44473</v>
      </c>
      <c r="W191" s="12">
        <v>-2.4605681900557119E-2</v>
      </c>
      <c r="X191" s="12">
        <v>-7.789582164179687E-3</v>
      </c>
      <c r="Y191" s="12">
        <v>-1.0772864012250638E-3</v>
      </c>
      <c r="Z191" s="12">
        <v>-4.8693686845016848E-2</v>
      </c>
      <c r="AA191" s="12">
        <v>-5.6599142690735293E-3</v>
      </c>
      <c r="AB191" s="12">
        <v>-1.2895949528209716E-2</v>
      </c>
      <c r="AC191" s="12">
        <v>1.2965795068820229E-2</v>
      </c>
    </row>
    <row r="192" spans="12:29" x14ac:dyDescent="0.2">
      <c r="L192" s="11">
        <v>44473</v>
      </c>
      <c r="M192" s="10">
        <v>19.667448043823239</v>
      </c>
      <c r="N192" s="10">
        <v>51.797103881835938</v>
      </c>
      <c r="O192" s="10">
        <v>147.31770324707031</v>
      </c>
      <c r="P192" s="10">
        <v>135.71315002441406</v>
      </c>
      <c r="Q192" s="10">
        <v>401.90362548828131</v>
      </c>
      <c r="R192" s="10">
        <v>139.15293884277344</v>
      </c>
      <c r="S192" s="10">
        <v>122.05945587158205</v>
      </c>
      <c r="V192" s="11">
        <v>44474</v>
      </c>
      <c r="W192" s="12">
        <v>1.415860429676008E-2</v>
      </c>
      <c r="X192" s="12">
        <v>2.2609725263162961E-3</v>
      </c>
      <c r="Y192" s="12">
        <v>1.6330742620134009E-2</v>
      </c>
      <c r="Z192" s="12">
        <v>3.643838323906734E-2</v>
      </c>
      <c r="AA192" s="12">
        <v>3.8909085476788174E-3</v>
      </c>
      <c r="AB192" s="12">
        <v>1.0404889207535684E-2</v>
      </c>
      <c r="AC192" s="12">
        <v>-1.6202322823917203E-3</v>
      </c>
    </row>
    <row r="193" spans="12:29" x14ac:dyDescent="0.2">
      <c r="L193" s="11">
        <v>44474</v>
      </c>
      <c r="M193" s="10">
        <v>20.384098052978516</v>
      </c>
      <c r="N193" s="10">
        <v>51.713180541992188</v>
      </c>
      <c r="O193" s="10">
        <v>149.7235107421875</v>
      </c>
      <c r="P193" s="10">
        <v>137.63465881347656</v>
      </c>
      <c r="Q193" s="10">
        <v>406.08538818359375</v>
      </c>
      <c r="R193" s="10">
        <v>139.46755981445312</v>
      </c>
      <c r="S193" s="10">
        <v>122.5343780517578</v>
      </c>
      <c r="V193" s="11">
        <v>44475</v>
      </c>
      <c r="W193" s="12">
        <v>6.3068561339907347E-3</v>
      </c>
      <c r="X193" s="12">
        <v>2.0681288898447558E-3</v>
      </c>
      <c r="Y193" s="12">
        <v>2.1342644115331932E-3</v>
      </c>
      <c r="Z193" s="12">
        <v>1.2175851008941585E-2</v>
      </c>
      <c r="AA193" s="12">
        <v>1.3349624732875043E-2</v>
      </c>
      <c r="AB193" s="12">
        <v>4.1559808714559665E-3</v>
      </c>
      <c r="AC193" s="12">
        <v>-1.8338189624012458E-2</v>
      </c>
    </row>
    <row r="194" spans="12:29" x14ac:dyDescent="0.2">
      <c r="L194" s="11">
        <v>44475</v>
      </c>
      <c r="M194" s="10">
        <v>20.632291793823239</v>
      </c>
      <c r="N194" s="10">
        <v>50.764854431152344</v>
      </c>
      <c r="O194" s="10">
        <v>150.04306030273438</v>
      </c>
      <c r="P194" s="10">
        <v>138.50270080566406</v>
      </c>
      <c r="Q194" s="10">
        <v>407.7730712890625</v>
      </c>
      <c r="R194" s="10">
        <v>139.75599670410156</v>
      </c>
      <c r="S194" s="10">
        <v>124.170166015625</v>
      </c>
      <c r="V194" s="11">
        <v>44476</v>
      </c>
      <c r="W194" s="12">
        <v>9.0843660173893781E-3</v>
      </c>
      <c r="X194" s="12">
        <v>8.9425223077199689E-3</v>
      </c>
      <c r="Y194" s="12">
        <v>6.3304784535527236E-3</v>
      </c>
      <c r="Z194" s="12">
        <v>1.8115765512958681E-2</v>
      </c>
      <c r="AA194" s="12">
        <v>8.0031424436837195E-3</v>
      </c>
      <c r="AB194" s="12">
        <v>8.6458460872504972E-3</v>
      </c>
      <c r="AC194" s="12">
        <v>2.8102522884867476E-3</v>
      </c>
    </row>
    <row r="195" spans="12:29" x14ac:dyDescent="0.2">
      <c r="L195" s="11">
        <v>44476</v>
      </c>
      <c r="M195" s="10">
        <v>21.006061553955082</v>
      </c>
      <c r="N195" s="10">
        <v>50.907516479492188</v>
      </c>
      <c r="O195" s="10">
        <v>150.99290466308594</v>
      </c>
      <c r="P195" s="10">
        <v>139.76091003417969</v>
      </c>
      <c r="Q195" s="10">
        <v>411.29861450195312</v>
      </c>
      <c r="R195" s="10">
        <v>141.00576782226562</v>
      </c>
      <c r="S195" s="10">
        <v>125.16391754150391</v>
      </c>
      <c r="V195" s="11">
        <v>44477</v>
      </c>
      <c r="W195" s="12">
        <v>-2.7219117994019548E-3</v>
      </c>
      <c r="X195" s="12">
        <v>-2.5414042749265509E-3</v>
      </c>
      <c r="Y195" s="12">
        <v>7.6439009320528051E-4</v>
      </c>
      <c r="Z195" s="12">
        <v>-1.1577988138988693E-2</v>
      </c>
      <c r="AA195" s="12">
        <v>-4.1455037751093604E-3</v>
      </c>
      <c r="AB195" s="12">
        <v>-1.8239378374205195E-3</v>
      </c>
      <c r="AC195" s="12">
        <v>2.5057736547496878E-2</v>
      </c>
    </row>
    <row r="196" spans="12:29" x14ac:dyDescent="0.2">
      <c r="L196" s="11">
        <v>44477</v>
      </c>
      <c r="M196" s="10">
        <v>20.762853622436523</v>
      </c>
      <c r="N196" s="10">
        <v>52.183143615722656</v>
      </c>
      <c r="O196" s="10">
        <v>151.10832214355469</v>
      </c>
      <c r="P196" s="10">
        <v>139.3804931640625</v>
      </c>
      <c r="Q196" s="10">
        <v>410.54843139648438</v>
      </c>
      <c r="R196" s="10">
        <v>140.64741516113281</v>
      </c>
      <c r="S196" s="10">
        <v>124.64505004882812</v>
      </c>
      <c r="V196" s="11">
        <v>44480</v>
      </c>
      <c r="W196" s="12">
        <v>-6.2959524612349327E-4</v>
      </c>
      <c r="X196" s="12">
        <v>-4.2253464589899759E-3</v>
      </c>
      <c r="Y196" s="12">
        <v>-2.1031734210774755E-2</v>
      </c>
      <c r="Z196" s="12">
        <v>-6.5284641385520148E-3</v>
      </c>
      <c r="AA196" s="12">
        <v>4.1627605145373447E-3</v>
      </c>
      <c r="AB196" s="12">
        <v>-7.2395806658380746E-3</v>
      </c>
      <c r="AC196" s="12">
        <v>-9.970979929234236E-3</v>
      </c>
    </row>
    <row r="197" spans="12:29" x14ac:dyDescent="0.2">
      <c r="L197" s="11">
        <v>44480</v>
      </c>
      <c r="M197" s="10">
        <v>20.627304077148441</v>
      </c>
      <c r="N197" s="10">
        <v>51.662826538085938</v>
      </c>
      <c r="O197" s="10">
        <v>147.93025207519531</v>
      </c>
      <c r="P197" s="10">
        <v>139.29273986816406</v>
      </c>
      <c r="Q197" s="10">
        <v>407.57623291015625</v>
      </c>
      <c r="R197" s="10">
        <v>140.05313110351562</v>
      </c>
      <c r="S197" s="10">
        <v>125.16391754150391</v>
      </c>
      <c r="V197" s="11">
        <v>44481</v>
      </c>
      <c r="W197" s="12">
        <v>-9.1028405064517148E-3</v>
      </c>
      <c r="X197" s="12">
        <v>-1.5975229998903995E-2</v>
      </c>
      <c r="Y197" s="12">
        <v>-7.6810589476352664E-3</v>
      </c>
      <c r="Z197" s="12">
        <v>-1.1598158349677146E-3</v>
      </c>
      <c r="AA197" s="12">
        <v>-1.4754821329572287E-3</v>
      </c>
      <c r="AB197" s="12">
        <v>-2.4614655671112429E-3</v>
      </c>
      <c r="AC197" s="12">
        <v>-5.1982928576175258E-3</v>
      </c>
    </row>
    <row r="198" spans="12:29" x14ac:dyDescent="0.2">
      <c r="L198" s="11">
        <v>44481</v>
      </c>
      <c r="M198" s="10">
        <v>20.60338020324707</v>
      </c>
      <c r="N198" s="10">
        <v>51.394268035888672</v>
      </c>
      <c r="O198" s="10">
        <v>146.79399108886719</v>
      </c>
      <c r="P198" s="10">
        <v>138.0247802734375</v>
      </c>
      <c r="Q198" s="10">
        <v>406.572998046875</v>
      </c>
      <c r="R198" s="10">
        <v>137.81575012207031</v>
      </c>
      <c r="S198" s="10">
        <v>124.97924041748048</v>
      </c>
      <c r="V198" s="11">
        <v>44482</v>
      </c>
      <c r="W198" s="12">
        <v>-4.2400762714037699E-3</v>
      </c>
      <c r="X198" s="12">
        <v>9.575844177959203E-3</v>
      </c>
      <c r="Y198" s="12">
        <v>-2.6366666039519981E-2</v>
      </c>
      <c r="Z198" s="12">
        <v>1.2965065605268666E-2</v>
      </c>
      <c r="AA198" s="12">
        <v>2.322285091414189E-3</v>
      </c>
      <c r="AB198" s="12">
        <v>3.5974252442318999E-3</v>
      </c>
      <c r="AC198" s="12">
        <v>-2.7759842330034035E-3</v>
      </c>
    </row>
    <row r="199" spans="12:29" x14ac:dyDescent="0.2">
      <c r="L199" s="11">
        <v>44482</v>
      </c>
      <c r="M199" s="10">
        <v>20.870504379272461</v>
      </c>
      <c r="N199" s="10">
        <v>51.251598358154297</v>
      </c>
      <c r="O199" s="10">
        <v>142.92352294921875</v>
      </c>
      <c r="P199" s="10">
        <v>137.43954467773438</v>
      </c>
      <c r="Q199" s="10">
        <v>408.03561401367188</v>
      </c>
      <c r="R199" s="10">
        <v>139.13545227050781</v>
      </c>
      <c r="S199" s="10">
        <v>125.26947784423828</v>
      </c>
      <c r="V199" s="11">
        <v>44483</v>
      </c>
      <c r="W199" s="12">
        <v>2.0225734015244079E-2</v>
      </c>
      <c r="X199" s="12">
        <v>5.7162559888646047E-3</v>
      </c>
      <c r="Y199" s="12">
        <v>1.5341473715857035E-2</v>
      </c>
      <c r="Z199" s="12">
        <v>3.8540488596624733E-2</v>
      </c>
      <c r="AA199" s="12">
        <v>1.1303086162941733E-2</v>
      </c>
      <c r="AB199" s="12">
        <v>1.6820748287032616E-2</v>
      </c>
      <c r="AC199" s="12">
        <v>1.5228466444996869E-2</v>
      </c>
    </row>
    <row r="200" spans="12:29" x14ac:dyDescent="0.2">
      <c r="L200" s="11">
        <v>44483</v>
      </c>
      <c r="M200" s="10">
        <v>21.674863815307617</v>
      </c>
      <c r="N200" s="10">
        <v>52.032081604003906</v>
      </c>
      <c r="O200" s="10">
        <v>145.11618041992188</v>
      </c>
      <c r="P200" s="10">
        <v>140.2193603515625</v>
      </c>
      <c r="Q200" s="10">
        <v>414.89907836914062</v>
      </c>
      <c r="R200" s="10">
        <v>139.9307861328125</v>
      </c>
      <c r="S200" s="10">
        <v>126.68540954589844</v>
      </c>
      <c r="V200" s="11">
        <v>44484</v>
      </c>
      <c r="W200" s="12">
        <v>7.5125557489181816E-3</v>
      </c>
      <c r="X200" s="12">
        <v>7.4323068830239869E-3</v>
      </c>
      <c r="Y200" s="12">
        <v>1.9208368496837158E-2</v>
      </c>
      <c r="Z200" s="12">
        <v>5.3345378524625175E-3</v>
      </c>
      <c r="AA200" s="12">
        <v>2.568276491712318E-3</v>
      </c>
      <c r="AB200" s="12">
        <v>7.615730393773168E-3</v>
      </c>
      <c r="AC200" s="12">
        <v>9.5162001944588681E-3</v>
      </c>
    </row>
    <row r="201" spans="12:29" x14ac:dyDescent="0.2">
      <c r="L201" s="11">
        <v>44484</v>
      </c>
      <c r="M201" s="10">
        <v>21.790489196777344</v>
      </c>
      <c r="N201" s="10">
        <v>52.527229309082031</v>
      </c>
      <c r="O201" s="10">
        <v>147.90362548828125</v>
      </c>
      <c r="P201" s="10">
        <v>141.27276611328125</v>
      </c>
      <c r="Q201" s="10">
        <v>418.058837890625</v>
      </c>
      <c r="R201" s="10">
        <v>140.97079467773438</v>
      </c>
      <c r="S201" s="10">
        <v>127.01077270507812</v>
      </c>
      <c r="V201" s="11">
        <v>44487</v>
      </c>
      <c r="W201" s="12">
        <v>1.1805861282210062E-2</v>
      </c>
      <c r="X201" s="12">
        <v>-7.3157779773738163E-3</v>
      </c>
      <c r="Y201" s="12">
        <v>-3.6005320121346163E-4</v>
      </c>
      <c r="Z201" s="12">
        <v>1.6466727798487568E-2</v>
      </c>
      <c r="AA201" s="12">
        <v>-1.4402114040042879E-2</v>
      </c>
      <c r="AB201" s="12">
        <v>2.9605184396588324E-3</v>
      </c>
      <c r="AC201" s="12">
        <v>-4.7916809794956716E-4</v>
      </c>
    </row>
    <row r="202" spans="12:29" x14ac:dyDescent="0.2">
      <c r="L202" s="11">
        <v>44487</v>
      </c>
      <c r="M202" s="10">
        <v>22.149307250976559</v>
      </c>
      <c r="N202" s="10">
        <v>52.502059936523438</v>
      </c>
      <c r="O202" s="10">
        <v>147.85037231445312</v>
      </c>
      <c r="P202" s="10">
        <v>142.94061279296875</v>
      </c>
      <c r="Q202" s="10">
        <v>419.2965087890625</v>
      </c>
      <c r="R202" s="10">
        <v>139.93948364257812</v>
      </c>
      <c r="S202" s="10">
        <v>125.18154907226562</v>
      </c>
      <c r="V202" s="11">
        <v>44488</v>
      </c>
      <c r="W202" s="12">
        <v>1.5080452565160662E-2</v>
      </c>
      <c r="X202" s="12">
        <v>2.3420266808445778E-2</v>
      </c>
      <c r="Y202" s="12">
        <v>1.2128668473016413E-2</v>
      </c>
      <c r="Z202" s="12">
        <v>3.0601201314157667E-3</v>
      </c>
      <c r="AA202" s="12">
        <v>-1.1802743037517049E-2</v>
      </c>
      <c r="AB202" s="12">
        <v>7.7148322923936696E-3</v>
      </c>
      <c r="AC202" s="12">
        <v>1.5025466646322316E-2</v>
      </c>
    </row>
    <row r="203" spans="12:29" x14ac:dyDescent="0.2">
      <c r="L203" s="11">
        <v>44488</v>
      </c>
      <c r="M203" s="10">
        <v>22.217086791992188</v>
      </c>
      <c r="N203" s="10">
        <v>53.290927886962891</v>
      </c>
      <c r="O203" s="10">
        <v>149.64360046386719</v>
      </c>
      <c r="P203" s="10">
        <v>145.09622192382812</v>
      </c>
      <c r="Q203" s="10">
        <v>422.53131103515625</v>
      </c>
      <c r="R203" s="10">
        <v>143.21690368652344</v>
      </c>
      <c r="S203" s="10">
        <v>123.70406341552734</v>
      </c>
      <c r="V203" s="11">
        <v>44489</v>
      </c>
      <c r="W203" s="12">
        <v>3.3611223694203218E-3</v>
      </c>
      <c r="X203" s="12">
        <v>-5.4923026257680529E-4</v>
      </c>
      <c r="Y203" s="12">
        <v>1.3465934634935284E-2</v>
      </c>
      <c r="Z203" s="12">
        <v>-8.3893994515181758E-3</v>
      </c>
      <c r="AA203" s="12">
        <v>3.9101058650108378E-3</v>
      </c>
      <c r="AB203" s="12">
        <v>3.9278448906092667E-3</v>
      </c>
      <c r="AC203" s="12">
        <v>5.5117800796955496E-3</v>
      </c>
    </row>
    <row r="204" spans="12:29" x14ac:dyDescent="0.2">
      <c r="L204" s="11">
        <v>44489</v>
      </c>
      <c r="M204" s="10">
        <v>22.030698776245117</v>
      </c>
      <c r="N204" s="10">
        <v>53.58465576171875</v>
      </c>
      <c r="O204" s="10">
        <v>151.65869140625</v>
      </c>
      <c r="P204" s="10">
        <v>145.58390808105469</v>
      </c>
      <c r="Q204" s="10">
        <v>424.19094848632812</v>
      </c>
      <c r="R204" s="10">
        <v>143.13824462890625</v>
      </c>
      <c r="S204" s="10">
        <v>124.18775939941406</v>
      </c>
      <c r="V204" s="11">
        <v>44490</v>
      </c>
      <c r="W204" s="12">
        <v>1.4739565204313632E-3</v>
      </c>
      <c r="X204" s="12">
        <v>-2.3205071514857956E-3</v>
      </c>
      <c r="Y204" s="12">
        <v>-7.8434635556685617E-3</v>
      </c>
      <c r="Z204" s="12">
        <v>2.6647836777692557E-2</v>
      </c>
      <c r="AA204" s="12">
        <v>-7.1968500396066837E-3</v>
      </c>
      <c r="AB204" s="12">
        <v>2.6082942101193218E-3</v>
      </c>
      <c r="AC204" s="12">
        <v>-1.8167572394641507E-2</v>
      </c>
    </row>
    <row r="205" spans="12:29" x14ac:dyDescent="0.2">
      <c r="L205" s="11">
        <v>44490</v>
      </c>
      <c r="M205" s="10">
        <v>22.617769241333008</v>
      </c>
      <c r="N205" s="10">
        <v>52.611152648925781</v>
      </c>
      <c r="O205" s="10">
        <v>150.46916198730469</v>
      </c>
      <c r="P205" s="10">
        <v>145.79849243164062</v>
      </c>
      <c r="Q205" s="10">
        <v>425.29736328125</v>
      </c>
      <c r="R205" s="10">
        <v>142.80609130859375</v>
      </c>
      <c r="S205" s="10">
        <v>123.29399871826172</v>
      </c>
      <c r="V205" s="11">
        <v>44491</v>
      </c>
      <c r="W205" s="12">
        <v>-5.2850586862444038E-3</v>
      </c>
      <c r="X205" s="12">
        <v>1.9585551355174591E-3</v>
      </c>
      <c r="Y205" s="12">
        <v>1.3451579212844011E-2</v>
      </c>
      <c r="Z205" s="12">
        <v>1.4982849456812719E-3</v>
      </c>
      <c r="AA205" s="12">
        <v>1.0765828623824802E-2</v>
      </c>
      <c r="AB205" s="12">
        <v>-1.0363698882560612E-3</v>
      </c>
      <c r="AC205" s="12">
        <v>6.8591264106856453E-3</v>
      </c>
    </row>
    <row r="206" spans="12:29" x14ac:dyDescent="0.2">
      <c r="L206" s="11">
        <v>44491</v>
      </c>
      <c r="M206" s="10">
        <v>22.651657104492188</v>
      </c>
      <c r="N206" s="10">
        <v>52.972019195556641</v>
      </c>
      <c r="O206" s="10">
        <v>152.49320983886719</v>
      </c>
      <c r="P206" s="10">
        <v>145.02793884277344</v>
      </c>
      <c r="Q206" s="10">
        <v>424.85659790039062</v>
      </c>
      <c r="R206" s="10">
        <v>143.08578491210938</v>
      </c>
      <c r="S206" s="10">
        <v>124.62136077880859</v>
      </c>
      <c r="V206" s="11">
        <v>44494</v>
      </c>
      <c r="W206" s="12">
        <v>-3.3636517916524333E-4</v>
      </c>
      <c r="X206" s="12">
        <v>2.1988275905460153E-3</v>
      </c>
      <c r="Y206" s="12">
        <v>-4.8901343283507259E-3</v>
      </c>
      <c r="Z206" s="12">
        <v>1.9361245780562975E-2</v>
      </c>
      <c r="AA206" s="12">
        <v>1.4190935175895092E-4</v>
      </c>
      <c r="AB206" s="12">
        <v>5.3628504160518897E-3</v>
      </c>
      <c r="AC206" s="12">
        <v>1.9486692528613014E-2</v>
      </c>
    </row>
    <row r="207" spans="12:29" x14ac:dyDescent="0.2">
      <c r="L207" s="11">
        <v>44494</v>
      </c>
      <c r="M207" s="10">
        <v>23.090221405029297</v>
      </c>
      <c r="N207" s="10">
        <v>54.004268646240234</v>
      </c>
      <c r="O207" s="10">
        <v>151.74749755859375</v>
      </c>
      <c r="P207" s="10">
        <v>144.97915649414062</v>
      </c>
      <c r="Q207" s="10">
        <v>427.13504028320312</v>
      </c>
      <c r="R207" s="10">
        <v>143.40040588378906</v>
      </c>
      <c r="S207" s="10">
        <v>124.63904571533205</v>
      </c>
      <c r="V207" s="11">
        <v>44495</v>
      </c>
      <c r="W207" s="12">
        <v>4.5748216517351725E-3</v>
      </c>
      <c r="X207" s="12">
        <v>1.0178136813490779E-2</v>
      </c>
      <c r="Y207" s="12">
        <v>2.690920513821915E-3</v>
      </c>
      <c r="Z207" s="12">
        <v>6.6951342673001735E-2</v>
      </c>
      <c r="AA207" s="12">
        <v>1.419957250823578E-2</v>
      </c>
      <c r="AB207" s="12">
        <v>9.0001965510899673E-4</v>
      </c>
      <c r="AC207" s="12">
        <v>2.3154653615782284E-2</v>
      </c>
    </row>
    <row r="208" spans="12:29" x14ac:dyDescent="0.2">
      <c r="L208" s="11">
        <v>44495</v>
      </c>
      <c r="M208" s="10">
        <v>24.636142730712891</v>
      </c>
      <c r="N208" s="10">
        <v>55.254718780517578</v>
      </c>
      <c r="O208" s="10">
        <v>152.15583801269531</v>
      </c>
      <c r="P208" s="10">
        <v>145.64241027832031</v>
      </c>
      <c r="Q208" s="10">
        <v>427.51947021484375</v>
      </c>
      <c r="R208" s="10">
        <v>144.85995483398438</v>
      </c>
      <c r="S208" s="10">
        <v>126.40886688232422</v>
      </c>
      <c r="V208" s="11">
        <v>44496</v>
      </c>
      <c r="W208" s="12">
        <v>-3.1474660446748626E-3</v>
      </c>
      <c r="X208" s="12">
        <v>-1.212666463159906E-2</v>
      </c>
      <c r="Y208" s="12">
        <v>-2.0828475829310689E-2</v>
      </c>
      <c r="Z208" s="12">
        <v>-1.0761793851151058E-2</v>
      </c>
      <c r="AA208" s="12">
        <v>-7.1403468101197687E-3</v>
      </c>
      <c r="AB208" s="12">
        <v>-4.4301653270714114E-3</v>
      </c>
      <c r="AC208" s="12">
        <v>-2.597210724452359E-2</v>
      </c>
    </row>
    <row r="209" spans="12:29" x14ac:dyDescent="0.2">
      <c r="L209" s="11">
        <v>44496</v>
      </c>
      <c r="M209" s="10">
        <v>24.371013641357425</v>
      </c>
      <c r="N209" s="10">
        <v>53.819637298583984</v>
      </c>
      <c r="O209" s="10">
        <v>148.98666381835938</v>
      </c>
      <c r="P209" s="10">
        <v>145.18400573730469</v>
      </c>
      <c r="Q209" s="10">
        <v>425.62548828125</v>
      </c>
      <c r="R209" s="10">
        <v>143.10328674316406</v>
      </c>
      <c r="S209" s="10">
        <v>125.50626373291016</v>
      </c>
      <c r="V209" s="11">
        <v>44497</v>
      </c>
      <c r="W209" s="12">
        <v>2.4991437005525752E-2</v>
      </c>
      <c r="X209" s="12">
        <v>-5.4356721395518726E-3</v>
      </c>
      <c r="Y209" s="12">
        <v>1.5074882297093639E-2</v>
      </c>
      <c r="Z209" s="12">
        <v>2.0039945435036621E-2</v>
      </c>
      <c r="AA209" s="12">
        <v>5.9929398492688524E-3</v>
      </c>
      <c r="AB209" s="12">
        <v>9.6487419136130903E-3</v>
      </c>
      <c r="AC209" s="12">
        <v>2.8066778207029852E-3</v>
      </c>
    </row>
    <row r="210" spans="12:29" x14ac:dyDescent="0.2">
      <c r="L210" s="11">
        <v>44497</v>
      </c>
      <c r="M210" s="10">
        <v>24.859407424926761</v>
      </c>
      <c r="N210" s="10">
        <v>53.970691680908203</v>
      </c>
      <c r="O210" s="10">
        <v>151.23262023925781</v>
      </c>
      <c r="P210" s="10">
        <v>148.81236267089844</v>
      </c>
      <c r="Q210" s="10">
        <v>429.73223876953131</v>
      </c>
      <c r="R210" s="10">
        <v>142.32542419433594</v>
      </c>
      <c r="S210" s="10">
        <v>126.25841522216795</v>
      </c>
      <c r="V210" s="11">
        <v>44498</v>
      </c>
      <c r="W210" s="12">
        <v>-1.81555276677412E-2</v>
      </c>
      <c r="X210" s="12">
        <v>1.8440217084236821E-4</v>
      </c>
      <c r="Y210" s="12">
        <v>-2.7589043122105972E-3</v>
      </c>
      <c r="Z210" s="12">
        <v>2.5099342163867E-2</v>
      </c>
      <c r="AA210" s="12">
        <v>2.1728275938832642E-3</v>
      </c>
      <c r="AB210" s="12">
        <v>2.0292631463227906E-3</v>
      </c>
      <c r="AC210" s="12">
        <v>2.4882505366623509E-3</v>
      </c>
    </row>
    <row r="211" spans="12:29" x14ac:dyDescent="0.2">
      <c r="L211" s="11">
        <v>44498</v>
      </c>
      <c r="M211" s="10">
        <v>25.483362197875977</v>
      </c>
      <c r="N211" s="10">
        <v>54.104984283447266</v>
      </c>
      <c r="O211" s="10">
        <v>150.81538391113281</v>
      </c>
      <c r="P211" s="10">
        <v>146.110595703125</v>
      </c>
      <c r="Q211" s="10">
        <v>430.60427856445312</v>
      </c>
      <c r="R211" s="10">
        <v>142.35166931152344</v>
      </c>
      <c r="S211" s="10">
        <v>126.53275299072266</v>
      </c>
      <c r="V211" s="11">
        <v>44501</v>
      </c>
      <c r="W211" s="12">
        <v>-5.6074333006388422E-3</v>
      </c>
      <c r="X211" s="12">
        <v>8.5956301098533139E-4</v>
      </c>
      <c r="Y211" s="12">
        <v>-5.2985495410340366E-4</v>
      </c>
      <c r="Z211" s="12">
        <v>1.0169512330302721E-2</v>
      </c>
      <c r="AA211" s="12">
        <v>-2.4478891975298067E-3</v>
      </c>
      <c r="AB211" s="12">
        <v>1.7201934423862753E-3</v>
      </c>
      <c r="AC211" s="12">
        <v>1.7992784047319965E-2</v>
      </c>
    </row>
    <row r="212" spans="12:29" x14ac:dyDescent="0.2">
      <c r="L212" s="11">
        <v>44501</v>
      </c>
      <c r="M212" s="10">
        <v>25.742515563964844</v>
      </c>
      <c r="N212" s="10">
        <v>55.078483581542969</v>
      </c>
      <c r="O212" s="10">
        <v>150.7354736328125</v>
      </c>
      <c r="P212" s="10">
        <v>145.29129028320312</v>
      </c>
      <c r="Q212" s="10">
        <v>431.34500122070312</v>
      </c>
      <c r="R212" s="10">
        <v>142.47402954101562</v>
      </c>
      <c r="S212" s="10">
        <v>126.22301483154295</v>
      </c>
      <c r="V212" s="11">
        <v>44502</v>
      </c>
      <c r="W212" s="12">
        <v>7.1158739777417157E-3</v>
      </c>
      <c r="X212" s="12">
        <v>1.5764720346982841E-2</v>
      </c>
      <c r="Y212" s="12">
        <v>3.9458020367257873E-3</v>
      </c>
      <c r="Z212" s="12">
        <v>2.2224664008988482E-2</v>
      </c>
      <c r="AA212" s="12">
        <v>9.9550884676133933E-3</v>
      </c>
      <c r="AB212" s="12">
        <v>4.0432103067196135E-3</v>
      </c>
      <c r="AC212" s="12">
        <v>-1.2342007414346656E-2</v>
      </c>
    </row>
    <row r="213" spans="12:29" x14ac:dyDescent="0.2">
      <c r="L213" s="11">
        <v>44502</v>
      </c>
      <c r="M213" s="10">
        <v>26.314634323120117</v>
      </c>
      <c r="N213" s="10">
        <v>54.398704528808594</v>
      </c>
      <c r="O213" s="10">
        <v>151.33024597167969</v>
      </c>
      <c r="P213" s="10">
        <v>146.32516479492188</v>
      </c>
      <c r="Q213" s="10">
        <v>433.08901977539062</v>
      </c>
      <c r="R213" s="10">
        <v>144.7200927734375</v>
      </c>
      <c r="S213" s="10">
        <v>127.47957611083984</v>
      </c>
      <c r="V213" s="11">
        <v>44503</v>
      </c>
      <c r="W213" s="12">
        <v>9.7987750436254739E-3</v>
      </c>
      <c r="X213" s="12">
        <v>-3.2008431551006078E-3</v>
      </c>
      <c r="Y213" s="12">
        <v>3.5200122933232159E-4</v>
      </c>
      <c r="Z213" s="12">
        <v>7.4619936567725809E-3</v>
      </c>
      <c r="AA213" s="12">
        <v>6.8722831637531012E-3</v>
      </c>
      <c r="AB213" s="12">
        <v>6.1051501321813806E-3</v>
      </c>
      <c r="AC213" s="12">
        <v>-1.3730291956112528E-2</v>
      </c>
    </row>
    <row r="214" spans="12:29" x14ac:dyDescent="0.2">
      <c r="L214" s="11">
        <v>44503</v>
      </c>
      <c r="M214" s="10">
        <v>26.510993957519531</v>
      </c>
      <c r="N214" s="10">
        <v>53.65179443359375</v>
      </c>
      <c r="O214" s="10">
        <v>151.38351440429688</v>
      </c>
      <c r="P214" s="10">
        <v>147.75897216796875</v>
      </c>
      <c r="Q214" s="10">
        <v>435.73309326171869</v>
      </c>
      <c r="R214" s="10">
        <v>144.25686645507812</v>
      </c>
      <c r="S214" s="10">
        <v>128.35565185546875</v>
      </c>
      <c r="V214" s="11">
        <v>44504</v>
      </c>
      <c r="W214" s="12">
        <v>-3.4985168634750208E-3</v>
      </c>
      <c r="X214" s="12">
        <v>-2.7866458473000399E-3</v>
      </c>
      <c r="Y214" s="12">
        <v>-1.3135579126041796E-2</v>
      </c>
      <c r="Z214" s="12">
        <v>0.12042235504334142</v>
      </c>
      <c r="AA214" s="12">
        <v>1.8615259591274746E-3</v>
      </c>
      <c r="AB214" s="12">
        <v>4.7126011566525072E-3</v>
      </c>
      <c r="AC214" s="12">
        <v>7.5082676265114667E-3</v>
      </c>
    </row>
    <row r="215" spans="12:29" x14ac:dyDescent="0.2">
      <c r="L215" s="11">
        <v>44504</v>
      </c>
      <c r="M215" s="10">
        <v>29.703510284423828</v>
      </c>
      <c r="N215" s="10">
        <v>54.05462646484375</v>
      </c>
      <c r="O215" s="10">
        <v>149.39500427246094</v>
      </c>
      <c r="P215" s="10">
        <v>147.24203491210938</v>
      </c>
      <c r="Q215" s="10">
        <v>437.78652954101562</v>
      </c>
      <c r="R215" s="10">
        <v>143.85487365722656</v>
      </c>
      <c r="S215" s="10">
        <v>128.59458923339844</v>
      </c>
      <c r="V215" s="11">
        <v>44505</v>
      </c>
      <c r="W215" s="12">
        <v>3.582304609056397E-3</v>
      </c>
      <c r="X215" s="12">
        <v>-7.1083288527296062E-3</v>
      </c>
      <c r="Y215" s="12">
        <v>-1.4259376017222714E-3</v>
      </c>
      <c r="Z215" s="12">
        <v>-1.6441071754451642E-3</v>
      </c>
      <c r="AA215" s="12">
        <v>4.9545687816483497E-3</v>
      </c>
      <c r="AB215" s="12">
        <v>3.4694771957735071E-3</v>
      </c>
      <c r="AC215" s="12">
        <v>9.4703663263819848E-3</v>
      </c>
    </row>
    <row r="216" spans="12:29" x14ac:dyDescent="0.2">
      <c r="L216" s="11">
        <v>44505</v>
      </c>
      <c r="M216" s="10">
        <v>29.654674530029297</v>
      </c>
      <c r="N216" s="10">
        <v>54.566543579101562</v>
      </c>
      <c r="O216" s="10">
        <v>149.18197631835938</v>
      </c>
      <c r="P216" s="10">
        <v>147.76950073242188</v>
      </c>
      <c r="Q216" s="10">
        <v>439.305419921875</v>
      </c>
      <c r="R216" s="10">
        <v>142.83230590820312</v>
      </c>
      <c r="S216" s="10">
        <v>129.23171997070312</v>
      </c>
      <c r="V216" s="11">
        <v>44508</v>
      </c>
      <c r="W216" s="12">
        <v>-5.5528466819534383E-3</v>
      </c>
      <c r="X216" s="12">
        <v>-3.4263616938040586E-3</v>
      </c>
      <c r="Y216" s="12">
        <v>6.0100503334938882E-3</v>
      </c>
      <c r="Z216" s="12">
        <v>3.5358856260037763E-2</v>
      </c>
      <c r="AA216" s="12">
        <v>-7.464108731151109E-3</v>
      </c>
      <c r="AB216" s="12">
        <v>8.5375918016894481E-4</v>
      </c>
      <c r="AC216" s="12">
        <v>1.0765999463657527E-2</v>
      </c>
    </row>
    <row r="217" spans="12:29" x14ac:dyDescent="0.2">
      <c r="L217" s="11">
        <v>44508</v>
      </c>
      <c r="M217" s="10">
        <v>30.703229904174805</v>
      </c>
      <c r="N217" s="10">
        <v>55.154006958007812</v>
      </c>
      <c r="O217" s="10">
        <v>150.07856750488281</v>
      </c>
      <c r="P217" s="10">
        <v>146.94895935058594</v>
      </c>
      <c r="Q217" s="10">
        <v>439.68048095703131</v>
      </c>
      <c r="R217" s="10">
        <v>142.34291076660156</v>
      </c>
      <c r="S217" s="10">
        <v>128.26712036132812</v>
      </c>
      <c r="V217" s="11">
        <v>44509</v>
      </c>
      <c r="W217" s="12">
        <v>2.4595950738319772E-3</v>
      </c>
      <c r="X217" s="12">
        <v>-2.2104102605057241E-3</v>
      </c>
      <c r="Y217" s="12">
        <v>-7.5713109659664157E-3</v>
      </c>
      <c r="Z217" s="12">
        <v>-4.7720942628080021E-3</v>
      </c>
      <c r="AA217" s="12">
        <v>3.0360045081472276E-3</v>
      </c>
      <c r="AB217" s="12">
        <v>-3.305442670285319E-3</v>
      </c>
      <c r="AC217" s="12">
        <v>9.7384255346344428E-3</v>
      </c>
    </row>
    <row r="218" spans="12:29" x14ac:dyDescent="0.2">
      <c r="L218" s="11">
        <v>44509</v>
      </c>
      <c r="M218" s="10">
        <v>30.556711196899418</v>
      </c>
      <c r="N218" s="10">
        <v>55.691120147705078</v>
      </c>
      <c r="O218" s="10">
        <v>148.94227600097656</v>
      </c>
      <c r="P218" s="10">
        <v>147.31039428710938</v>
      </c>
      <c r="Q218" s="10">
        <v>438.22714233398438</v>
      </c>
      <c r="R218" s="10">
        <v>142.02827453613281</v>
      </c>
      <c r="S218" s="10">
        <v>128.65653991699219</v>
      </c>
      <c r="V218" s="11">
        <v>44510</v>
      </c>
      <c r="W218" s="12">
        <v>-1.9163189572467099E-2</v>
      </c>
      <c r="X218" s="12">
        <v>1.083018683460879E-2</v>
      </c>
      <c r="Y218" s="12">
        <v>-9.5368535513640218E-4</v>
      </c>
      <c r="Z218" s="12">
        <v>-3.9077390573600157E-2</v>
      </c>
      <c r="AA218" s="12">
        <v>9.8360519638243105E-3</v>
      </c>
      <c r="AB218" s="12">
        <v>-8.0448740782183004E-3</v>
      </c>
      <c r="AC218" s="12">
        <v>-1.9700538930740419E-2</v>
      </c>
    </row>
    <row r="219" spans="12:29" x14ac:dyDescent="0.2">
      <c r="L219" s="11">
        <v>44510</v>
      </c>
      <c r="M219" s="10">
        <v>29.362634658813477</v>
      </c>
      <c r="N219" s="10">
        <v>54.593975067138672</v>
      </c>
      <c r="O219" s="10">
        <v>148.80023193359375</v>
      </c>
      <c r="P219" s="10">
        <v>144.48745727539062</v>
      </c>
      <c r="Q219" s="10">
        <v>434.70166015625</v>
      </c>
      <c r="R219" s="10">
        <v>143.56646728515625</v>
      </c>
      <c r="S219" s="10">
        <v>129.92201232910156</v>
      </c>
      <c r="V219" s="11">
        <v>44511</v>
      </c>
      <c r="W219" s="12">
        <v>-3.3804583948049416E-4</v>
      </c>
      <c r="X219" s="12">
        <v>-7.3658921695626267E-3</v>
      </c>
      <c r="Y219" s="12">
        <v>-5.9578915503788465E-5</v>
      </c>
      <c r="Z219" s="12">
        <v>3.160321717977177E-2</v>
      </c>
      <c r="AA219" s="12">
        <v>-2.8613309728302561E-3</v>
      </c>
      <c r="AB219" s="12">
        <v>3.2363813633851102E-4</v>
      </c>
      <c r="AC219" s="12">
        <v>1.8691284474152692E-3</v>
      </c>
    </row>
    <row r="220" spans="12:29" x14ac:dyDescent="0.2">
      <c r="L220" s="11">
        <v>44511</v>
      </c>
      <c r="M220" s="10">
        <v>30.29058837890625</v>
      </c>
      <c r="N220" s="10">
        <v>54.696018218994141</v>
      </c>
      <c r="O220" s="10">
        <v>148.79136657714844</v>
      </c>
      <c r="P220" s="10">
        <v>144.43861389160156</v>
      </c>
      <c r="Q220" s="10">
        <v>434.84234619140625</v>
      </c>
      <c r="R220" s="10">
        <v>142.50897216796875</v>
      </c>
      <c r="S220" s="10">
        <v>129.55026245117188</v>
      </c>
      <c r="V220" s="11">
        <v>44512</v>
      </c>
      <c r="W220" s="12">
        <v>1.4336891814844543E-2</v>
      </c>
      <c r="X220" s="12">
        <v>1.1958818211058597E-2</v>
      </c>
      <c r="Y220" s="12">
        <v>-4.4748379967124441E-3</v>
      </c>
      <c r="Z220" s="12">
        <v>0</v>
      </c>
      <c r="AA220" s="12">
        <v>1.0929063440863196E-3</v>
      </c>
      <c r="AB220" s="12">
        <v>7.5468909420044472E-3</v>
      </c>
      <c r="AC220" s="12">
        <v>-7.619279167802584E-3</v>
      </c>
    </row>
    <row r="221" spans="12:29" x14ac:dyDescent="0.2">
      <c r="L221" s="11">
        <v>44512</v>
      </c>
      <c r="M221" s="10">
        <v>30.29058837890625</v>
      </c>
      <c r="N221" s="10">
        <v>54.279273986816406</v>
      </c>
      <c r="O221" s="10">
        <v>148.12554931640625</v>
      </c>
      <c r="P221" s="10">
        <v>146.50941467285156</v>
      </c>
      <c r="Q221" s="10">
        <v>438.12405395507812</v>
      </c>
      <c r="R221" s="10">
        <v>144.21321105957031</v>
      </c>
      <c r="S221" s="10">
        <v>129.69184875488281</v>
      </c>
      <c r="V221" s="11">
        <v>44515</v>
      </c>
      <c r="W221" s="12">
        <v>6.6446975053535695E-5</v>
      </c>
      <c r="X221" s="12">
        <v>-9.0300055326559825E-3</v>
      </c>
      <c r="Y221" s="12">
        <v>-1.7977748467276067E-3</v>
      </c>
      <c r="Z221" s="12">
        <v>-1.2010521760857262E-2</v>
      </c>
      <c r="AA221" s="12">
        <v>5.7316413876840056E-3</v>
      </c>
      <c r="AB221" s="12">
        <v>3.4235485390565756E-4</v>
      </c>
      <c r="AC221" s="12">
        <v>8.6181123517867775E-3</v>
      </c>
    </row>
    <row r="222" spans="12:29" x14ac:dyDescent="0.2">
      <c r="L222" s="11">
        <v>44515</v>
      </c>
      <c r="M222" s="10">
        <v>29.926782608032227</v>
      </c>
      <c r="N222" s="10">
        <v>54.747058868408203</v>
      </c>
      <c r="O222" s="10">
        <v>147.8592529296875</v>
      </c>
      <c r="P222" s="10">
        <v>146.51914978027344</v>
      </c>
      <c r="Q222" s="10">
        <v>438.2740478515625</v>
      </c>
      <c r="R222" s="10">
        <v>142.91096496582031</v>
      </c>
      <c r="S222" s="10">
        <v>130.43519592285156</v>
      </c>
      <c r="V222" s="11">
        <v>44516</v>
      </c>
      <c r="W222" s="12">
        <v>6.6670631003327152E-3</v>
      </c>
      <c r="X222" s="12">
        <v>-5.1978402729159212E-3</v>
      </c>
      <c r="Y222" s="12">
        <v>-7.2045666382940521E-3</v>
      </c>
      <c r="Z222" s="12">
        <v>5.9283938888685661E-3</v>
      </c>
      <c r="AA222" s="12">
        <v>-1.424627240281362E-3</v>
      </c>
      <c r="AB222" s="12">
        <v>3.957771699122814E-3</v>
      </c>
      <c r="AC222" s="12">
        <v>1.0097680309523405E-2</v>
      </c>
    </row>
    <row r="223" spans="12:29" x14ac:dyDescent="0.2">
      <c r="L223" s="11">
        <v>44516</v>
      </c>
      <c r="M223" s="10">
        <v>30.10420036315918</v>
      </c>
      <c r="N223" s="10">
        <v>55.299877166748047</v>
      </c>
      <c r="O223" s="10">
        <v>146.79399108886719</v>
      </c>
      <c r="P223" s="10">
        <v>147.49600219726562</v>
      </c>
      <c r="Q223" s="10">
        <v>440.00863647460938</v>
      </c>
      <c r="R223" s="10">
        <v>142.16813659667969</v>
      </c>
      <c r="S223" s="10">
        <v>130.24937438964844</v>
      </c>
      <c r="V223" s="11">
        <v>44517</v>
      </c>
      <c r="W223" s="12">
        <v>1.6489973721066642E-2</v>
      </c>
      <c r="X223" s="12">
        <v>3.7497594484825481E-3</v>
      </c>
      <c r="Y223" s="12">
        <v>-5.382269621573843E-3</v>
      </c>
      <c r="Z223" s="12">
        <v>-3.1188972171864782E-2</v>
      </c>
      <c r="AA223" s="12">
        <v>-6.1152599987135403E-4</v>
      </c>
      <c r="AB223" s="12">
        <v>-2.4292902520515192E-3</v>
      </c>
      <c r="AC223" s="12">
        <v>-1.091971589616858E-2</v>
      </c>
    </row>
    <row r="224" spans="12:29" x14ac:dyDescent="0.2">
      <c r="L224" s="11">
        <v>44517</v>
      </c>
      <c r="M224" s="10">
        <v>29.165281295776367</v>
      </c>
      <c r="N224" s="10">
        <v>54.696018218994141</v>
      </c>
      <c r="O224" s="10">
        <v>146.00390625</v>
      </c>
      <c r="P224" s="10">
        <v>149.92820739746094</v>
      </c>
      <c r="Q224" s="10">
        <v>438.93972778320312</v>
      </c>
      <c r="R224" s="10">
        <v>142.70123291015625</v>
      </c>
      <c r="S224" s="10">
        <v>130.16972351074219</v>
      </c>
      <c r="V224" s="11">
        <v>44518</v>
      </c>
      <c r="W224" s="12">
        <v>2.8536200238252762E-2</v>
      </c>
      <c r="X224" s="12">
        <v>-5.3891823712145515E-3</v>
      </c>
      <c r="Y224" s="12">
        <v>-8.6337353185114152E-3</v>
      </c>
      <c r="Z224" s="12">
        <v>8.2498883167079873E-2</v>
      </c>
      <c r="AA224" s="12">
        <v>1.3574337609245646E-4</v>
      </c>
      <c r="AB224" s="12">
        <v>3.3965374965490014E-3</v>
      </c>
      <c r="AC224" s="12">
        <v>-1.0884535074858981E-2</v>
      </c>
    </row>
    <row r="225" spans="12:29" x14ac:dyDescent="0.2">
      <c r="L225" s="11">
        <v>44518</v>
      </c>
      <c r="M225" s="10">
        <v>31.571384429931641</v>
      </c>
      <c r="N225" s="10">
        <v>54.100677490234375</v>
      </c>
      <c r="O225" s="10">
        <v>144.74334716796875</v>
      </c>
      <c r="P225" s="10">
        <v>154.20658874511719</v>
      </c>
      <c r="Q225" s="10">
        <v>440.43060302734375</v>
      </c>
      <c r="R225" s="10">
        <v>141.93218994140625</v>
      </c>
      <c r="S225" s="10">
        <v>130.18739318847656</v>
      </c>
      <c r="V225" s="11">
        <v>44519</v>
      </c>
      <c r="W225" s="12">
        <v>1.6975914407194148E-2</v>
      </c>
      <c r="X225" s="12">
        <v>3.0170932783237792E-3</v>
      </c>
      <c r="Y225" s="12">
        <v>-1.3063494238817586E-2</v>
      </c>
      <c r="Z225" s="12">
        <v>4.1357503864371425E-2</v>
      </c>
      <c r="AA225" s="12">
        <v>-2.0384528246202294E-3</v>
      </c>
      <c r="AB225" s="12">
        <v>-1.7881753294581859E-3</v>
      </c>
      <c r="AC225" s="12">
        <v>-4.6219238130587703E-2</v>
      </c>
    </row>
    <row r="226" spans="12:29" x14ac:dyDescent="0.2">
      <c r="L226" s="11">
        <v>44519</v>
      </c>
      <c r="M226" s="10">
        <v>32.877098083496094</v>
      </c>
      <c r="N226" s="10">
        <v>51.600185394287109</v>
      </c>
      <c r="O226" s="10">
        <v>142.85249328613281</v>
      </c>
      <c r="P226" s="10">
        <v>156.82438659667969</v>
      </c>
      <c r="Q226" s="10">
        <v>439.64303588867188</v>
      </c>
      <c r="R226" s="10">
        <v>142.36041259765625</v>
      </c>
      <c r="S226" s="10">
        <v>129.92201232910156</v>
      </c>
      <c r="V226" s="11">
        <v>44522</v>
      </c>
      <c r="W226" s="12">
        <v>2.9275194711473329E-3</v>
      </c>
      <c r="X226" s="12">
        <v>-1.3162221594360868E-2</v>
      </c>
      <c r="Y226" s="12">
        <v>2.131471960902287E-2</v>
      </c>
      <c r="Z226" s="12">
        <v>-3.1196024753165519E-2</v>
      </c>
      <c r="AA226" s="12">
        <v>6.674442358738375E-3</v>
      </c>
      <c r="AB226" s="12">
        <v>-2.8151723043576826E-3</v>
      </c>
      <c r="AC226" s="12">
        <v>1.3845305266725116E-2</v>
      </c>
    </row>
    <row r="227" spans="12:29" x14ac:dyDescent="0.2">
      <c r="L227" s="11">
        <v>44522</v>
      </c>
      <c r="M227" s="10">
        <v>31.851463317871097</v>
      </c>
      <c r="N227" s="10">
        <v>52.314605712890625</v>
      </c>
      <c r="O227" s="10">
        <v>145.89735412597656</v>
      </c>
      <c r="P227" s="10">
        <v>157.28349304199219</v>
      </c>
      <c r="Q227" s="10">
        <v>438.40536499023438</v>
      </c>
      <c r="R227" s="10">
        <v>140.48663330078125</v>
      </c>
      <c r="S227" s="10">
        <v>130.78916931152344</v>
      </c>
      <c r="V227" s="11">
        <v>44523</v>
      </c>
      <c r="W227" s="12">
        <v>2.4218715059598495E-3</v>
      </c>
      <c r="X227" s="12">
        <v>6.1992420493601763E-3</v>
      </c>
      <c r="Y227" s="12">
        <v>2.39128072508068E-2</v>
      </c>
      <c r="Z227" s="12">
        <v>-6.5714573150795763E-3</v>
      </c>
      <c r="AA227" s="12">
        <v>1.1095971614435429E-2</v>
      </c>
      <c r="AB227" s="12">
        <v>1.3259391297320011E-3</v>
      </c>
      <c r="AC227" s="12">
        <v>2.6337250509699706E-2</v>
      </c>
    </row>
    <row r="228" spans="12:29" x14ac:dyDescent="0.2">
      <c r="L228" s="11">
        <v>44523</v>
      </c>
      <c r="M228" s="10">
        <v>31.642152786254883</v>
      </c>
      <c r="N228" s="10">
        <v>53.692428588867188</v>
      </c>
      <c r="O228" s="10">
        <v>149.38616943359375</v>
      </c>
      <c r="P228" s="10">
        <v>157.66441345214844</v>
      </c>
      <c r="Q228" s="10">
        <v>438.98666381835938</v>
      </c>
      <c r="R228" s="10">
        <v>141.3575439453125</v>
      </c>
      <c r="S228" s="10">
        <v>132.24040222167969</v>
      </c>
      <c r="V228" s="11">
        <v>44524</v>
      </c>
      <c r="W228" s="12">
        <v>3.2835576778371678E-3</v>
      </c>
      <c r="X228" s="12">
        <v>-2.8004077716685671E-3</v>
      </c>
      <c r="Y228" s="12">
        <v>-7.8442952789797848E-3</v>
      </c>
      <c r="Z228" s="12">
        <v>2.923234862610613E-2</v>
      </c>
      <c r="AA228" s="12">
        <v>-5.2196346232686874E-3</v>
      </c>
      <c r="AB228" s="12">
        <v>2.6698478211073517E-3</v>
      </c>
      <c r="AC228" s="12">
        <v>5.5439559143535266E-3</v>
      </c>
    </row>
    <row r="229" spans="12:29" x14ac:dyDescent="0.2">
      <c r="L229" s="11">
        <v>44524</v>
      </c>
      <c r="M229" s="10">
        <v>32.567127227783203</v>
      </c>
      <c r="N229" s="10">
        <v>53.990097045898438</v>
      </c>
      <c r="O229" s="10">
        <v>148.21434020996094</v>
      </c>
      <c r="P229" s="10">
        <v>158.18211364746094</v>
      </c>
      <c r="Q229" s="10">
        <v>440.15869140625</v>
      </c>
      <c r="R229" s="10">
        <v>140.96168518066406</v>
      </c>
      <c r="S229" s="10">
        <v>131.55015563964844</v>
      </c>
      <c r="V229" s="11">
        <v>44526</v>
      </c>
      <c r="W229" s="12">
        <v>-3.167849356535879E-2</v>
      </c>
      <c r="X229" s="12">
        <v>-6.4902119653845736E-3</v>
      </c>
      <c r="Y229" s="12">
        <v>-3.0126912633353542E-2</v>
      </c>
      <c r="Z229" s="12">
        <v>-3.583923773353026E-2</v>
      </c>
      <c r="AA229" s="12">
        <v>-8.0048521847880805E-3</v>
      </c>
      <c r="AB229" s="12">
        <v>-2.2303218721053453E-2</v>
      </c>
      <c r="AC229" s="12">
        <v>-3.5129066400625186E-2</v>
      </c>
    </row>
    <row r="230" spans="12:29" x14ac:dyDescent="0.2">
      <c r="L230" s="11">
        <v>44526</v>
      </c>
      <c r="M230" s="10">
        <v>31.399946212768555</v>
      </c>
      <c r="N230" s="10">
        <v>52.093475341796875</v>
      </c>
      <c r="O230" s="10">
        <v>143.74909973144531</v>
      </c>
      <c r="P230" s="10">
        <v>153.171142578125</v>
      </c>
      <c r="Q230" s="10">
        <v>430.34173583984375</v>
      </c>
      <c r="R230" s="10">
        <v>140.04681396484375</v>
      </c>
      <c r="S230" s="10">
        <v>130.49711608886719</v>
      </c>
      <c r="V230" s="11">
        <v>44529</v>
      </c>
      <c r="W230" s="12">
        <v>2.1873889245747069E-2</v>
      </c>
      <c r="X230" s="12">
        <v>3.4547425242763552E-3</v>
      </c>
      <c r="Y230" s="12">
        <v>-4.3231206547340584E-3</v>
      </c>
      <c r="Z230" s="12">
        <v>5.9454649215814115E-2</v>
      </c>
      <c r="AA230" s="12">
        <v>1.0510790190053854E-2</v>
      </c>
      <c r="AB230" s="12">
        <v>1.2266550404292031E-2</v>
      </c>
      <c r="AC230" s="12">
        <v>5.5509698599707225E-3</v>
      </c>
    </row>
    <row r="231" spans="12:29" x14ac:dyDescent="0.2">
      <c r="L231" s="11">
        <v>44529</v>
      </c>
      <c r="M231" s="10">
        <v>33.266819000244141</v>
      </c>
      <c r="N231" s="10">
        <v>52.382644653320312</v>
      </c>
      <c r="O231" s="10">
        <v>143.12765502929688</v>
      </c>
      <c r="P231" s="10">
        <v>156.52159118652344</v>
      </c>
      <c r="Q231" s="10">
        <v>435.62054443359375</v>
      </c>
      <c r="R231" s="10">
        <v>140.5306396484375</v>
      </c>
      <c r="S231" s="10">
        <v>131.86874389648438</v>
      </c>
      <c r="V231" s="11">
        <v>44530</v>
      </c>
      <c r="W231" s="12">
        <v>3.1577339349308842E-2</v>
      </c>
      <c r="X231" s="12">
        <v>-2.3912421268785344E-2</v>
      </c>
      <c r="Y231" s="12">
        <v>-1.4885265629667521E-2</v>
      </c>
      <c r="Z231" s="12">
        <v>-2.0973323577232361E-2</v>
      </c>
      <c r="AA231" s="12">
        <v>-2.9794727006589805E-2</v>
      </c>
      <c r="AB231" s="12">
        <v>-1.9457821525983521E-2</v>
      </c>
      <c r="AC231" s="12">
        <v>-2.8413690386894785E-2</v>
      </c>
    </row>
    <row r="232" spans="12:29" x14ac:dyDescent="0.2">
      <c r="L232" s="11">
        <v>44530</v>
      </c>
      <c r="M232" s="10">
        <v>32.569103240966797</v>
      </c>
      <c r="N232" s="10">
        <v>50.894260406494141</v>
      </c>
      <c r="O232" s="10">
        <v>140.99716186523438</v>
      </c>
      <c r="P232" s="10">
        <v>161.46412658691406</v>
      </c>
      <c r="Q232" s="10">
        <v>427.14431762695312</v>
      </c>
      <c r="R232" s="10">
        <v>137.17021179199219</v>
      </c>
      <c r="S232" s="10">
        <v>127.93975067138672</v>
      </c>
      <c r="V232" s="11">
        <v>44531</v>
      </c>
      <c r="W232" s="12">
        <v>-3.2059081549461466E-3</v>
      </c>
      <c r="X232" s="12">
        <v>1.3788286380675752E-2</v>
      </c>
      <c r="Y232" s="12">
        <v>-5.9182566969575578E-3</v>
      </c>
      <c r="Z232" s="12">
        <v>-3.7861005095577993E-2</v>
      </c>
      <c r="AA232" s="12">
        <v>1.2588048447286448E-2</v>
      </c>
      <c r="AB232" s="12">
        <v>-1.1106860098459292E-2</v>
      </c>
      <c r="AC232" s="12">
        <v>-8.3558037345521363E-4</v>
      </c>
    </row>
    <row r="233" spans="12:29" x14ac:dyDescent="0.2">
      <c r="L233" s="11">
        <v>44531</v>
      </c>
      <c r="M233" s="10">
        <v>31.336004257202148</v>
      </c>
      <c r="N233" s="10">
        <v>50.851734161376953</v>
      </c>
      <c r="O233" s="10">
        <v>140.16270446777344</v>
      </c>
      <c r="P233" s="10">
        <v>160.94648742675781</v>
      </c>
      <c r="Q233" s="10">
        <v>422.40008544921869</v>
      </c>
      <c r="R233" s="10">
        <v>139.06155395507812</v>
      </c>
      <c r="S233" s="10">
        <v>129.55026245117188</v>
      </c>
      <c r="V233" s="11">
        <v>44532</v>
      </c>
      <c r="W233" s="12">
        <v>-6.1300050655165306E-3</v>
      </c>
      <c r="X233" s="12">
        <v>-6.2624416554800666E-3</v>
      </c>
      <c r="Y233" s="12">
        <v>2.1027133143756149E-2</v>
      </c>
      <c r="Z233" s="12">
        <v>2.1981678718560937E-2</v>
      </c>
      <c r="AA233" s="12">
        <v>5.8741802024591117E-3</v>
      </c>
      <c r="AB233" s="12">
        <v>1.531622316725878E-2</v>
      </c>
      <c r="AC233" s="12">
        <v>2.4920638623809221E-2</v>
      </c>
    </row>
    <row r="234" spans="12:29" x14ac:dyDescent="0.2">
      <c r="L234" s="11">
        <v>44532</v>
      </c>
      <c r="M234" s="10">
        <v>32.024822235107422</v>
      </c>
      <c r="N234" s="10">
        <v>52.118991851806641</v>
      </c>
      <c r="O234" s="10">
        <v>143.10992431640625</v>
      </c>
      <c r="P234" s="10">
        <v>159.95988464355469</v>
      </c>
      <c r="Q234" s="10">
        <v>428.86965942382812</v>
      </c>
      <c r="R234" s="10">
        <v>138.19068908691406</v>
      </c>
      <c r="S234" s="10">
        <v>130.31126403808594</v>
      </c>
      <c r="V234" s="11">
        <v>44533</v>
      </c>
      <c r="W234" s="12">
        <v>-1.1724359831046693E-2</v>
      </c>
      <c r="X234" s="12">
        <v>1.4577542120463027E-2</v>
      </c>
      <c r="Y234" s="12">
        <v>-1.8113091026492389E-2</v>
      </c>
      <c r="Z234" s="12">
        <v>-4.4605464010915918E-2</v>
      </c>
      <c r="AA234" s="12">
        <v>1.7792107075356167E-2</v>
      </c>
      <c r="AB234" s="12">
        <v>-8.701362771371457E-3</v>
      </c>
      <c r="AC234" s="12">
        <v>-6.3641242886370852E-3</v>
      </c>
    </row>
    <row r="235" spans="12:29" x14ac:dyDescent="0.2">
      <c r="L235" s="11">
        <v>44533</v>
      </c>
      <c r="M235" s="10">
        <v>30.596340179443359</v>
      </c>
      <c r="N235" s="10">
        <v>51.787300109863281</v>
      </c>
      <c r="O235" s="10">
        <v>140.51776123046875</v>
      </c>
      <c r="P235" s="10">
        <v>158.08445739746094</v>
      </c>
      <c r="Q235" s="10">
        <v>425.13790893554688</v>
      </c>
      <c r="R235" s="10">
        <v>140.20516967773438</v>
      </c>
      <c r="S235" s="10">
        <v>132.62977600097656</v>
      </c>
      <c r="V235" s="11">
        <v>44536</v>
      </c>
      <c r="W235" s="12">
        <v>2.1502625956989485E-2</v>
      </c>
      <c r="X235" s="12">
        <v>2.233665045579869E-2</v>
      </c>
      <c r="Y235" s="12">
        <v>1.1814022238312738E-2</v>
      </c>
      <c r="Z235" s="12">
        <v>-2.1372901712293335E-2</v>
      </c>
      <c r="AA235" s="12">
        <v>1.5145262467606724E-2</v>
      </c>
      <c r="AB235" s="12">
        <v>1.1843439761583641E-2</v>
      </c>
      <c r="AC235" s="12">
        <v>1.1331618999493864E-2</v>
      </c>
    </row>
    <row r="236" spans="12:29" x14ac:dyDescent="0.2">
      <c r="L236" s="11">
        <v>44536</v>
      </c>
      <c r="M236" s="10">
        <v>29.942407608032227</v>
      </c>
      <c r="N236" s="10">
        <v>52.374134063720703</v>
      </c>
      <c r="O236" s="10">
        <v>142.17784118652344</v>
      </c>
      <c r="P236" s="10">
        <v>161.48368835449219</v>
      </c>
      <c r="Q236" s="10">
        <v>430.17300415039062</v>
      </c>
      <c r="R236" s="10">
        <v>143.33688354492188</v>
      </c>
      <c r="S236" s="10">
        <v>134.63848876953125</v>
      </c>
      <c r="V236" s="11">
        <v>44537</v>
      </c>
      <c r="W236" s="12">
        <v>3.5446204028254824E-2</v>
      </c>
      <c r="X236" s="12">
        <v>2.5772520935782861E-3</v>
      </c>
      <c r="Y236" s="12">
        <v>1.5047167416828433E-2</v>
      </c>
      <c r="Z236" s="12">
        <v>7.956845407299884E-2</v>
      </c>
      <c r="AA236" s="12">
        <v>-2.6290653728132662E-3</v>
      </c>
      <c r="AB236" s="12">
        <v>2.0684724908482277E-2</v>
      </c>
      <c r="AC236" s="12">
        <v>1.1205161998941726E-2</v>
      </c>
    </row>
    <row r="237" spans="12:29" x14ac:dyDescent="0.2">
      <c r="L237" s="11">
        <v>44537</v>
      </c>
      <c r="M237" s="10">
        <v>32.324878692626953</v>
      </c>
      <c r="N237" s="10">
        <v>52.960994720458984</v>
      </c>
      <c r="O237" s="10">
        <v>144.31721496582031</v>
      </c>
      <c r="P237" s="10">
        <v>167.20767211914062</v>
      </c>
      <c r="Q237" s="10">
        <v>439.07101440429688</v>
      </c>
      <c r="R237" s="10">
        <v>143.706298828125</v>
      </c>
      <c r="S237" s="10">
        <v>134.28451538085938</v>
      </c>
      <c r="V237" s="11">
        <v>44538</v>
      </c>
      <c r="W237" s="12">
        <v>2.2783100972958659E-2</v>
      </c>
      <c r="X237" s="12">
        <v>5.9991913302448463E-3</v>
      </c>
      <c r="Y237" s="12">
        <v>-1.1440929256194776E-2</v>
      </c>
      <c r="Z237" s="12">
        <v>-1.8533892753558545E-2</v>
      </c>
      <c r="AA237" s="12">
        <v>4.4811243035882686E-3</v>
      </c>
      <c r="AB237" s="12">
        <v>2.6479274096595784E-3</v>
      </c>
      <c r="AC237" s="12">
        <v>2.8905728975603395E-3</v>
      </c>
    </row>
    <row r="238" spans="12:29" x14ac:dyDescent="0.2">
      <c r="L238" s="11">
        <v>44538</v>
      </c>
      <c r="M238" s="10">
        <v>31.725772857666016</v>
      </c>
      <c r="N238" s="10">
        <v>53.114082336425781</v>
      </c>
      <c r="O238" s="10">
        <v>142.66609191894531</v>
      </c>
      <c r="P238" s="10">
        <v>171.01718139648438</v>
      </c>
      <c r="Q238" s="10">
        <v>440.233642578125</v>
      </c>
      <c r="R238" s="10">
        <v>144.56842041015625</v>
      </c>
      <c r="S238" s="10">
        <v>134.88626098632812</v>
      </c>
      <c r="V238" s="11">
        <v>44539</v>
      </c>
      <c r="W238" s="12">
        <v>-2.9700791824822659E-3</v>
      </c>
      <c r="X238" s="12">
        <v>9.4921745209952668E-3</v>
      </c>
      <c r="Y238" s="12">
        <v>-1.5557610271488276E-3</v>
      </c>
      <c r="Z238" s="12">
        <v>-4.1978202707533385E-2</v>
      </c>
      <c r="AA238" s="12">
        <v>5.838749869059745E-3</v>
      </c>
      <c r="AB238" s="12">
        <v>-6.7514115207600867E-3</v>
      </c>
      <c r="AC238" s="12">
        <v>2.5622079675438059E-3</v>
      </c>
    </row>
    <row r="239" spans="12:29" x14ac:dyDescent="0.2">
      <c r="L239" s="11">
        <v>44539</v>
      </c>
      <c r="M239" s="10">
        <v>30.39398193359375</v>
      </c>
      <c r="N239" s="10">
        <v>53.250171661376953</v>
      </c>
      <c r="O239" s="10">
        <v>142.44413757324219</v>
      </c>
      <c r="P239" s="10">
        <v>170.50924682617188</v>
      </c>
      <c r="Q239" s="10">
        <v>437.26144409179688</v>
      </c>
      <c r="R239" s="10">
        <v>145.94068908691406</v>
      </c>
      <c r="S239" s="10">
        <v>135.673828125</v>
      </c>
      <c r="V239" s="11">
        <v>44540</v>
      </c>
      <c r="W239" s="12">
        <v>2.8013527950348394E-2</v>
      </c>
      <c r="X239" s="12">
        <v>-2.470941888586653E-3</v>
      </c>
      <c r="Y239" s="12">
        <v>-3.9882299493991802E-3</v>
      </c>
      <c r="Z239" s="12">
        <v>-9.5769114915408293E-3</v>
      </c>
      <c r="AA239" s="12">
        <v>1.395801842654576E-2</v>
      </c>
      <c r="AB239" s="12">
        <v>9.413335940781975E-3</v>
      </c>
      <c r="AC239" s="12">
        <v>6.3886123093042091E-3</v>
      </c>
    </row>
    <row r="240" spans="12:29" x14ac:dyDescent="0.2">
      <c r="L240" s="11">
        <v>44540</v>
      </c>
      <c r="M240" s="10">
        <v>30.102901458740231</v>
      </c>
      <c r="N240" s="10">
        <v>53.590366363525391</v>
      </c>
      <c r="O240" s="10">
        <v>141.87603759765625</v>
      </c>
      <c r="P240" s="10">
        <v>175.28581237792969</v>
      </c>
      <c r="Q240" s="10">
        <v>441.37753295898438</v>
      </c>
      <c r="R240" s="10">
        <v>145.580078125</v>
      </c>
      <c r="S240" s="10">
        <v>137.56756591796875</v>
      </c>
      <c r="V240" s="11">
        <v>44543</v>
      </c>
      <c r="W240" s="12">
        <v>-2.0674416460769507E-2</v>
      </c>
      <c r="X240" s="12">
        <v>1.7886146309886275E-2</v>
      </c>
      <c r="Y240" s="12">
        <v>-1.188848598212866E-2</v>
      </c>
      <c r="Z240" s="12">
        <v>-6.7454898087069282E-2</v>
      </c>
      <c r="AA240" s="12">
        <v>1.4215648649212209E-2</v>
      </c>
      <c r="AB240" s="12">
        <v>-8.8582228697262622E-3</v>
      </c>
      <c r="AC240" s="12">
        <v>-2.1901366227439767E-2</v>
      </c>
    </row>
    <row r="241" spans="12:29" x14ac:dyDescent="0.2">
      <c r="L241" s="11">
        <v>44543</v>
      </c>
      <c r="M241" s="10">
        <v>28.07231330871582</v>
      </c>
      <c r="N241" s="10">
        <v>52.416664123535149</v>
      </c>
      <c r="O241" s="10">
        <v>140.18934631347656</v>
      </c>
      <c r="P241" s="10">
        <v>171.66188049316406</v>
      </c>
      <c r="Q241" s="10">
        <v>437.46771240234375</v>
      </c>
      <c r="R241" s="10">
        <v>148.18394470214844</v>
      </c>
      <c r="S241" s="10">
        <v>139.52317810058594</v>
      </c>
      <c r="V241" s="11">
        <v>44544</v>
      </c>
      <c r="W241" s="12">
        <v>-8.0229986880927529E-3</v>
      </c>
      <c r="X241" s="12">
        <v>1.0922852079873646E-2</v>
      </c>
      <c r="Y241" s="12">
        <v>7.6617568162826721E-3</v>
      </c>
      <c r="Z241" s="12">
        <v>6.2498399066666099E-3</v>
      </c>
      <c r="AA241" s="12">
        <v>3.6784524055721857E-3</v>
      </c>
      <c r="AB241" s="12">
        <v>-6.8800417887983079E-3</v>
      </c>
      <c r="AC241" s="12">
        <v>-1.4601133536435995E-3</v>
      </c>
    </row>
    <row r="242" spans="12:29" x14ac:dyDescent="0.2">
      <c r="L242" s="11">
        <v>44544</v>
      </c>
      <c r="M242" s="10">
        <v>28.247760772705082</v>
      </c>
      <c r="N242" s="10">
        <v>52.340129852294922</v>
      </c>
      <c r="O242" s="10">
        <v>141.26344299316406</v>
      </c>
      <c r="P242" s="10">
        <v>170.28463745117188</v>
      </c>
      <c r="Q242" s="10">
        <v>434.45791625976562</v>
      </c>
      <c r="R242" s="10">
        <v>149.80253601074219</v>
      </c>
      <c r="S242" s="10">
        <v>140.03640747070312</v>
      </c>
      <c r="V242" s="11">
        <v>44545</v>
      </c>
      <c r="W242" s="12">
        <v>2.8509089879418692E-2</v>
      </c>
      <c r="X242" s="12">
        <v>4.992024922131133E-3</v>
      </c>
      <c r="Y242" s="12">
        <v>-7.4778774014373495E-3</v>
      </c>
      <c r="Z242" s="12">
        <v>7.4884392005867273E-2</v>
      </c>
      <c r="AA242" s="12">
        <v>3.8547845550593873E-3</v>
      </c>
      <c r="AB242" s="12">
        <v>1.5625038414078585E-2</v>
      </c>
      <c r="AC242" s="12">
        <v>-4.3876198002558153E-3</v>
      </c>
    </row>
    <row r="243" spans="12:29" x14ac:dyDescent="0.2">
      <c r="L243" s="11">
        <v>44545</v>
      </c>
      <c r="M243" s="10">
        <v>30.363077163696289</v>
      </c>
      <c r="N243" s="10">
        <v>52.110481262207031</v>
      </c>
      <c r="O243" s="10">
        <v>140.20709228515625</v>
      </c>
      <c r="P243" s="10">
        <v>175.13929748535156</v>
      </c>
      <c r="Q243" s="10">
        <v>441.246337890625</v>
      </c>
      <c r="R243" s="10">
        <v>150.55035400390625</v>
      </c>
      <c r="S243" s="10">
        <v>140.57621765136719</v>
      </c>
      <c r="V243" s="11">
        <v>44546</v>
      </c>
      <c r="W243" s="12">
        <v>-3.9263964779708949E-2</v>
      </c>
      <c r="X243" s="12">
        <v>1.0926503790414266E-2</v>
      </c>
      <c r="Y243" s="12">
        <v>1.5638814654487465E-2</v>
      </c>
      <c r="Z243" s="12">
        <v>-6.8025893842432406E-2</v>
      </c>
      <c r="AA243" s="12">
        <v>1.4163550441705919E-2</v>
      </c>
      <c r="AB243" s="12">
        <v>-8.8184602275713786E-3</v>
      </c>
      <c r="AC243" s="12">
        <v>1.6322302705986669E-3</v>
      </c>
    </row>
    <row r="244" spans="12:29" x14ac:dyDescent="0.2">
      <c r="L244" s="11">
        <v>44546</v>
      </c>
      <c r="M244" s="10">
        <v>28.297601699829102</v>
      </c>
      <c r="N244" s="10">
        <v>52.195537567138672</v>
      </c>
      <c r="O244" s="10">
        <v>142.39976501464844</v>
      </c>
      <c r="P244" s="10">
        <v>168.26263427734375</v>
      </c>
      <c r="Q244" s="10">
        <v>437.355224609375</v>
      </c>
      <c r="R244" s="10">
        <v>152.19534301757812</v>
      </c>
      <c r="S244" s="10">
        <v>142.56727600097656</v>
      </c>
      <c r="V244" s="11">
        <v>44547</v>
      </c>
      <c r="W244" s="12">
        <v>-6.5016150884262824E-3</v>
      </c>
      <c r="X244" s="12">
        <v>-2.7628477019981612E-2</v>
      </c>
      <c r="Y244" s="12">
        <v>-2.2754599584175916E-2</v>
      </c>
      <c r="Z244" s="12">
        <v>-2.0643305484806529E-2</v>
      </c>
      <c r="AA244" s="12">
        <v>-2.2655405393111616E-2</v>
      </c>
      <c r="AB244" s="12">
        <v>-1.0642891313922376E-2</v>
      </c>
      <c r="AC244" s="12">
        <v>-2.1834942939455093E-2</v>
      </c>
    </row>
    <row r="245" spans="12:29" x14ac:dyDescent="0.2">
      <c r="L245" s="11">
        <v>44547</v>
      </c>
      <c r="M245" s="10">
        <v>27.713445663452148</v>
      </c>
      <c r="N245" s="10">
        <v>51.055850982666016</v>
      </c>
      <c r="O245" s="10">
        <v>139.15951538085938</v>
      </c>
      <c r="P245" s="10">
        <v>167.16865539550781</v>
      </c>
      <c r="Q245" s="10">
        <v>432.70050048828131</v>
      </c>
      <c r="R245" s="10">
        <v>147.99041748046875</v>
      </c>
      <c r="S245" s="10">
        <v>139.33735656738281</v>
      </c>
      <c r="V245" s="11">
        <v>44550</v>
      </c>
      <c r="W245" s="12">
        <v>-8.1219909698860837E-3</v>
      </c>
      <c r="X245" s="12">
        <v>-2.8532689948137513E-3</v>
      </c>
      <c r="Y245" s="12">
        <v>-1.798911793234137E-2</v>
      </c>
      <c r="Z245" s="12">
        <v>-2.9494501207757429E-3</v>
      </c>
      <c r="AA245" s="12">
        <v>2.5401864927916407E-3</v>
      </c>
      <c r="AB245" s="12">
        <v>-1.0633392412437548E-2</v>
      </c>
      <c r="AC245" s="12">
        <v>-1.449261935066426E-2</v>
      </c>
    </row>
    <row r="246" spans="12:29" x14ac:dyDescent="0.2">
      <c r="L246" s="11">
        <v>44550</v>
      </c>
      <c r="M246" s="10">
        <v>27.631706237792969</v>
      </c>
      <c r="N246" s="10">
        <v>50.31591796875</v>
      </c>
      <c r="O246" s="10">
        <v>136.65615844726562</v>
      </c>
      <c r="P246" s="10">
        <v>165.8109130859375</v>
      </c>
      <c r="Q246" s="10">
        <v>428.09942626953131</v>
      </c>
      <c r="R246" s="10">
        <v>147.56816101074219</v>
      </c>
      <c r="S246" s="10">
        <v>139.69129943847656</v>
      </c>
      <c r="V246" s="11">
        <v>44551</v>
      </c>
      <c r="W246" s="12">
        <v>1.9086862992086617E-2</v>
      </c>
      <c r="X246" s="12">
        <v>-3.2189962865371013E-3</v>
      </c>
      <c r="Y246" s="12">
        <v>1.396677362783727E-2</v>
      </c>
      <c r="Z246" s="12">
        <v>4.891940151468499E-2</v>
      </c>
      <c r="AA246" s="12">
        <v>-6.3343757362932518E-4</v>
      </c>
      <c r="AB246" s="12">
        <v>1.7758958856603613E-2</v>
      </c>
      <c r="AC246" s="12">
        <v>2.265038950673004E-2</v>
      </c>
    </row>
    <row r="247" spans="12:29" x14ac:dyDescent="0.2">
      <c r="L247" s="11">
        <v>44551</v>
      </c>
      <c r="M247" s="10">
        <v>28.983432769775391</v>
      </c>
      <c r="N247" s="10">
        <v>51.455593109130859</v>
      </c>
      <c r="O247" s="10">
        <v>138.56480407714844</v>
      </c>
      <c r="P247" s="10">
        <v>168.97572326660156</v>
      </c>
      <c r="Q247" s="10">
        <v>435.7020263671875</v>
      </c>
      <c r="R247" s="10">
        <v>147.0931396484375</v>
      </c>
      <c r="S247" s="10">
        <v>139.60281372070312</v>
      </c>
      <c r="V247" s="11">
        <v>44552</v>
      </c>
      <c r="W247" s="12">
        <v>1.5318684055516396E-2</v>
      </c>
      <c r="X247" s="12">
        <v>4.3057518462854549E-3</v>
      </c>
      <c r="Y247" s="12">
        <v>3.907616609347242E-3</v>
      </c>
      <c r="Z247" s="12">
        <v>1.1178187254181404E-2</v>
      </c>
      <c r="AA247" s="12">
        <v>9.888829501771168E-3</v>
      </c>
      <c r="AB247" s="12">
        <v>9.9986103604909893E-3</v>
      </c>
      <c r="AC247" s="12">
        <v>8.0994011687496315E-3</v>
      </c>
    </row>
    <row r="248" spans="12:29" x14ac:dyDescent="0.2">
      <c r="L248" s="11">
        <v>44552</v>
      </c>
      <c r="M248" s="10">
        <v>29.307415008544918</v>
      </c>
      <c r="N248" s="10">
        <v>51.872352600097656</v>
      </c>
      <c r="O248" s="10">
        <v>139.10626220703125</v>
      </c>
      <c r="P248" s="10">
        <v>171.564208984375</v>
      </c>
      <c r="Q248" s="10">
        <v>440.05844116210938</v>
      </c>
      <c r="R248" s="10">
        <v>147.72648620605469</v>
      </c>
      <c r="S248" s="10">
        <v>140.98332214355469</v>
      </c>
      <c r="V248" s="11">
        <v>44553</v>
      </c>
      <c r="W248" s="12">
        <v>3.6437514141338667E-3</v>
      </c>
      <c r="X248" s="12">
        <v>1.9055089432802319E-3</v>
      </c>
      <c r="Y248" s="12">
        <v>3.5739718496241579E-3</v>
      </c>
      <c r="Z248" s="12">
        <v>8.1632089913485917E-3</v>
      </c>
      <c r="AA248" s="12">
        <v>4.895728473119032E-3</v>
      </c>
      <c r="AB248" s="12">
        <v>6.2221239008628526E-3</v>
      </c>
      <c r="AC248" s="12">
        <v>4.916890142732111E-4</v>
      </c>
    </row>
    <row r="249" spans="12:29" x14ac:dyDescent="0.2">
      <c r="L249" s="11">
        <v>44553</v>
      </c>
      <c r="M249" s="10">
        <v>29.546657562255859</v>
      </c>
      <c r="N249" s="10">
        <v>51.897857666015625</v>
      </c>
      <c r="O249" s="10">
        <v>139.60342407226562</v>
      </c>
      <c r="P249" s="10">
        <v>172.18934631347656</v>
      </c>
      <c r="Q249" s="10">
        <v>442.79653930664062</v>
      </c>
      <c r="R249" s="10">
        <v>148.00798034667969</v>
      </c>
      <c r="S249" s="10">
        <v>141.67353820800781</v>
      </c>
      <c r="V249" s="11">
        <v>44557</v>
      </c>
      <c r="W249" s="12">
        <v>2.2974937261849071E-2</v>
      </c>
      <c r="X249" s="12">
        <v>8.4399234586181038E-3</v>
      </c>
      <c r="Y249" s="12">
        <v>5.7228892617267046E-3</v>
      </c>
      <c r="Z249" s="12">
        <v>4.4028393854014691E-2</v>
      </c>
      <c r="AA249" s="12">
        <v>1.1679946733971436E-2</v>
      </c>
      <c r="AB249" s="12">
        <v>1.4152120564397741E-2</v>
      </c>
      <c r="AC249" s="12">
        <v>1.4257854190518726E-2</v>
      </c>
    </row>
    <row r="250" spans="12:29" x14ac:dyDescent="0.2">
      <c r="L250" s="11">
        <v>44557</v>
      </c>
      <c r="M250" s="10">
        <v>30.847549438476559</v>
      </c>
      <c r="N250" s="10">
        <v>52.637809753417969</v>
      </c>
      <c r="O250" s="10">
        <v>140.40235900878906</v>
      </c>
      <c r="P250" s="10">
        <v>176.1453857421875</v>
      </c>
      <c r="Q250" s="10">
        <v>449.06304931640625</v>
      </c>
      <c r="R250" s="10">
        <v>149.25715637207031</v>
      </c>
      <c r="S250" s="10">
        <v>143.32827758789062</v>
      </c>
      <c r="V250" s="11">
        <v>44558</v>
      </c>
      <c r="W250" s="12">
        <v>-5.767306336942335E-3</v>
      </c>
      <c r="X250" s="12">
        <v>4.0080897862819764E-3</v>
      </c>
      <c r="Y250" s="12">
        <v>3.034969970360013E-3</v>
      </c>
      <c r="Z250" s="12">
        <v>-2.0132566623384585E-2</v>
      </c>
      <c r="AA250" s="12">
        <v>5.3712477225453803E-3</v>
      </c>
      <c r="AB250" s="12">
        <v>-8.1692717136061521E-4</v>
      </c>
      <c r="AC250" s="12">
        <v>-3.2317569948326907E-3</v>
      </c>
    </row>
    <row r="251" spans="12:29" x14ac:dyDescent="0.2">
      <c r="L251" s="11">
        <v>44558</v>
      </c>
      <c r="M251" s="10">
        <v>30.226509094238281</v>
      </c>
      <c r="N251" s="10">
        <v>52.467697143554688</v>
      </c>
      <c r="O251" s="10">
        <v>140.82847595214844</v>
      </c>
      <c r="P251" s="10">
        <v>175.12950134277344</v>
      </c>
      <c r="Q251" s="10">
        <v>448.69619750976562</v>
      </c>
      <c r="R251" s="10">
        <v>149.85539245605469</v>
      </c>
      <c r="S251" s="10">
        <v>144.09812927246094</v>
      </c>
      <c r="V251" s="11">
        <v>44559</v>
      </c>
      <c r="W251" s="12">
        <v>5.0220927646060787E-4</v>
      </c>
      <c r="X251" s="12">
        <v>7.0439407782751928E-3</v>
      </c>
      <c r="Y251" s="12">
        <v>-5.0415333282405328E-4</v>
      </c>
      <c r="Z251" s="12">
        <v>-1.0586281809326858E-2</v>
      </c>
      <c r="AA251" s="12">
        <v>8.2903633830899714E-3</v>
      </c>
      <c r="AB251" s="12">
        <v>1.2788653540392048E-3</v>
      </c>
      <c r="AC251" s="12">
        <v>-8.7533222840155966E-3</v>
      </c>
    </row>
    <row r="252" spans="12:29" x14ac:dyDescent="0.2">
      <c r="L252" s="11">
        <v>44559</v>
      </c>
      <c r="M252" s="10">
        <v>29.906522750854492</v>
      </c>
      <c r="N252" s="10">
        <v>52.008430480957031</v>
      </c>
      <c r="O252" s="10">
        <v>140.75747680664062</v>
      </c>
      <c r="P252" s="10">
        <v>175.21745300292969</v>
      </c>
      <c r="Q252" s="10">
        <v>449.27001953125</v>
      </c>
      <c r="R252" s="10">
        <v>150.91096496582031</v>
      </c>
      <c r="S252" s="10">
        <v>145.29275512695312</v>
      </c>
      <c r="V252" s="11">
        <v>44560</v>
      </c>
      <c r="W252" s="12">
        <v>-6.5783039716534875E-3</v>
      </c>
      <c r="X252" s="12">
        <v>4.4302884267815035E-3</v>
      </c>
      <c r="Y252" s="12">
        <v>-5.0462444125443096E-4</v>
      </c>
      <c r="Z252" s="12">
        <v>-1.3832851040946226E-2</v>
      </c>
      <c r="AA252" s="12">
        <v>-8.6483735504214732E-3</v>
      </c>
      <c r="AB252" s="12">
        <v>-2.7644942696758434E-3</v>
      </c>
      <c r="AC252" s="12">
        <v>-5.8870307967801017E-3</v>
      </c>
    </row>
    <row r="253" spans="12:29" x14ac:dyDescent="0.2">
      <c r="L253" s="11">
        <v>44560</v>
      </c>
      <c r="M253" s="10">
        <v>29.492830276489254</v>
      </c>
      <c r="N253" s="10">
        <v>51.702255249023438</v>
      </c>
      <c r="O253" s="10">
        <v>140.68644714355469</v>
      </c>
      <c r="P253" s="10">
        <v>174.0648193359375</v>
      </c>
      <c r="Q253" s="10">
        <v>448.02801513671869</v>
      </c>
      <c r="R253" s="10">
        <v>151.57954406738281</v>
      </c>
      <c r="S253" s="10">
        <v>144.03620910644531</v>
      </c>
      <c r="V253" s="11">
        <v>44561</v>
      </c>
      <c r="W253" s="12">
        <v>-3.5354773240650061E-3</v>
      </c>
      <c r="X253" s="12">
        <v>-7.1961543467697897E-3</v>
      </c>
      <c r="Y253" s="12">
        <v>-8.2038805309359031E-4</v>
      </c>
      <c r="Z253" s="12">
        <v>-5.9150588928724712E-3</v>
      </c>
      <c r="AA253" s="12">
        <v>4.9762928493359837E-3</v>
      </c>
      <c r="AB253" s="12">
        <v>-2.520063031205777E-3</v>
      </c>
      <c r="AC253" s="12">
        <v>6.5796599474849948E-3</v>
      </c>
    </row>
    <row r="254" spans="12:29" x14ac:dyDescent="0.2">
      <c r="L254" s="11">
        <v>44561</v>
      </c>
      <c r="M254" s="10">
        <v>29.318378448486328</v>
      </c>
      <c r="N254" s="10">
        <v>52.042438507080078</v>
      </c>
      <c r="O254" s="10">
        <v>140.57102966308594</v>
      </c>
      <c r="P254" s="10">
        <v>173.44941711425781</v>
      </c>
      <c r="Q254" s="10">
        <v>446.89895629882812</v>
      </c>
      <c r="R254" s="10">
        <v>150.48875427246094</v>
      </c>
      <c r="S254" s="10">
        <v>144.75297546386719</v>
      </c>
      <c r="V254" s="11">
        <v>44564</v>
      </c>
      <c r="W254" s="12">
        <v>2.5004176497233521E-2</v>
      </c>
      <c r="X254" s="12">
        <v>2.7472942522994703E-3</v>
      </c>
      <c r="Y254" s="12">
        <v>2.1155688766402614E-2</v>
      </c>
      <c r="Z254" s="12">
        <v>2.4140549443071535E-2</v>
      </c>
      <c r="AA254" s="12">
        <v>-4.1569463062947065E-3</v>
      </c>
      <c r="AB254" s="12">
        <v>5.7898857448979157E-3</v>
      </c>
      <c r="AC254" s="12">
        <v>3.840517941834154E-2</v>
      </c>
    </row>
    <row r="255" spans="12:29" x14ac:dyDescent="0.2">
      <c r="L255" s="11">
        <v>44564</v>
      </c>
      <c r="M255" s="10">
        <v>30.026140213012695</v>
      </c>
      <c r="N255" s="10">
        <v>54.0411376953125</v>
      </c>
      <c r="O255" s="10">
        <v>143.54490661621094</v>
      </c>
      <c r="P255" s="10">
        <v>177.786376953125</v>
      </c>
      <c r="Q255" s="10">
        <v>449.4864501953125</v>
      </c>
      <c r="R255" s="10">
        <v>150.90219116210938</v>
      </c>
      <c r="S255" s="10">
        <v>144.1512451171875</v>
      </c>
      <c r="V255" s="11">
        <v>44565</v>
      </c>
      <c r="W255" s="12">
        <v>-1.2691427508160436E-2</v>
      </c>
      <c r="X255" s="12">
        <v>-2.6815238667656782E-3</v>
      </c>
      <c r="Y255" s="12">
        <v>3.7909789559428919E-2</v>
      </c>
      <c r="Z255" s="12">
        <v>-2.7588456484723189E-2</v>
      </c>
      <c r="AA255" s="12">
        <v>3.4991705387561467E-3</v>
      </c>
      <c r="AB255" s="12">
        <v>-3.3499058848895924E-4</v>
      </c>
      <c r="AC255" s="12">
        <v>3.7614142035893083E-2</v>
      </c>
    </row>
    <row r="256" spans="12:29" x14ac:dyDescent="0.2">
      <c r="L256" s="11">
        <v>44565</v>
      </c>
      <c r="M256" s="10">
        <v>29.197765350341797</v>
      </c>
      <c r="N256" s="10">
        <v>56.073848724365234</v>
      </c>
      <c r="O256" s="10">
        <v>148.98666381835938</v>
      </c>
      <c r="P256" s="10">
        <v>175.53001403808594</v>
      </c>
      <c r="Q256" s="10">
        <v>449.33587646484375</v>
      </c>
      <c r="R256" s="10">
        <v>150.49754333496094</v>
      </c>
      <c r="S256" s="10">
        <v>144.65565490722656</v>
      </c>
      <c r="V256" s="11">
        <v>44566</v>
      </c>
      <c r="W256" s="12">
        <v>-2.6599997305176148E-2</v>
      </c>
      <c r="X256" s="12">
        <v>6.6635864701303227E-3</v>
      </c>
      <c r="Y256" s="12">
        <v>-1.8281870423873858E-2</v>
      </c>
      <c r="Z256" s="12">
        <v>-5.7562504090988065E-2</v>
      </c>
      <c r="AA256" s="12">
        <v>4.5268256746489044E-3</v>
      </c>
      <c r="AB256" s="12">
        <v>-1.9202126510764361E-2</v>
      </c>
      <c r="AC256" s="12">
        <v>1.2437426965670628E-2</v>
      </c>
    </row>
    <row r="257" spans="12:29" x14ac:dyDescent="0.2">
      <c r="L257" s="11">
        <v>44566</v>
      </c>
      <c r="M257" s="10">
        <v>27.517068862915039</v>
      </c>
      <c r="N257" s="10">
        <v>56.771263122558594</v>
      </c>
      <c r="O257" s="10">
        <v>146.26290893554688</v>
      </c>
      <c r="P257" s="10">
        <v>170.86091613769531</v>
      </c>
      <c r="Q257" s="10">
        <v>440.70767211914062</v>
      </c>
      <c r="R257" s="10">
        <v>151.50039672851562</v>
      </c>
      <c r="S257" s="10">
        <v>145.31048583984375</v>
      </c>
      <c r="V257" s="11">
        <v>44567</v>
      </c>
      <c r="W257" s="12">
        <v>-1.669321862719686E-2</v>
      </c>
      <c r="X257" s="12">
        <v>-3.42601722476088E-3</v>
      </c>
      <c r="Y257" s="12">
        <v>1.0623874470214734E-2</v>
      </c>
      <c r="Z257" s="12">
        <v>2.0794186181353647E-2</v>
      </c>
      <c r="AA257" s="12">
        <v>-8.4040143365562425E-3</v>
      </c>
      <c r="AB257" s="12">
        <v>-9.3940153765204037E-4</v>
      </c>
      <c r="AC257" s="12">
        <v>2.3520374545616285E-2</v>
      </c>
    </row>
    <row r="258" spans="12:29" x14ac:dyDescent="0.2">
      <c r="L258" s="11">
        <v>44567</v>
      </c>
      <c r="M258" s="10">
        <v>28.089263916015625</v>
      </c>
      <c r="N258" s="10">
        <v>58.106544494628906</v>
      </c>
      <c r="O258" s="10">
        <v>147.81678771972656</v>
      </c>
      <c r="P258" s="10">
        <v>168.00869750976562</v>
      </c>
      <c r="Q258" s="10">
        <v>440.29367065429688</v>
      </c>
      <c r="R258" s="10">
        <v>150.98135375976562</v>
      </c>
      <c r="S258" s="10">
        <v>144.08929443359375</v>
      </c>
      <c r="V258" s="11">
        <v>44568</v>
      </c>
      <c r="W258" s="12">
        <v>9.8831873015670091E-4</v>
      </c>
      <c r="X258" s="12">
        <v>1.3517520567042141E-2</v>
      </c>
      <c r="Y258" s="12">
        <v>9.9081056568683934E-3</v>
      </c>
      <c r="Z258" s="12">
        <v>-3.3039960170746507E-2</v>
      </c>
      <c r="AA258" s="12">
        <v>-5.5289421749527001E-4</v>
      </c>
      <c r="AB258" s="12">
        <v>-3.9535491247539856E-3</v>
      </c>
      <c r="AC258" s="12">
        <v>8.1966050786086431E-3</v>
      </c>
    </row>
    <row r="259" spans="12:29" x14ac:dyDescent="0.2">
      <c r="L259" s="11">
        <v>44568</v>
      </c>
      <c r="M259" s="10">
        <v>27.161195755004883</v>
      </c>
      <c r="N259" s="10">
        <v>58.582820892333984</v>
      </c>
      <c r="O259" s="10">
        <v>149.2813720703125</v>
      </c>
      <c r="P259" s="10">
        <v>168.17474365234375</v>
      </c>
      <c r="Q259" s="10">
        <v>438.55294799804688</v>
      </c>
      <c r="R259" s="10">
        <v>153.02224731445312</v>
      </c>
      <c r="S259" s="10">
        <v>144.00962829589844</v>
      </c>
      <c r="V259" s="11">
        <v>44571</v>
      </c>
      <c r="W259" s="12">
        <v>1.1595517851481496E-4</v>
      </c>
      <c r="X259" s="12">
        <v>-4.9441260507838702E-3</v>
      </c>
      <c r="Y259" s="12">
        <v>9.5724307452771384E-4</v>
      </c>
      <c r="Z259" s="12">
        <v>5.6152652519902979E-3</v>
      </c>
      <c r="AA259" s="12">
        <v>-1.3641504945795191E-2</v>
      </c>
      <c r="AB259" s="12">
        <v>-1.2442153207858908E-3</v>
      </c>
      <c r="AC259" s="12">
        <v>-5.9522169988086571E-3</v>
      </c>
    </row>
    <row r="260" spans="12:29" x14ac:dyDescent="0.2">
      <c r="L260" s="11">
        <v>44571</v>
      </c>
      <c r="M260" s="10">
        <v>27.313713073730469</v>
      </c>
      <c r="N260" s="10">
        <v>58.234123229980469</v>
      </c>
      <c r="O260" s="10">
        <v>149.42427062988281</v>
      </c>
      <c r="P260" s="10">
        <v>168.19424438476562</v>
      </c>
      <c r="Q260" s="10">
        <v>438.00729370117188</v>
      </c>
      <c r="R260" s="10">
        <v>152.26568603515625</v>
      </c>
      <c r="S260" s="10">
        <v>142.04512023925781</v>
      </c>
      <c r="V260" s="11">
        <v>44572</v>
      </c>
      <c r="W260" s="12">
        <v>1.6783790801193632E-2</v>
      </c>
      <c r="X260" s="12">
        <v>-1.0630146617597758E-2</v>
      </c>
      <c r="Y260" s="12">
        <v>1.0159640849700668E-3</v>
      </c>
      <c r="Z260" s="12">
        <v>1.5218866260174657E-2</v>
      </c>
      <c r="AA260" s="12">
        <v>-1.158708781726725E-2</v>
      </c>
      <c r="AB260" s="12">
        <v>9.1082306000789259E-3</v>
      </c>
      <c r="AC260" s="12">
        <v>4.2062329692017286E-2</v>
      </c>
    </row>
    <row r="261" spans="12:29" x14ac:dyDescent="0.2">
      <c r="L261" s="11">
        <v>44572</v>
      </c>
      <c r="M261" s="10">
        <v>27.729396820068359</v>
      </c>
      <c r="N261" s="10">
        <v>60.683586120605469</v>
      </c>
      <c r="O261" s="10">
        <v>149.57608032226562</v>
      </c>
      <c r="P261" s="10">
        <v>171.01718139648438</v>
      </c>
      <c r="Q261" s="10">
        <v>441.99676513671869</v>
      </c>
      <c r="R261" s="10">
        <v>150.64707946777344</v>
      </c>
      <c r="S261" s="10">
        <v>140.39923095703125</v>
      </c>
      <c r="V261" s="11">
        <v>44573</v>
      </c>
      <c r="W261" s="12">
        <v>2.5702676943573088E-3</v>
      </c>
      <c r="X261" s="12">
        <v>-8.5256401750788413E-3</v>
      </c>
      <c r="Y261" s="12">
        <v>5.6718521521494925E-3</v>
      </c>
      <c r="Z261" s="12">
        <v>6.5429740566054218E-3</v>
      </c>
      <c r="AA261" s="12">
        <v>2.2056896032300877E-3</v>
      </c>
      <c r="AB261" s="12">
        <v>2.7034491329700483E-3</v>
      </c>
      <c r="AC261" s="12">
        <v>-2.9433289426256115E-3</v>
      </c>
    </row>
    <row r="262" spans="12:29" x14ac:dyDescent="0.2">
      <c r="L262" s="11">
        <v>44573</v>
      </c>
      <c r="M262" s="10">
        <v>27.910829544067383</v>
      </c>
      <c r="N262" s="10">
        <v>60.504974365234375</v>
      </c>
      <c r="O262" s="10">
        <v>150.42445373535156</v>
      </c>
      <c r="P262" s="10">
        <v>171.45674133300781</v>
      </c>
      <c r="Q262" s="10">
        <v>443.19168090820312</v>
      </c>
      <c r="R262" s="10">
        <v>149.36271667480469</v>
      </c>
      <c r="S262" s="10">
        <v>140.70890808105469</v>
      </c>
      <c r="V262" s="11">
        <v>44574</v>
      </c>
      <c r="W262" s="12">
        <v>-1.902810541526434E-2</v>
      </c>
      <c r="X262" s="12">
        <v>-6.0662186300746157E-3</v>
      </c>
      <c r="Y262" s="12">
        <v>-1.246675742682446E-3</v>
      </c>
      <c r="Z262" s="12">
        <v>-5.0858954496497133E-2</v>
      </c>
      <c r="AA262" s="12">
        <v>-4.5276803695364354E-3</v>
      </c>
      <c r="AB262" s="12">
        <v>-1.3778614639829656E-2</v>
      </c>
      <c r="AC262" s="12">
        <v>-7.1690237245836119E-3</v>
      </c>
    </row>
    <row r="263" spans="12:29" x14ac:dyDescent="0.2">
      <c r="L263" s="11">
        <v>44574</v>
      </c>
      <c r="M263" s="10">
        <v>26.491313934326172</v>
      </c>
      <c r="N263" s="10">
        <v>60.071212768554688</v>
      </c>
      <c r="O263" s="10">
        <v>150.23692321777344</v>
      </c>
      <c r="P263" s="10">
        <v>168.19424438476562</v>
      </c>
      <c r="Q263" s="10">
        <v>437.08511352539062</v>
      </c>
      <c r="R263" s="10">
        <v>148.45664978027344</v>
      </c>
      <c r="S263" s="10">
        <v>140.07182312011719</v>
      </c>
      <c r="V263" s="11">
        <v>44575</v>
      </c>
      <c r="W263" s="12">
        <v>5.1106898823509717E-3</v>
      </c>
      <c r="X263" s="12">
        <v>-5.451599325950407E-3</v>
      </c>
      <c r="Y263" s="12">
        <v>-6.1463283243924138E-2</v>
      </c>
      <c r="Z263" s="12">
        <v>1.3809771966144968E-2</v>
      </c>
      <c r="AA263" s="12">
        <v>9.6025522272018549E-3</v>
      </c>
      <c r="AB263" s="12">
        <v>4.0907934107425881E-4</v>
      </c>
      <c r="AC263" s="12">
        <v>1.7556207067265017E-2</v>
      </c>
    </row>
    <row r="264" spans="12:29" x14ac:dyDescent="0.2">
      <c r="L264" s="11">
        <v>44575</v>
      </c>
      <c r="M264" s="10">
        <v>26.857152938842773</v>
      </c>
      <c r="N264" s="10">
        <v>61.125835418701172</v>
      </c>
      <c r="O264" s="10">
        <v>141.00286865234375</v>
      </c>
      <c r="P264" s="10">
        <v>169.0538330078125</v>
      </c>
      <c r="Q264" s="10">
        <v>437.263916015625</v>
      </c>
      <c r="R264" s="10">
        <v>147.64732360839844</v>
      </c>
      <c r="S264" s="10">
        <v>141.4168701171875</v>
      </c>
      <c r="V264" s="11">
        <v>44579</v>
      </c>
      <c r="W264" s="12">
        <v>-1.8893933015570186E-2</v>
      </c>
      <c r="X264" s="12">
        <v>-4.4088520149665467E-3</v>
      </c>
      <c r="Y264" s="12">
        <v>-4.1928134946417894E-2</v>
      </c>
      <c r="Z264" s="12">
        <v>-3.85640588022782E-2</v>
      </c>
      <c r="AA264" s="12">
        <v>-1.9272766979689937E-2</v>
      </c>
      <c r="AB264" s="12">
        <v>-1.770954248190848E-2</v>
      </c>
      <c r="AC264" s="12">
        <v>1.6836299020998258E-2</v>
      </c>
    </row>
    <row r="265" spans="12:29" x14ac:dyDescent="0.2">
      <c r="L265" s="11">
        <v>44579</v>
      </c>
      <c r="M265" s="10">
        <v>25.821432113647461</v>
      </c>
      <c r="N265" s="10">
        <v>62.15496826171875</v>
      </c>
      <c r="O265" s="10">
        <v>135.09088134765625</v>
      </c>
      <c r="P265" s="10">
        <v>165.8597412109375</v>
      </c>
      <c r="Q265" s="10">
        <v>429.52017211914062</v>
      </c>
      <c r="R265" s="10">
        <v>146.99636840820312</v>
      </c>
      <c r="S265" s="10">
        <v>138.69137573242188</v>
      </c>
      <c r="V265" s="11">
        <v>44580</v>
      </c>
      <c r="W265" s="12">
        <v>-2.1024980809186244E-2</v>
      </c>
      <c r="X265" s="12">
        <v>-3.1120394404806628E-3</v>
      </c>
      <c r="Y265" s="12">
        <v>-1.5469006189319345E-2</v>
      </c>
      <c r="Z265" s="12">
        <v>-3.2274508236785016E-2</v>
      </c>
      <c r="AA265" s="12">
        <v>3.3624562919079004E-2</v>
      </c>
      <c r="AB265" s="12">
        <v>-1.0383517956602084E-2</v>
      </c>
      <c r="AC265" s="12">
        <v>4.1028500108519772E-4</v>
      </c>
    </row>
    <row r="266" spans="12:29" x14ac:dyDescent="0.2">
      <c r="L266" s="11">
        <v>44580</v>
      </c>
      <c r="M266" s="10">
        <v>24.988058090209961</v>
      </c>
      <c r="N266" s="10">
        <v>62.180469512939453</v>
      </c>
      <c r="O266" s="10">
        <v>133.00115966796875</v>
      </c>
      <c r="P266" s="10">
        <v>162.37254333496094</v>
      </c>
      <c r="Q266" s="10">
        <v>425.06024169921869</v>
      </c>
      <c r="R266" s="10">
        <v>146.53890991210938</v>
      </c>
      <c r="S266" s="10">
        <v>143.35481262207031</v>
      </c>
      <c r="V266" s="11">
        <v>44581</v>
      </c>
      <c r="W266" s="12">
        <v>-1.0346813677006073E-2</v>
      </c>
      <c r="X266" s="12">
        <v>-7.9840067874731302E-3</v>
      </c>
      <c r="Y266" s="12">
        <v>-8.5271794523495981E-3</v>
      </c>
      <c r="Z266" s="12">
        <v>-3.6581881649857317E-2</v>
      </c>
      <c r="AA266" s="12">
        <v>5.3993118181874244E-3</v>
      </c>
      <c r="AB266" s="12">
        <v>-1.1068197910251265E-2</v>
      </c>
      <c r="AC266" s="12">
        <v>2.1885571357029843E-3</v>
      </c>
    </row>
    <row r="267" spans="12:29" x14ac:dyDescent="0.2">
      <c r="L267" s="11">
        <v>44581</v>
      </c>
      <c r="M267" s="10">
        <v>24.073947906494141</v>
      </c>
      <c r="N267" s="10">
        <v>62.316555023193359</v>
      </c>
      <c r="O267" s="10">
        <v>131.86703491210938</v>
      </c>
      <c r="P267" s="10">
        <v>160.6925048828125</v>
      </c>
      <c r="Q267" s="10">
        <v>420.3555908203125</v>
      </c>
      <c r="R267" s="10">
        <v>145.36894226074219</v>
      </c>
      <c r="S267" s="10">
        <v>144.12882995605469</v>
      </c>
      <c r="V267" s="11">
        <v>44582</v>
      </c>
      <c r="W267" s="12">
        <v>-1.2765184865006107E-2</v>
      </c>
      <c r="X267" s="12">
        <v>-2.299384091297707E-3</v>
      </c>
      <c r="Y267" s="12">
        <v>-1.7472846104125028E-2</v>
      </c>
      <c r="Z267" s="12">
        <v>-3.2132246716404356E-2</v>
      </c>
      <c r="AA267" s="12">
        <v>3.8271678523829067E-3</v>
      </c>
      <c r="AB267" s="12">
        <v>-1.9630814452398448E-2</v>
      </c>
      <c r="AC267" s="12">
        <v>-1.5012753191419814E-2</v>
      </c>
    </row>
    <row r="268" spans="12:29" x14ac:dyDescent="0.2">
      <c r="L268" s="11">
        <v>44582</v>
      </c>
      <c r="M268" s="10">
        <v>23.300397872924805</v>
      </c>
      <c r="N268" s="10">
        <v>61.381011962890625</v>
      </c>
      <c r="O268" s="10">
        <v>129.56294250488281</v>
      </c>
      <c r="P268" s="10">
        <v>158.6412353515625</v>
      </c>
      <c r="Q268" s="10">
        <v>412.10366821289062</v>
      </c>
      <c r="R268" s="10">
        <v>145.03468322753906</v>
      </c>
      <c r="S268" s="10">
        <v>144.68043518066406</v>
      </c>
      <c r="V268" s="11">
        <v>44585</v>
      </c>
      <c r="W268" s="12">
        <v>-4.864518705529175E-3</v>
      </c>
      <c r="X268" s="12">
        <v>-1.1524364089484318E-2</v>
      </c>
      <c r="Y268" s="12">
        <v>-8.9600363300734731E-4</v>
      </c>
      <c r="Z268" s="12">
        <v>-8.57882933196219E-5</v>
      </c>
      <c r="AA268" s="12">
        <v>-8.1167274868413353E-3</v>
      </c>
      <c r="AB268" s="12">
        <v>4.2469486211043073E-3</v>
      </c>
      <c r="AC268" s="12">
        <v>8.5904472307669622E-3</v>
      </c>
    </row>
    <row r="269" spans="12:29" x14ac:dyDescent="0.2">
      <c r="L269" s="11">
        <v>44585</v>
      </c>
      <c r="M269" s="10">
        <v>23.298398971557617</v>
      </c>
      <c r="N269" s="10">
        <v>61.908302307128906</v>
      </c>
      <c r="O269" s="10">
        <v>129.44685363769531</v>
      </c>
      <c r="P269" s="10">
        <v>157.86952209472656</v>
      </c>
      <c r="Q269" s="10">
        <v>413.85385131835938</v>
      </c>
      <c r="R269" s="10">
        <v>143.36325073242188</v>
      </c>
      <c r="S269" s="10">
        <v>143.506103515625</v>
      </c>
      <c r="V269" s="11">
        <v>44586</v>
      </c>
      <c r="W269" s="12">
        <v>-1.1384538983003956E-2</v>
      </c>
      <c r="X269" s="12">
        <v>2.8594041331052145E-2</v>
      </c>
      <c r="Y269" s="12">
        <v>1.0900427173964777E-2</v>
      </c>
      <c r="Z269" s="12">
        <v>-4.4840099578627113E-2</v>
      </c>
      <c r="AA269" s="12">
        <v>-1.0911537237942803E-2</v>
      </c>
      <c r="AB269" s="12">
        <v>-1.220898237120227E-2</v>
      </c>
      <c r="AC269" s="12">
        <v>2.9399977447625902E-2</v>
      </c>
    </row>
    <row r="270" spans="12:29" x14ac:dyDescent="0.2">
      <c r="L270" s="11">
        <v>44586</v>
      </c>
      <c r="M270" s="10">
        <v>22.253696441650391</v>
      </c>
      <c r="N270" s="10">
        <v>63.728404998779297</v>
      </c>
      <c r="O270" s="10">
        <v>130.85787963867188</v>
      </c>
      <c r="P270" s="10">
        <v>156.07225036621094</v>
      </c>
      <c r="Q270" s="10">
        <v>408.80111694335938</v>
      </c>
      <c r="R270" s="10">
        <v>147.46258544921875</v>
      </c>
      <c r="S270" s="10">
        <v>141.94023132324219</v>
      </c>
      <c r="V270" s="11">
        <v>44587</v>
      </c>
      <c r="W270" s="12">
        <v>-5.6333616239800932E-4</v>
      </c>
      <c r="X270" s="12">
        <v>4.4740807946268557E-3</v>
      </c>
      <c r="Y270" s="12">
        <v>9.4859992569877871E-3</v>
      </c>
      <c r="Z270" s="12">
        <v>2.0068231455551144E-2</v>
      </c>
      <c r="AA270" s="12">
        <v>-8.7127823056816212E-3</v>
      </c>
      <c r="AB270" s="12">
        <v>-2.508809799042111E-3</v>
      </c>
      <c r="AC270" s="12">
        <v>-1.0143170554277492E-2</v>
      </c>
    </row>
    <row r="271" spans="12:29" x14ac:dyDescent="0.2">
      <c r="L271" s="11">
        <v>44587</v>
      </c>
      <c r="M271" s="10">
        <v>22.700288772583008</v>
      </c>
      <c r="N271" s="10">
        <v>63.081996917724609</v>
      </c>
      <c r="O271" s="10">
        <v>132.09919738769531</v>
      </c>
      <c r="P271" s="10">
        <v>155.98432922363281</v>
      </c>
      <c r="Q271" s="10">
        <v>407.7755126953125</v>
      </c>
      <c r="R271" s="10">
        <v>148.12234497070312</v>
      </c>
      <c r="S271" s="10">
        <v>140.70353698730469</v>
      </c>
      <c r="V271" s="11">
        <v>44588</v>
      </c>
      <c r="W271" s="12">
        <v>-2.9430900528232273E-3</v>
      </c>
      <c r="X271" s="12">
        <v>1.3125420686560529E-2</v>
      </c>
      <c r="Y271" s="12">
        <v>-1.7644742506658817E-2</v>
      </c>
      <c r="Z271" s="12">
        <v>-3.6360576395105038E-2</v>
      </c>
      <c r="AA271" s="12">
        <v>6.1969514204687215E-3</v>
      </c>
      <c r="AB271" s="12">
        <v>-4.9379628240947548E-3</v>
      </c>
      <c r="AC271" s="12">
        <v>1.2808946379257558E-2</v>
      </c>
    </row>
    <row r="272" spans="12:29" x14ac:dyDescent="0.2">
      <c r="L272" s="11">
        <v>44588</v>
      </c>
      <c r="M272" s="10">
        <v>21.874893188476559</v>
      </c>
      <c r="N272" s="10">
        <v>63.890010833740234</v>
      </c>
      <c r="O272" s="10">
        <v>129.76834106445312</v>
      </c>
      <c r="P272" s="10">
        <v>155.52525329589844</v>
      </c>
      <c r="Q272" s="10">
        <v>405.76193237304688</v>
      </c>
      <c r="R272" s="10">
        <v>150.06651306152344</v>
      </c>
      <c r="S272" s="10">
        <v>141.57546997070312</v>
      </c>
      <c r="V272" s="11">
        <v>44589</v>
      </c>
      <c r="W272" s="12">
        <v>6.9777561017151601E-2</v>
      </c>
      <c r="X272" s="12">
        <v>7.0340310321788113E-3</v>
      </c>
      <c r="Y272" s="12">
        <v>8.9460894693607074E-3</v>
      </c>
      <c r="Z272" s="12">
        <v>4.0831236620156641E-2</v>
      </c>
      <c r="AA272" s="12">
        <v>8.60923726246976E-3</v>
      </c>
      <c r="AB272" s="12">
        <v>2.4835501365184198E-2</v>
      </c>
      <c r="AC272" s="12">
        <v>2.1293398891104598E-3</v>
      </c>
    </row>
    <row r="273" spans="12:29" x14ac:dyDescent="0.2">
      <c r="L273" s="11">
        <v>44589</v>
      </c>
      <c r="M273" s="10">
        <v>22.768072128295898</v>
      </c>
      <c r="N273" s="10">
        <v>64.026054382324219</v>
      </c>
      <c r="O273" s="10">
        <v>130.92926025390625</v>
      </c>
      <c r="P273" s="10">
        <v>166.37742614746094</v>
      </c>
      <c r="Q273" s="10">
        <v>415.8392333984375</v>
      </c>
      <c r="R273" s="10">
        <v>151.12208557128906</v>
      </c>
      <c r="S273" s="10">
        <v>142.79432678222656</v>
      </c>
      <c r="V273" s="11">
        <v>44592</v>
      </c>
      <c r="W273" s="12">
        <v>2.6125692436272274E-2</v>
      </c>
      <c r="X273" s="12">
        <v>2.9106606796873713E-3</v>
      </c>
      <c r="Y273" s="12">
        <v>1.3573674506851541E-2</v>
      </c>
      <c r="Z273" s="12">
        <v>7.2066604188798511E-2</v>
      </c>
      <c r="AA273" s="12">
        <v>-3.1149255799933773E-4</v>
      </c>
      <c r="AB273" s="12">
        <v>1.8010864348293243E-2</v>
      </c>
      <c r="AC273" s="12">
        <v>9.0332211911239302E-3</v>
      </c>
    </row>
    <row r="274" spans="12:29" x14ac:dyDescent="0.2">
      <c r="L274" s="11">
        <v>44592</v>
      </c>
      <c r="M274" s="10">
        <v>24.408889770507812</v>
      </c>
      <c r="N274" s="10">
        <v>64.604415893554688</v>
      </c>
      <c r="O274" s="10">
        <v>132.70645141601562</v>
      </c>
      <c r="P274" s="10">
        <v>170.72415161132812</v>
      </c>
      <c r="Q274" s="10">
        <v>423.328857421875</v>
      </c>
      <c r="R274" s="10">
        <v>151.56195068359375</v>
      </c>
      <c r="S274" s="10">
        <v>142.74984741210938</v>
      </c>
      <c r="V274" s="11">
        <v>44593</v>
      </c>
      <c r="W274" s="12">
        <v>-9.7242026645383284E-4</v>
      </c>
      <c r="X274" s="12">
        <v>-8.183724087273192E-3</v>
      </c>
      <c r="Y274" s="12">
        <v>1.7160416463053663E-2</v>
      </c>
      <c r="Z274" s="12">
        <v>6.2075652278827942E-3</v>
      </c>
      <c r="AA274" s="12">
        <v>-4.4251070040428608E-3</v>
      </c>
      <c r="AB274" s="12">
        <v>6.7571678619111619E-3</v>
      </c>
      <c r="AC274" s="12">
        <v>6.411288370220003E-2</v>
      </c>
    </row>
    <row r="275" spans="12:29" x14ac:dyDescent="0.2">
      <c r="L275" s="11">
        <v>44593</v>
      </c>
      <c r="M275" s="10">
        <v>24.560409545898441</v>
      </c>
      <c r="N275" s="10">
        <v>68.746391296386719</v>
      </c>
      <c r="O275" s="10">
        <v>134.98374938964844</v>
      </c>
      <c r="P275" s="10">
        <v>170.55813598632812</v>
      </c>
      <c r="Q275" s="10">
        <v>426.18936157226562</v>
      </c>
      <c r="R275" s="10">
        <v>150.32160949707031</v>
      </c>
      <c r="S275" s="10">
        <v>142.1181640625</v>
      </c>
      <c r="V275" s="11">
        <v>44594</v>
      </c>
      <c r="W275" s="12">
        <v>7.0442053453223519E-3</v>
      </c>
      <c r="X275" s="12">
        <v>1.106037196249865E-2</v>
      </c>
      <c r="Y275" s="12">
        <v>-8.0053853053736468E-3</v>
      </c>
      <c r="Z275" s="12">
        <v>2.45150786752657E-2</v>
      </c>
      <c r="AA275" s="12">
        <v>1.7903970170893846E-2</v>
      </c>
      <c r="AB275" s="12">
        <v>9.7138830448710856E-3</v>
      </c>
      <c r="AC275" s="12">
        <v>-2.5982365240895255E-3</v>
      </c>
    </row>
    <row r="276" spans="12:29" x14ac:dyDescent="0.2">
      <c r="L276" s="11">
        <v>44594</v>
      </c>
      <c r="M276" s="10">
        <v>25.162509918212891</v>
      </c>
      <c r="N276" s="10">
        <v>68.567771911621094</v>
      </c>
      <c r="O276" s="10">
        <v>133.90315246582031</v>
      </c>
      <c r="P276" s="10">
        <v>171.75958251953125</v>
      </c>
      <c r="Q276" s="10">
        <v>430.32931518554688</v>
      </c>
      <c r="R276" s="10">
        <v>151.98422241210938</v>
      </c>
      <c r="S276" s="10">
        <v>144.66264343261719</v>
      </c>
      <c r="V276" s="11">
        <v>44595</v>
      </c>
      <c r="W276" s="12">
        <v>-1.6719945815886983E-2</v>
      </c>
      <c r="X276" s="12">
        <v>-5.8129973802389934E-5</v>
      </c>
      <c r="Y276" s="12">
        <v>-8.2699778029160509E-3</v>
      </c>
      <c r="Z276" s="12">
        <v>-5.1263750149517895E-2</v>
      </c>
      <c r="AA276" s="12">
        <v>9.4713304870328585E-3</v>
      </c>
      <c r="AB276" s="12">
        <v>-2.3504947971534795E-2</v>
      </c>
      <c r="AC276" s="12">
        <v>-1.1659767127334519E-2</v>
      </c>
    </row>
    <row r="277" spans="12:29" x14ac:dyDescent="0.2">
      <c r="L277" s="11">
        <v>44595</v>
      </c>
      <c r="M277" s="10">
        <v>23.872585296630859</v>
      </c>
      <c r="N277" s="10">
        <v>67.768287658691406</v>
      </c>
      <c r="O277" s="10">
        <v>132.7957763671875</v>
      </c>
      <c r="P277" s="10">
        <v>168.88777160644531</v>
      </c>
      <c r="Q277" s="10">
        <v>420.21444702148438</v>
      </c>
      <c r="R277" s="10">
        <v>151.97538757324219</v>
      </c>
      <c r="S277" s="10">
        <v>146.03279113769531</v>
      </c>
      <c r="V277" s="11">
        <v>44596</v>
      </c>
      <c r="W277" s="12">
        <v>-1.6790400704574937E-3</v>
      </c>
      <c r="X277" s="12">
        <v>-6.5407552456314688E-3</v>
      </c>
      <c r="Y277" s="12">
        <v>2.5958002064598196E-2</v>
      </c>
      <c r="Z277" s="12">
        <v>1.5491874072695033E-2</v>
      </c>
      <c r="AA277" s="12">
        <v>-1.5901207942610629E-2</v>
      </c>
      <c r="AB277" s="12">
        <v>4.702319684678935E-3</v>
      </c>
      <c r="AC277" s="12">
        <v>2.1711956904145957E-2</v>
      </c>
    </row>
    <row r="278" spans="12:29" x14ac:dyDescent="0.2">
      <c r="L278" s="11">
        <v>44596</v>
      </c>
      <c r="M278" s="10">
        <v>24.242416381835938</v>
      </c>
      <c r="N278" s="10">
        <v>69.239669799804688</v>
      </c>
      <c r="O278" s="10">
        <v>136.24288940429688</v>
      </c>
      <c r="P278" s="10">
        <v>168.60420227050781</v>
      </c>
      <c r="Q278" s="10">
        <v>422.1904296875</v>
      </c>
      <c r="R278" s="10">
        <v>150.98135375976562</v>
      </c>
      <c r="S278" s="10">
        <v>143.710693359375</v>
      </c>
      <c r="V278" s="11">
        <v>44599</v>
      </c>
      <c r="W278" s="12">
        <v>-4.2347966835133422E-3</v>
      </c>
      <c r="X278" s="12">
        <v>-3.3210661773549477E-3</v>
      </c>
      <c r="Y278" s="12">
        <v>3.3429971774527889E-3</v>
      </c>
      <c r="Z278" s="12">
        <v>1.6818085401677063E-2</v>
      </c>
      <c r="AA278" s="12">
        <v>-7.490796566316571E-3</v>
      </c>
      <c r="AB278" s="12">
        <v>-3.2093336463708821E-3</v>
      </c>
      <c r="AC278" s="12">
        <v>1.2037950578829726E-2</v>
      </c>
    </row>
    <row r="279" spans="12:29" x14ac:dyDescent="0.2">
      <c r="L279" s="11">
        <v>44599</v>
      </c>
      <c r="M279" s="10">
        <v>24.650127410888672</v>
      </c>
      <c r="N279" s="10">
        <v>70.073173522949219</v>
      </c>
      <c r="O279" s="10">
        <v>136.69834899902344</v>
      </c>
      <c r="P279" s="10">
        <v>167.89019775390625</v>
      </c>
      <c r="Q279" s="10">
        <v>420.83547973632812</v>
      </c>
      <c r="R279" s="10">
        <v>150.47993469238281</v>
      </c>
      <c r="S279" s="10">
        <v>142.63418579101562</v>
      </c>
      <c r="V279" s="11">
        <v>44600</v>
      </c>
      <c r="W279" s="12">
        <v>1.8466848413484005E-2</v>
      </c>
      <c r="X279" s="12">
        <v>2.630641523454047E-3</v>
      </c>
      <c r="Y279" s="12">
        <v>1.881486110148356E-2</v>
      </c>
      <c r="Z279" s="12">
        <v>1.5367192504104343E-2</v>
      </c>
      <c r="AA279" s="12">
        <v>-2.2455853723610808E-3</v>
      </c>
      <c r="AB279" s="12">
        <v>8.2278838547267252E-3</v>
      </c>
      <c r="AC279" s="12">
        <v>-2.5852535610848215E-2</v>
      </c>
    </row>
    <row r="280" spans="12:29" x14ac:dyDescent="0.2">
      <c r="L280" s="11">
        <v>44600</v>
      </c>
      <c r="M280" s="10">
        <v>25.0289306640625</v>
      </c>
      <c r="N280" s="10">
        <v>68.261604309082031</v>
      </c>
      <c r="O280" s="10">
        <v>139.27030944824219</v>
      </c>
      <c r="P280" s="10">
        <v>170.9906005859375</v>
      </c>
      <c r="Q280" s="10">
        <v>424.29806518554688</v>
      </c>
      <c r="R280" s="10">
        <v>150.87579345703125</v>
      </c>
      <c r="S280" s="10">
        <v>142.31388854980469</v>
      </c>
      <c r="V280" s="11">
        <v>44601</v>
      </c>
      <c r="W280" s="12">
        <v>8.2935631141776156E-3</v>
      </c>
      <c r="X280" s="12">
        <v>-1.1660839281069091E-4</v>
      </c>
      <c r="Y280" s="12">
        <v>4.1683014289457532E-3</v>
      </c>
      <c r="Z280" s="12">
        <v>6.3605135902300658E-2</v>
      </c>
      <c r="AA280" s="12">
        <v>-2.2504249367111262E-3</v>
      </c>
      <c r="AB280" s="12">
        <v>1.4635989372095315E-2</v>
      </c>
      <c r="AC280" s="12">
        <v>-4.7872040200354071E-3</v>
      </c>
    </row>
    <row r="281" spans="12:29" x14ac:dyDescent="0.2">
      <c r="L281" s="11">
        <v>44601</v>
      </c>
      <c r="M281" s="10">
        <v>26.620899200439453</v>
      </c>
      <c r="N281" s="10">
        <v>67.934822082519531</v>
      </c>
      <c r="O281" s="10">
        <v>139.850830078125</v>
      </c>
      <c r="P281" s="10">
        <v>172.40872192382812</v>
      </c>
      <c r="Q281" s="10">
        <v>430.50808715820312</v>
      </c>
      <c r="R281" s="10">
        <v>150.85820007324219</v>
      </c>
      <c r="S281" s="10">
        <v>141.99362182617188</v>
      </c>
      <c r="V281" s="11">
        <v>44602</v>
      </c>
      <c r="W281" s="12">
        <v>-2.359877149951084E-2</v>
      </c>
      <c r="X281" s="12">
        <v>-1.2070831322623876E-2</v>
      </c>
      <c r="Y281" s="12">
        <v>-4.1509988146549714E-3</v>
      </c>
      <c r="Z281" s="12">
        <v>-3.2990069941874367E-2</v>
      </c>
      <c r="AA281" s="12">
        <v>-1.5225839147515519E-2</v>
      </c>
      <c r="AB281" s="12">
        <v>-1.7965619492717244E-2</v>
      </c>
      <c r="AC281" s="12">
        <v>-9.6202385507403454E-3</v>
      </c>
    </row>
    <row r="282" spans="12:29" x14ac:dyDescent="0.2">
      <c r="L282" s="11">
        <v>44602</v>
      </c>
      <c r="M282" s="10">
        <v>25.742673873901367</v>
      </c>
      <c r="N282" s="10">
        <v>67.281272888183594</v>
      </c>
      <c r="O282" s="10">
        <v>139.27030944824219</v>
      </c>
      <c r="P282" s="10">
        <v>168.340087890625</v>
      </c>
      <c r="Q282" s="10">
        <v>422.77374267578131</v>
      </c>
      <c r="R282" s="10">
        <v>149.03721618652344</v>
      </c>
      <c r="S282" s="10">
        <v>139.83164978027344</v>
      </c>
      <c r="V282" s="11">
        <v>44603</v>
      </c>
      <c r="W282" s="12">
        <v>-2.0218474129141795E-2</v>
      </c>
      <c r="X282" s="12">
        <v>-1.0092857772508901E-2</v>
      </c>
      <c r="Y282" s="12">
        <v>-1.3016779809928991E-2</v>
      </c>
      <c r="Z282" s="12">
        <v>-7.2606716889284884E-2</v>
      </c>
      <c r="AA282" s="12">
        <v>-5.5988608476619239E-3</v>
      </c>
      <c r="AB282" s="12">
        <v>-1.9718626046219656E-2</v>
      </c>
      <c r="AC282" s="12">
        <v>2.5178906937548984E-2</v>
      </c>
    </row>
    <row r="283" spans="12:29" x14ac:dyDescent="0.2">
      <c r="L283" s="11">
        <v>44603</v>
      </c>
      <c r="M283" s="10">
        <v>23.87358283996582</v>
      </c>
      <c r="N283" s="10">
        <v>68.975341796875</v>
      </c>
      <c r="O283" s="10">
        <v>137.45745849609375</v>
      </c>
      <c r="P283" s="10">
        <v>164.93650817871094</v>
      </c>
      <c r="Q283" s="10">
        <v>414.43722534179688</v>
      </c>
      <c r="R283" s="10">
        <v>147.53300476074219</v>
      </c>
      <c r="S283" s="10">
        <v>139.04875183105469</v>
      </c>
      <c r="V283" s="11">
        <v>44606</v>
      </c>
      <c r="W283" s="12">
        <v>1.4233141729433907E-3</v>
      </c>
      <c r="X283" s="12">
        <v>-1.2581496025897088E-2</v>
      </c>
      <c r="Y283" s="12">
        <v>-9.2905386654162925E-3</v>
      </c>
      <c r="Z283" s="12">
        <v>1.3278251427520482E-2</v>
      </c>
      <c r="AA283" s="12">
        <v>2.8792786857110286E-3</v>
      </c>
      <c r="AB283" s="12">
        <v>-3.2692995482640486E-3</v>
      </c>
      <c r="AC283" s="12">
        <v>-1.5334813448816598E-2</v>
      </c>
    </row>
    <row r="284" spans="12:29" x14ac:dyDescent="0.2">
      <c r="L284" s="11">
        <v>44606</v>
      </c>
      <c r="M284" s="10">
        <v>24.190582275390625</v>
      </c>
      <c r="N284" s="10">
        <v>67.917617797851562</v>
      </c>
      <c r="O284" s="10">
        <v>136.18040466308594</v>
      </c>
      <c r="P284" s="10">
        <v>165.1712646484375</v>
      </c>
      <c r="Q284" s="10">
        <v>413.08230590820312</v>
      </c>
      <c r="R284" s="10">
        <v>145.67681884765625</v>
      </c>
      <c r="S284" s="10">
        <v>139.44911193847656</v>
      </c>
      <c r="V284" s="11">
        <v>44607</v>
      </c>
      <c r="W284" s="12">
        <v>2.3152404545766947E-2</v>
      </c>
      <c r="X284" s="12">
        <v>1.0325988815842679E-2</v>
      </c>
      <c r="Y284" s="12">
        <v>1.4623877793799478E-2</v>
      </c>
      <c r="Z284" s="12">
        <v>9.1811592237443396E-2</v>
      </c>
      <c r="AA284" s="12">
        <v>5.1023439596975528E-4</v>
      </c>
      <c r="AB284" s="12">
        <v>1.61269148273393E-2</v>
      </c>
      <c r="AC284" s="12">
        <v>-1.2534910309906722E-2</v>
      </c>
    </row>
    <row r="285" spans="12:29" x14ac:dyDescent="0.2">
      <c r="L285" s="11">
        <v>44607</v>
      </c>
      <c r="M285" s="10">
        <v>26.411558151245117</v>
      </c>
      <c r="N285" s="10">
        <v>67.066276550292969</v>
      </c>
      <c r="O285" s="10">
        <v>138.17189025878906</v>
      </c>
      <c r="P285" s="10">
        <v>168.99537658691406</v>
      </c>
      <c r="Q285" s="10">
        <v>419.74404907226562</v>
      </c>
      <c r="R285" s="10">
        <v>147.18107604980469</v>
      </c>
      <c r="S285" s="10">
        <v>139.520263671875</v>
      </c>
      <c r="V285" s="11">
        <v>44608</v>
      </c>
      <c r="W285" s="12">
        <v>-1.3888586664302371E-3</v>
      </c>
      <c r="X285" s="12">
        <v>-5.97470841546488E-4</v>
      </c>
      <c r="Y285" s="12">
        <v>1.8095613884259176E-3</v>
      </c>
      <c r="Z285" s="12">
        <v>6.0401828144662773E-4</v>
      </c>
      <c r="AA285" s="12">
        <v>7.5884771862286815E-3</v>
      </c>
      <c r="AB285" s="12">
        <v>1.1206780662129656E-3</v>
      </c>
      <c r="AC285" s="12">
        <v>4.6161138982705463E-3</v>
      </c>
    </row>
    <row r="286" spans="12:29" x14ac:dyDescent="0.2">
      <c r="L286" s="11">
        <v>44608</v>
      </c>
      <c r="M286" s="10">
        <v>26.427511215209961</v>
      </c>
      <c r="N286" s="10">
        <v>67.375862121582031</v>
      </c>
      <c r="O286" s="10">
        <v>138.42192077636719</v>
      </c>
      <c r="P286" s="10">
        <v>168.76066589355469</v>
      </c>
      <c r="Q286" s="10">
        <v>420.21444702148438</v>
      </c>
      <c r="R286" s="10">
        <v>147.0931396484375</v>
      </c>
      <c r="S286" s="10">
        <v>140.57901000976562</v>
      </c>
      <c r="V286" s="11">
        <v>44609</v>
      </c>
      <c r="W286" s="12">
        <v>-2.1269181572092122E-2</v>
      </c>
      <c r="X286" s="12">
        <v>-6.0997546031617E-3</v>
      </c>
      <c r="Y286" s="12">
        <v>-2.3031941707428394E-2</v>
      </c>
      <c r="Z286" s="12">
        <v>-7.5591238130183536E-2</v>
      </c>
      <c r="AA286" s="12">
        <v>1.145513517550123E-2</v>
      </c>
      <c r="AB286" s="12">
        <v>-2.1361425001345302E-2</v>
      </c>
      <c r="AC286" s="12">
        <v>-1.5316344337601429E-3</v>
      </c>
    </row>
    <row r="287" spans="12:29" x14ac:dyDescent="0.2">
      <c r="L287" s="11">
        <v>44609</v>
      </c>
      <c r="M287" s="10">
        <v>24.42982292175293</v>
      </c>
      <c r="N287" s="10">
        <v>67.272666931152344</v>
      </c>
      <c r="O287" s="10">
        <v>135.23379516601562</v>
      </c>
      <c r="P287" s="10">
        <v>165.1712646484375</v>
      </c>
      <c r="Q287" s="10">
        <v>411.23806762695312</v>
      </c>
      <c r="R287" s="10">
        <v>146.19590759277344</v>
      </c>
      <c r="S287" s="10">
        <v>142.18936157226562</v>
      </c>
      <c r="V287" s="11">
        <v>44610</v>
      </c>
      <c r="W287" s="12">
        <v>-9.3559486003444992E-3</v>
      </c>
      <c r="X287" s="12">
        <v>-1.0719338447223392E-2</v>
      </c>
      <c r="Y287" s="12">
        <v>4.6884227596115657E-3</v>
      </c>
      <c r="Z287" s="12">
        <v>-3.5296042874822131E-2</v>
      </c>
      <c r="AA287" s="12">
        <v>5.0050855704375508E-4</v>
      </c>
      <c r="AB287" s="12">
        <v>-6.474960500388538E-3</v>
      </c>
      <c r="AC287" s="12">
        <v>-1.112087319364774E-2</v>
      </c>
    </row>
    <row r="288" spans="12:29" x14ac:dyDescent="0.2">
      <c r="L288" s="11">
        <v>44610</v>
      </c>
      <c r="M288" s="10">
        <v>23.567546844482425</v>
      </c>
      <c r="N288" s="10">
        <v>66.5245361328125</v>
      </c>
      <c r="O288" s="10">
        <v>135.86782836914062</v>
      </c>
      <c r="P288" s="10">
        <v>163.62593078613281</v>
      </c>
      <c r="Q288" s="10">
        <v>408.5753173828125</v>
      </c>
      <c r="R288" s="10">
        <v>144.6287841796875</v>
      </c>
      <c r="S288" s="10">
        <v>142.26052856445312</v>
      </c>
      <c r="V288" s="11">
        <v>44614</v>
      </c>
      <c r="W288" s="12">
        <v>-1.7812279308341838E-2</v>
      </c>
      <c r="X288" s="12">
        <v>-1.3589646851491222E-2</v>
      </c>
      <c r="Y288" s="12">
        <v>-1.7745490516084539E-3</v>
      </c>
      <c r="Z288" s="12">
        <v>-1.0659198771918676E-2</v>
      </c>
      <c r="AA288" s="12">
        <v>-1.2320359156194005E-2</v>
      </c>
      <c r="AB288" s="12">
        <v>-1.0731617613007782E-2</v>
      </c>
      <c r="AC288" s="12">
        <v>-1.1634033311986536E-2</v>
      </c>
    </row>
    <row r="289" spans="12:29" x14ac:dyDescent="0.2">
      <c r="L289" s="11">
        <v>44614</v>
      </c>
      <c r="M289" s="10">
        <v>23.316335678100582</v>
      </c>
      <c r="N289" s="10">
        <v>65.750587463378906</v>
      </c>
      <c r="O289" s="10">
        <v>135.62672424316406</v>
      </c>
      <c r="P289" s="10">
        <v>160.71138000488281</v>
      </c>
      <c r="Q289" s="10">
        <v>404.19064331054688</v>
      </c>
      <c r="R289" s="10">
        <v>142.663330078125</v>
      </c>
      <c r="S289" s="10">
        <v>140.50782775878906</v>
      </c>
      <c r="V289" s="11">
        <v>44615</v>
      </c>
      <c r="W289" s="12">
        <v>-2.5863952319992944E-2</v>
      </c>
      <c r="X289" s="12">
        <v>4.9649267817697407E-4</v>
      </c>
      <c r="Y289" s="12">
        <v>-2.0938898903777536E-2</v>
      </c>
      <c r="Z289" s="12">
        <v>-4.2881514339061289E-2</v>
      </c>
      <c r="AA289" s="12">
        <v>-1.2473826661776877E-2</v>
      </c>
      <c r="AB289" s="12">
        <v>-1.7738734037830883E-2</v>
      </c>
      <c r="AC289" s="12">
        <v>4.0543922815119426E-3</v>
      </c>
    </row>
    <row r="290" spans="12:29" x14ac:dyDescent="0.2">
      <c r="L290" s="11">
        <v>44615</v>
      </c>
      <c r="M290" s="10">
        <v>22.316495895385746</v>
      </c>
      <c r="N290" s="10">
        <v>66.017166137695312</v>
      </c>
      <c r="O290" s="10">
        <v>132.78684997558594</v>
      </c>
      <c r="P290" s="10">
        <v>156.55474853515625</v>
      </c>
      <c r="Q290" s="10">
        <v>397.02081298828131</v>
      </c>
      <c r="R290" s="10">
        <v>142.73416137695312</v>
      </c>
      <c r="S290" s="10">
        <v>138.75515747070312</v>
      </c>
      <c r="V290" s="11">
        <v>44616</v>
      </c>
      <c r="W290" s="12">
        <v>1.6680259946128428E-2</v>
      </c>
      <c r="X290" s="12">
        <v>-1.9104520245715628E-2</v>
      </c>
      <c r="Y290" s="12">
        <v>-2.7843153072186877E-2</v>
      </c>
      <c r="Z290" s="12">
        <v>6.0794489290034281E-2</v>
      </c>
      <c r="AA290" s="12">
        <v>-2.6930129330338337E-2</v>
      </c>
      <c r="AB290" s="12">
        <v>1.5049219890145515E-2</v>
      </c>
      <c r="AC290" s="12">
        <v>-1.2635268083839524E-2</v>
      </c>
    </row>
    <row r="291" spans="12:29" x14ac:dyDescent="0.2">
      <c r="L291" s="11">
        <v>44616</v>
      </c>
      <c r="M291" s="10">
        <v>23.673215866088867</v>
      </c>
      <c r="N291" s="10">
        <v>65.183021545410156</v>
      </c>
      <c r="O291" s="10">
        <v>129.08964538574219</v>
      </c>
      <c r="P291" s="10">
        <v>159.16612243652344</v>
      </c>
      <c r="Q291" s="10">
        <v>402.99566650390625</v>
      </c>
      <c r="R291" s="10">
        <v>140.00729370117188</v>
      </c>
      <c r="S291" s="10">
        <v>135.01846313476562</v>
      </c>
      <c r="V291" s="11">
        <v>44617</v>
      </c>
      <c r="W291" s="12">
        <v>1.2965349520295488E-2</v>
      </c>
      <c r="X291" s="12">
        <v>4.9703133926607634E-2</v>
      </c>
      <c r="Y291" s="12">
        <v>2.3659521332044298E-2</v>
      </c>
      <c r="Z291" s="12">
        <v>1.7222460664364947E-2</v>
      </c>
      <c r="AA291" s="12">
        <v>4.2699215805491741E-2</v>
      </c>
      <c r="AB291" s="12">
        <v>2.20638404308795E-2</v>
      </c>
      <c r="AC291" s="12">
        <v>2.691291060082035E-2</v>
      </c>
    </row>
    <row r="292" spans="12:29" x14ac:dyDescent="0.2">
      <c r="L292" s="11">
        <v>44617</v>
      </c>
      <c r="M292" s="10">
        <v>24.080926895141602</v>
      </c>
      <c r="N292" s="10">
        <v>66.937286376953125</v>
      </c>
      <c r="O292" s="10">
        <v>132.14384460449219</v>
      </c>
      <c r="P292" s="10">
        <v>161.22976684570312</v>
      </c>
      <c r="Q292" s="10">
        <v>411.88729858398438</v>
      </c>
      <c r="R292" s="10">
        <v>146.96609497070312</v>
      </c>
      <c r="S292" s="10">
        <v>140.78364562988281</v>
      </c>
      <c r="V292" s="11">
        <v>44620</v>
      </c>
      <c r="W292" s="12">
        <v>1.6378402616457066E-3</v>
      </c>
      <c r="X292" s="12">
        <v>-8.6143795871286288E-3</v>
      </c>
      <c r="Y292" s="12">
        <v>-4.1697694701229637E-2</v>
      </c>
      <c r="Z292" s="12">
        <v>9.4381609177922599E-3</v>
      </c>
      <c r="AA292" s="12">
        <v>-1.4850975955185919E-2</v>
      </c>
      <c r="AB292" s="12">
        <v>-2.5584728974581417E-3</v>
      </c>
      <c r="AC292" s="12">
        <v>7.4513278693681961E-3</v>
      </c>
    </row>
    <row r="293" spans="12:29" x14ac:dyDescent="0.2">
      <c r="L293" s="11">
        <v>44620</v>
      </c>
      <c r="M293" s="10">
        <v>24.308206558227539</v>
      </c>
      <c r="N293" s="10">
        <v>67.436058044433594</v>
      </c>
      <c r="O293" s="10">
        <v>126.63375091552734</v>
      </c>
      <c r="P293" s="10">
        <v>161.49383544921875</v>
      </c>
      <c r="Q293" s="10">
        <v>410.83349609375</v>
      </c>
      <c r="R293" s="10">
        <v>145.7000732421875</v>
      </c>
      <c r="S293" s="10">
        <v>138.69287109375</v>
      </c>
      <c r="V293" s="11">
        <v>44621</v>
      </c>
      <c r="W293" s="12">
        <v>-1.1628019040672122E-2</v>
      </c>
      <c r="X293" s="12">
        <v>-3.4638585761262997E-3</v>
      </c>
      <c r="Y293" s="12">
        <v>-3.7729350260291228E-2</v>
      </c>
      <c r="Z293" s="12">
        <v>-3.7236059693510182E-2</v>
      </c>
      <c r="AA293" s="12">
        <v>-1.654976095168692E-2</v>
      </c>
      <c r="AB293" s="12">
        <v>-1.523028344863897E-2</v>
      </c>
      <c r="AC293" s="12">
        <v>9.5637742775493972E-3</v>
      </c>
    </row>
    <row r="294" spans="12:29" x14ac:dyDescent="0.2">
      <c r="L294" s="11">
        <v>44621</v>
      </c>
      <c r="M294" s="10">
        <v>23.403064727783203</v>
      </c>
      <c r="N294" s="10">
        <v>68.081001281738281</v>
      </c>
      <c r="O294" s="10">
        <v>121.85594177246094</v>
      </c>
      <c r="P294" s="10">
        <v>159.61598205566406</v>
      </c>
      <c r="Q294" s="10">
        <v>404.57638549804688</v>
      </c>
      <c r="R294" s="10">
        <v>145.19538879394531</v>
      </c>
      <c r="S294" s="10">
        <v>136.39753723144531</v>
      </c>
      <c r="V294" s="11">
        <v>44622</v>
      </c>
      <c r="W294" s="12">
        <v>2.0588029760836735E-2</v>
      </c>
      <c r="X294" s="12">
        <v>1.2439145501693227E-2</v>
      </c>
      <c r="Y294" s="12">
        <v>2.0740422774945699E-2</v>
      </c>
      <c r="Z294" s="12">
        <v>3.1823856437509956E-2</v>
      </c>
      <c r="AA294" s="12">
        <v>3.1304575068054064E-3</v>
      </c>
      <c r="AB294" s="12">
        <v>1.8396249151118926E-2</v>
      </c>
      <c r="AC294" s="12">
        <v>1.7178660467015661E-2</v>
      </c>
    </row>
    <row r="295" spans="12:29" x14ac:dyDescent="0.2">
      <c r="L295" s="11">
        <v>44622</v>
      </c>
      <c r="M295" s="10">
        <v>24.14784049987793</v>
      </c>
      <c r="N295" s="10">
        <v>69.250541687011719</v>
      </c>
      <c r="O295" s="10">
        <v>124.38328552246094</v>
      </c>
      <c r="P295" s="10">
        <v>162.90216064453125</v>
      </c>
      <c r="Q295" s="10">
        <v>412.01907348632812</v>
      </c>
      <c r="R295" s="10">
        <v>147.00149536132812</v>
      </c>
      <c r="S295" s="10">
        <v>136.82452392578125</v>
      </c>
      <c r="V295" s="11">
        <v>44623</v>
      </c>
      <c r="W295" s="12">
        <v>-1.9810872206666996E-3</v>
      </c>
      <c r="X295" s="12">
        <v>1.4695102393737169E-2</v>
      </c>
      <c r="Y295" s="12">
        <v>-7.1080058928431056E-3</v>
      </c>
      <c r="Z295" s="12">
        <v>-2.0891719020762589E-2</v>
      </c>
      <c r="AA295" s="12">
        <v>3.7065074208213478E-3</v>
      </c>
      <c r="AB295" s="12">
        <v>-4.9785049908374068E-3</v>
      </c>
      <c r="AC295" s="12">
        <v>6.3328436971283875E-3</v>
      </c>
    </row>
    <row r="296" spans="12:29" x14ac:dyDescent="0.2">
      <c r="L296" s="11">
        <v>44623</v>
      </c>
      <c r="M296" s="10">
        <v>23.643350601196289</v>
      </c>
      <c r="N296" s="10">
        <v>69.689094543457031</v>
      </c>
      <c r="O296" s="10">
        <v>123.49916839599609</v>
      </c>
      <c r="P296" s="10">
        <v>162.57943725585938</v>
      </c>
      <c r="Q296" s="10">
        <v>409.96783447265625</v>
      </c>
      <c r="R296" s="10">
        <v>149.16169738769531</v>
      </c>
      <c r="S296" s="10">
        <v>137.3316650390625</v>
      </c>
      <c r="V296" s="11">
        <v>44624</v>
      </c>
      <c r="W296" s="12">
        <v>-1.8408312643139579E-2</v>
      </c>
      <c r="X296" s="12">
        <v>5.9354745520441288E-3</v>
      </c>
      <c r="Y296" s="12">
        <v>-2.8129365502536752E-2</v>
      </c>
      <c r="Z296" s="12">
        <v>-3.2807717052176444E-2</v>
      </c>
      <c r="AA296" s="12">
        <v>5.0531278971681637E-3</v>
      </c>
      <c r="AB296" s="12">
        <v>-8.1246399945927861E-3</v>
      </c>
      <c r="AC296" s="12">
        <v>3.7635441576240991E-2</v>
      </c>
    </row>
    <row r="297" spans="12:29" x14ac:dyDescent="0.2">
      <c r="L297" s="11">
        <v>44624</v>
      </c>
      <c r="M297" s="10">
        <v>22.867666244506836</v>
      </c>
      <c r="N297" s="10">
        <v>72.311874389648438</v>
      </c>
      <c r="O297" s="10">
        <v>120.02521514892578</v>
      </c>
      <c r="P297" s="10">
        <v>159.58662414550781</v>
      </c>
      <c r="Q297" s="10">
        <v>406.63699340820312</v>
      </c>
      <c r="R297" s="10">
        <v>150.04704284667969</v>
      </c>
      <c r="S297" s="10">
        <v>138.02561950683594</v>
      </c>
      <c r="V297" s="11">
        <v>44627</v>
      </c>
      <c r="W297" s="12">
        <v>-2.3717358298651625E-2</v>
      </c>
      <c r="X297" s="12">
        <v>1.6108127710191766E-2</v>
      </c>
      <c r="Y297" s="12">
        <v>-3.8615949903206492E-2</v>
      </c>
      <c r="Z297" s="12">
        <v>-6.9061824837481356E-2</v>
      </c>
      <c r="AA297" s="12">
        <v>-1.4825362961875421E-2</v>
      </c>
      <c r="AB297" s="12">
        <v>-2.9479204792970282E-2</v>
      </c>
      <c r="AC297" s="12">
        <v>3.6032788137490446E-2</v>
      </c>
    </row>
    <row r="298" spans="12:29" x14ac:dyDescent="0.2">
      <c r="L298" s="11">
        <v>44627</v>
      </c>
      <c r="M298" s="10">
        <v>21.288383483886719</v>
      </c>
      <c r="N298" s="10">
        <v>74.917472839355469</v>
      </c>
      <c r="O298" s="10">
        <v>115.39032745361328</v>
      </c>
      <c r="P298" s="10">
        <v>155.80165100097656</v>
      </c>
      <c r="Q298" s="10">
        <v>394.649658203125</v>
      </c>
      <c r="R298" s="10">
        <v>152.46401977539062</v>
      </c>
      <c r="S298" s="10">
        <v>135.97933959960938</v>
      </c>
      <c r="V298" s="11">
        <v>44628</v>
      </c>
      <c r="W298" s="12">
        <v>-1.1676179803825737E-2</v>
      </c>
      <c r="X298" s="12">
        <v>-2.0265751737260307E-2</v>
      </c>
      <c r="Y298" s="12">
        <v>-7.0429049245523956E-3</v>
      </c>
      <c r="Z298" s="12">
        <v>7.5873262872847569E-3</v>
      </c>
      <c r="AA298" s="12">
        <v>-3.9583834088421477E-2</v>
      </c>
      <c r="AB298" s="12">
        <v>-7.5815735995076183E-3</v>
      </c>
      <c r="AC298" s="12">
        <v>7.5759836237445644E-3</v>
      </c>
    </row>
    <row r="299" spans="12:29" x14ac:dyDescent="0.2">
      <c r="L299" s="11">
        <v>44628</v>
      </c>
      <c r="M299" s="10">
        <v>21.449905395507812</v>
      </c>
      <c r="N299" s="10">
        <v>75.48504638671875</v>
      </c>
      <c r="O299" s="10">
        <v>114.57764434814452</v>
      </c>
      <c r="P299" s="10">
        <v>153.98248291015625</v>
      </c>
      <c r="Q299" s="10">
        <v>391.6575927734375</v>
      </c>
      <c r="R299" s="10">
        <v>149.37422180175781</v>
      </c>
      <c r="S299" s="10">
        <v>130.59675598144531</v>
      </c>
      <c r="V299" s="11">
        <v>44629</v>
      </c>
      <c r="W299" s="12">
        <v>3.4997437420947408E-2</v>
      </c>
      <c r="X299" s="12">
        <v>3.793290878521649E-3</v>
      </c>
      <c r="Y299" s="12">
        <v>4.0062602539992165E-2</v>
      </c>
      <c r="Z299" s="12">
        <v>6.9721947357301195E-2</v>
      </c>
      <c r="AA299" s="12">
        <v>1.3488590500361664E-2</v>
      </c>
      <c r="AB299" s="12">
        <v>2.6810612197319728E-2</v>
      </c>
      <c r="AC299" s="12">
        <v>-5.6846610503199169E-2</v>
      </c>
    </row>
    <row r="300" spans="12:29" x14ac:dyDescent="0.2">
      <c r="L300" s="11">
        <v>44629</v>
      </c>
      <c r="M300" s="10">
        <v>22.9454345703125</v>
      </c>
      <c r="N300" s="10">
        <v>71.193977355957031</v>
      </c>
      <c r="O300" s="10">
        <v>119.1679229736328</v>
      </c>
      <c r="P300" s="10">
        <v>159.37147521972656</v>
      </c>
      <c r="Q300" s="10">
        <v>402.15817260742188</v>
      </c>
      <c r="R300" s="10">
        <v>149.94084167480469</v>
      </c>
      <c r="S300" s="10">
        <v>132.35832214355469</v>
      </c>
      <c r="V300" s="11">
        <v>44630</v>
      </c>
      <c r="W300" s="12">
        <v>-2.718628217210306E-2</v>
      </c>
      <c r="X300" s="12">
        <v>1.7711249441942911E-3</v>
      </c>
      <c r="Y300" s="12">
        <v>-1.1840716823463326E-2</v>
      </c>
      <c r="Z300" s="12">
        <v>-1.5468807356531999E-2</v>
      </c>
      <c r="AA300" s="12">
        <v>-2.5744287536595412E-2</v>
      </c>
      <c r="AB300" s="12">
        <v>-4.5154322165738003E-3</v>
      </c>
      <c r="AC300" s="12">
        <v>3.1042260240729869E-2</v>
      </c>
    </row>
    <row r="301" spans="12:29" x14ac:dyDescent="0.2">
      <c r="L301" s="11">
        <v>44630</v>
      </c>
      <c r="M301" s="10">
        <v>22.590496063232425</v>
      </c>
      <c r="N301" s="10">
        <v>73.403999328613281</v>
      </c>
      <c r="O301" s="10">
        <v>117.75688934326172</v>
      </c>
      <c r="P301" s="10">
        <v>155.03875732421875</v>
      </c>
      <c r="Q301" s="10">
        <v>400.34225463867188</v>
      </c>
      <c r="R301" s="10">
        <v>150.20640563964844</v>
      </c>
      <c r="S301" s="10">
        <v>128.95085144042969</v>
      </c>
      <c r="V301" s="11">
        <v>44631</v>
      </c>
      <c r="W301" s="12">
        <v>-2.3908580381905797E-2</v>
      </c>
      <c r="X301" s="12">
        <v>-1.8271163530571011E-3</v>
      </c>
      <c r="Y301" s="12">
        <v>-2.2523894481183304E-2</v>
      </c>
      <c r="Z301" s="12">
        <v>-2.4627053563151424E-2</v>
      </c>
      <c r="AA301" s="12">
        <v>-1.1866869453194706E-2</v>
      </c>
      <c r="AB301" s="12">
        <v>-1.2715026929701501E-2</v>
      </c>
      <c r="AC301" s="12">
        <v>-5.1545497036806776E-3</v>
      </c>
    </row>
    <row r="302" spans="12:29" x14ac:dyDescent="0.2">
      <c r="L302" s="11">
        <v>44631</v>
      </c>
      <c r="M302" s="10">
        <v>22.034158706665039</v>
      </c>
      <c r="N302" s="10">
        <v>73.025634765625</v>
      </c>
      <c r="O302" s="10">
        <v>115.10454559326172</v>
      </c>
      <c r="P302" s="10">
        <v>151.33200073242188</v>
      </c>
      <c r="Q302" s="10">
        <v>395.25189208984375</v>
      </c>
      <c r="R302" s="10">
        <v>149.93196105957031</v>
      </c>
      <c r="S302" s="10">
        <v>127.4206085205078</v>
      </c>
      <c r="V302" s="11">
        <v>44634</v>
      </c>
      <c r="W302" s="12">
        <v>-2.6562525522565994E-2</v>
      </c>
      <c r="X302" s="12">
        <v>1.3817607901370543E-2</v>
      </c>
      <c r="Y302" s="12">
        <v>9.9309451067850496E-3</v>
      </c>
      <c r="Z302" s="12">
        <v>-3.4841626021608785E-2</v>
      </c>
      <c r="AA302" s="12">
        <v>1.2777228850924915E-2</v>
      </c>
      <c r="AB302" s="12">
        <v>-7.3082783350399971E-3</v>
      </c>
      <c r="AC302" s="12">
        <v>-3.5798343769745888E-2</v>
      </c>
    </row>
    <row r="303" spans="12:29" x14ac:dyDescent="0.2">
      <c r="L303" s="11">
        <v>44634</v>
      </c>
      <c r="M303" s="10">
        <v>21.266452789306641</v>
      </c>
      <c r="N303" s="10">
        <v>70.41143798828125</v>
      </c>
      <c r="O303" s="10">
        <v>116.24764251708984</v>
      </c>
      <c r="P303" s="10">
        <v>147.31224060058594</v>
      </c>
      <c r="Q303" s="10">
        <v>392.36328125</v>
      </c>
      <c r="R303" s="10">
        <v>152.003662109375</v>
      </c>
      <c r="S303" s="10">
        <v>129.04869079589844</v>
      </c>
      <c r="V303" s="11">
        <v>44635</v>
      </c>
      <c r="W303" s="12">
        <v>2.9677587757936719E-2</v>
      </c>
      <c r="X303" s="12">
        <v>2.5918838047114701E-2</v>
      </c>
      <c r="Y303" s="12">
        <v>1.7745839336065661E-2</v>
      </c>
      <c r="Z303" s="12">
        <v>7.702740492922433E-2</v>
      </c>
      <c r="AA303" s="12">
        <v>3.5987695887652604E-2</v>
      </c>
      <c r="AB303" s="12">
        <v>2.1990501642690008E-2</v>
      </c>
      <c r="AC303" s="12">
        <v>-5.6912755575704632E-2</v>
      </c>
    </row>
    <row r="304" spans="12:29" x14ac:dyDescent="0.2">
      <c r="L304" s="11">
        <v>44635</v>
      </c>
      <c r="M304" s="10">
        <v>22.904552459716797</v>
      </c>
      <c r="N304" s="10">
        <v>66.404129028320312</v>
      </c>
      <c r="O304" s="10">
        <v>118.31055450439452</v>
      </c>
      <c r="P304" s="10">
        <v>151.68411254882812</v>
      </c>
      <c r="Q304" s="10">
        <v>400.99154663085938</v>
      </c>
      <c r="R304" s="10">
        <v>155.94342041015625</v>
      </c>
      <c r="S304" s="10">
        <v>133.69285583496094</v>
      </c>
      <c r="V304" s="11">
        <v>44636</v>
      </c>
      <c r="W304" s="12">
        <v>2.9015156773569917E-2</v>
      </c>
      <c r="X304" s="12">
        <v>-9.1973430680589718E-3</v>
      </c>
      <c r="Y304" s="12">
        <v>4.4686078422534248E-2</v>
      </c>
      <c r="Z304" s="12">
        <v>6.629517123670392E-2</v>
      </c>
      <c r="AA304" s="12">
        <v>-3.3936355921999617E-3</v>
      </c>
      <c r="AB304" s="12">
        <v>2.217403742599422E-2</v>
      </c>
      <c r="AC304" s="12">
        <v>-3.7555197649924432E-3</v>
      </c>
    </row>
    <row r="305" spans="12:29" x14ac:dyDescent="0.2">
      <c r="L305" s="11">
        <v>44636</v>
      </c>
      <c r="M305" s="10">
        <v>24.423013687133789</v>
      </c>
      <c r="N305" s="10">
        <v>66.154747009277344</v>
      </c>
      <c r="O305" s="10">
        <v>123.59738922119141</v>
      </c>
      <c r="P305" s="10">
        <v>156.08525085449219</v>
      </c>
      <c r="Q305" s="10">
        <v>409.88314819335938</v>
      </c>
      <c r="R305" s="10">
        <v>154.5091552734375</v>
      </c>
      <c r="S305" s="10">
        <v>133.23915100097656</v>
      </c>
      <c r="V305" s="11">
        <v>44637</v>
      </c>
      <c r="W305" s="12">
        <v>6.4539730025887643E-3</v>
      </c>
      <c r="X305" s="12">
        <v>1.3064699752476594E-2</v>
      </c>
      <c r="Y305" s="12">
        <v>1.2644507087184342E-2</v>
      </c>
      <c r="Z305" s="12">
        <v>1.1022365003206192E-2</v>
      </c>
      <c r="AA305" s="12">
        <v>3.138126704872013E-3</v>
      </c>
      <c r="AB305" s="12">
        <v>1.2510934550095998E-2</v>
      </c>
      <c r="AC305" s="12">
        <v>2.6647683927005339E-2</v>
      </c>
    </row>
    <row r="306" spans="12:29" x14ac:dyDescent="0.2">
      <c r="L306" s="11">
        <v>44637</v>
      </c>
      <c r="M306" s="10">
        <v>24.69221305847168</v>
      </c>
      <c r="N306" s="10">
        <v>67.917617797851562</v>
      </c>
      <c r="O306" s="10">
        <v>125.16021728515624</v>
      </c>
      <c r="P306" s="10">
        <v>157.09262084960938</v>
      </c>
      <c r="Q306" s="10">
        <v>415.01116943359375</v>
      </c>
      <c r="R306" s="10">
        <v>156.52777099609375</v>
      </c>
      <c r="S306" s="10">
        <v>133.65727233886719</v>
      </c>
      <c r="V306" s="11">
        <v>44638</v>
      </c>
      <c r="W306" s="12">
        <v>2.0919121510930117E-2</v>
      </c>
      <c r="X306" s="12">
        <v>-1.1086248625977846E-2</v>
      </c>
      <c r="Y306" s="12">
        <v>-3.5672051203894384E-4</v>
      </c>
      <c r="Z306" s="12">
        <v>6.8117604810382648E-2</v>
      </c>
      <c r="AA306" s="12">
        <v>-5.3268713718113148E-4</v>
      </c>
      <c r="AB306" s="12">
        <v>1.0952794915775943E-2</v>
      </c>
      <c r="AC306" s="12">
        <v>-3.9250298075801382E-3</v>
      </c>
    </row>
    <row r="307" spans="12:29" x14ac:dyDescent="0.2">
      <c r="L307" s="11">
        <v>44638</v>
      </c>
      <c r="M307" s="10">
        <v>26.374187469482425</v>
      </c>
      <c r="N307" s="10">
        <v>67.651039123535156</v>
      </c>
      <c r="O307" s="10">
        <v>125.11557006835938</v>
      </c>
      <c r="P307" s="10">
        <v>160.37886047363281</v>
      </c>
      <c r="Q307" s="10">
        <v>419.55670166015625</v>
      </c>
      <c r="R307" s="10">
        <v>154.79246520996094</v>
      </c>
      <c r="S307" s="10">
        <v>133.58607482910156</v>
      </c>
      <c r="V307" s="11">
        <v>44641</v>
      </c>
      <c r="W307" s="12">
        <v>8.53767567164887E-3</v>
      </c>
      <c r="X307" s="12">
        <v>5.6621931988818375E-3</v>
      </c>
      <c r="Y307" s="12">
        <v>-3.2121180929644E-3</v>
      </c>
      <c r="Z307" s="12">
        <v>1.0622613932788294E-2</v>
      </c>
      <c r="AA307" s="12">
        <v>3.7961336640206511E-3</v>
      </c>
      <c r="AB307" s="12">
        <v>-2.9247818269872994E-4</v>
      </c>
      <c r="AC307" s="12">
        <v>4.4870864472118743E-2</v>
      </c>
    </row>
    <row r="308" spans="12:29" x14ac:dyDescent="0.2">
      <c r="L308" s="11">
        <v>44641</v>
      </c>
      <c r="M308" s="10">
        <v>26.654350280761719</v>
      </c>
      <c r="N308" s="10">
        <v>70.686599731445312</v>
      </c>
      <c r="O308" s="10">
        <v>124.71368408203124</v>
      </c>
      <c r="P308" s="10">
        <v>161.74812316894531</v>
      </c>
      <c r="Q308" s="10">
        <v>419.43399047851562</v>
      </c>
      <c r="R308" s="10">
        <v>155.66893005371094</v>
      </c>
      <c r="S308" s="10">
        <v>134.09318542480469</v>
      </c>
      <c r="V308" s="11">
        <v>44642</v>
      </c>
      <c r="W308" s="12">
        <v>2.0800494324466401E-2</v>
      </c>
      <c r="X308" s="12">
        <v>-4.7203864292590936E-3</v>
      </c>
      <c r="Y308" s="12">
        <v>2.1267830758832984E-2</v>
      </c>
      <c r="Z308" s="12">
        <v>-7.8549901692762658E-3</v>
      </c>
      <c r="AA308" s="12">
        <v>7.6966922020667017E-3</v>
      </c>
      <c r="AB308" s="12">
        <v>1.1701531423173206E-2</v>
      </c>
      <c r="AC308" s="12">
        <v>-4.3795845757285123E-3</v>
      </c>
    </row>
    <row r="309" spans="12:29" x14ac:dyDescent="0.2">
      <c r="L309" s="11">
        <v>44642</v>
      </c>
      <c r="M309" s="10">
        <v>26.444980621337891</v>
      </c>
      <c r="N309" s="10">
        <v>70.377021789550781</v>
      </c>
      <c r="O309" s="10">
        <v>127.36607360839844</v>
      </c>
      <c r="P309" s="10">
        <v>165.11256408691406</v>
      </c>
      <c r="Q309" s="10">
        <v>424.34201049804688</v>
      </c>
      <c r="R309" s="10">
        <v>154.93411254882812</v>
      </c>
      <c r="S309" s="10">
        <v>135.12525939941406</v>
      </c>
      <c r="V309" s="11">
        <v>44643</v>
      </c>
      <c r="W309" s="12">
        <v>8.2338514735069701E-3</v>
      </c>
      <c r="X309" s="12">
        <v>-3.7713115592034052E-3</v>
      </c>
      <c r="Y309" s="12">
        <v>-1.9912992150652231E-2</v>
      </c>
      <c r="Z309" s="12">
        <v>-3.3554574877679322E-2</v>
      </c>
      <c r="AA309" s="12">
        <v>-6.9792240340513789E-3</v>
      </c>
      <c r="AB309" s="12">
        <v>-1.2878394348902589E-2</v>
      </c>
      <c r="AC309" s="12">
        <v>1.5762553828371662E-2</v>
      </c>
    </row>
    <row r="310" spans="12:29" x14ac:dyDescent="0.2">
      <c r="L310" s="11">
        <v>44643</v>
      </c>
      <c r="M310" s="10">
        <v>25.55763053894043</v>
      </c>
      <c r="N310" s="10">
        <v>71.486343383789062</v>
      </c>
      <c r="O310" s="10">
        <v>124.829833984375</v>
      </c>
      <c r="P310" s="10">
        <v>166.47207641601562</v>
      </c>
      <c r="Q310" s="10">
        <v>418.87716674804688</v>
      </c>
      <c r="R310" s="10">
        <v>154.34980773925781</v>
      </c>
      <c r="S310" s="10">
        <v>134.18218994140625</v>
      </c>
      <c r="V310" s="11">
        <v>44644</v>
      </c>
      <c r="W310" s="12">
        <v>2.2677630639434954E-2</v>
      </c>
      <c r="X310" s="12">
        <v>5.1621926773737226E-3</v>
      </c>
      <c r="Y310" s="12">
        <v>6.509960825576977E-3</v>
      </c>
      <c r="Z310" s="12">
        <v>9.8150842128461147E-2</v>
      </c>
      <c r="AA310" s="12">
        <v>1.7237214917298349E-3</v>
      </c>
      <c r="AB310" s="12">
        <v>1.5074494561943208E-2</v>
      </c>
      <c r="AC310" s="12">
        <v>3.0074095039647197E-3</v>
      </c>
    </row>
    <row r="311" spans="12:29" x14ac:dyDescent="0.2">
      <c r="L311" s="11">
        <v>44644</v>
      </c>
      <c r="M311" s="10">
        <v>28.066133499145508</v>
      </c>
      <c r="N311" s="10">
        <v>71.701332092285156</v>
      </c>
      <c r="O311" s="10">
        <v>125.64247131347656</v>
      </c>
      <c r="P311" s="10">
        <v>170.24726867675781</v>
      </c>
      <c r="Q311" s="10">
        <v>425.1915283203125</v>
      </c>
      <c r="R311" s="10">
        <v>155.14659118652344</v>
      </c>
      <c r="S311" s="10">
        <v>134.41348266601562</v>
      </c>
      <c r="V311" s="11">
        <v>44645</v>
      </c>
      <c r="W311" s="12">
        <v>3.7341387832656725E-3</v>
      </c>
      <c r="X311" s="12">
        <v>9.5867427862403876E-3</v>
      </c>
      <c r="Y311" s="12">
        <v>8.7426623779995882E-3</v>
      </c>
      <c r="Z311" s="12">
        <v>-1.6270015563309093E-2</v>
      </c>
      <c r="AA311" s="12">
        <v>1.1583483200328093E-2</v>
      </c>
      <c r="AB311" s="12">
        <v>4.8835557505249039E-3</v>
      </c>
      <c r="AC311" s="12">
        <v>2.1827536963304084E-2</v>
      </c>
    </row>
    <row r="312" spans="12:29" x14ac:dyDescent="0.2">
      <c r="L312" s="11">
        <v>44645</v>
      </c>
      <c r="M312" s="10">
        <v>27.6094970703125</v>
      </c>
      <c r="N312" s="10">
        <v>73.266395568847656</v>
      </c>
      <c r="O312" s="10">
        <v>126.7409210205078</v>
      </c>
      <c r="P312" s="10">
        <v>170.88299560546875</v>
      </c>
      <c r="Q312" s="10">
        <v>427.26797485351562</v>
      </c>
      <c r="R312" s="10">
        <v>156.63394165039062</v>
      </c>
      <c r="S312" s="10">
        <v>135.970458984375</v>
      </c>
      <c r="V312" s="11">
        <v>44648</v>
      </c>
      <c r="W312" s="12">
        <v>5.0367051022823794E-3</v>
      </c>
      <c r="X312" s="12">
        <v>5.1437083993413069E-3</v>
      </c>
      <c r="Y312" s="12">
        <v>-7.398665052269382E-3</v>
      </c>
      <c r="Z312" s="12">
        <v>1.9030725935882176E-2</v>
      </c>
      <c r="AA312" s="12">
        <v>6.8704157576737757E-3</v>
      </c>
      <c r="AB312" s="12">
        <v>7.1129214310952094E-3</v>
      </c>
      <c r="AC312" s="12">
        <v>-2.8051457575532623E-2</v>
      </c>
    </row>
    <row r="313" spans="12:29" x14ac:dyDescent="0.2">
      <c r="L313" s="11">
        <v>44648</v>
      </c>
      <c r="M313" s="10">
        <v>28.134925842285156</v>
      </c>
      <c r="N313" s="10">
        <v>71.211166381835938</v>
      </c>
      <c r="O313" s="10">
        <v>125.80320739746094</v>
      </c>
      <c r="P313" s="10">
        <v>171.74368286132812</v>
      </c>
      <c r="Q313" s="10">
        <v>430.30709838867188</v>
      </c>
      <c r="R313" s="10">
        <v>157.43962097167969</v>
      </c>
      <c r="S313" s="10">
        <v>136.90463256835938</v>
      </c>
      <c r="V313" s="11">
        <v>44649</v>
      </c>
      <c r="W313" s="12">
        <v>1.9134292411265186E-2</v>
      </c>
      <c r="X313" s="12">
        <v>-5.0581689428430554E-4</v>
      </c>
      <c r="Y313" s="12">
        <v>2.2005814930161627E-3</v>
      </c>
      <c r="Z313" s="12">
        <v>1.548600333920791E-2</v>
      </c>
      <c r="AA313" s="12">
        <v>1.0267402065629039E-2</v>
      </c>
      <c r="AB313" s="12">
        <v>1.2370868909696409E-2</v>
      </c>
      <c r="AC313" s="12">
        <v>-5.31338288090899E-3</v>
      </c>
    </row>
    <row r="314" spans="12:29" x14ac:dyDescent="0.2">
      <c r="L314" s="11">
        <v>44649</v>
      </c>
      <c r="M314" s="10">
        <v>28.570623397827148</v>
      </c>
      <c r="N314" s="10">
        <v>70.832794189453125</v>
      </c>
      <c r="O314" s="10">
        <v>126.08004760742188</v>
      </c>
      <c r="P314" s="10">
        <v>175.02987670898438</v>
      </c>
      <c r="Q314" s="10">
        <v>435.63037109375</v>
      </c>
      <c r="R314" s="10">
        <v>157.3599853515625</v>
      </c>
      <c r="S314" s="10">
        <v>138.31028747558594</v>
      </c>
      <c r="V314" s="11">
        <v>44650</v>
      </c>
      <c r="W314" s="12">
        <v>-6.6493426153703128E-3</v>
      </c>
      <c r="X314" s="12">
        <v>1.0408287066953292E-2</v>
      </c>
      <c r="Y314" s="12">
        <v>-4.5328558831637666E-3</v>
      </c>
      <c r="Z314" s="12">
        <v>-3.3710199486155501E-2</v>
      </c>
      <c r="AA314" s="12">
        <v>-6.8824927851595108E-3</v>
      </c>
      <c r="AB314" s="12">
        <v>-6.1746851220225718E-3</v>
      </c>
      <c r="AC314" s="12">
        <v>1.71177988917941E-2</v>
      </c>
    </row>
    <row r="315" spans="12:29" x14ac:dyDescent="0.2">
      <c r="L315" s="11">
        <v>44650</v>
      </c>
      <c r="M315" s="10">
        <v>27.607501983642575</v>
      </c>
      <c r="N315" s="10">
        <v>72.045295715332031</v>
      </c>
      <c r="O315" s="10">
        <v>125.508544921875</v>
      </c>
      <c r="P315" s="10">
        <v>173.86604309082031</v>
      </c>
      <c r="Q315" s="10">
        <v>432.94049072265625</v>
      </c>
      <c r="R315" s="10">
        <v>158.99783325195312</v>
      </c>
      <c r="S315" s="10">
        <v>137.35836791992188</v>
      </c>
      <c r="V315" s="11">
        <v>44651</v>
      </c>
      <c r="W315" s="12">
        <v>-1.7775880173610314E-2</v>
      </c>
      <c r="X315" s="12">
        <v>-1.314106741194554E-2</v>
      </c>
      <c r="Y315" s="12">
        <v>-3.0027191620808247E-2</v>
      </c>
      <c r="Z315" s="12">
        <v>-1.4590084675702664E-2</v>
      </c>
      <c r="AA315" s="12">
        <v>-1.0298805210178563E-2</v>
      </c>
      <c r="AB315" s="12">
        <v>-1.539157319931761E-2</v>
      </c>
      <c r="AC315" s="12">
        <v>-1.4203672705242254E-2</v>
      </c>
    </row>
    <row r="316" spans="12:29" x14ac:dyDescent="0.2">
      <c r="L316" s="11">
        <v>44651</v>
      </c>
      <c r="M316" s="10">
        <v>27.204706192016602</v>
      </c>
      <c r="N316" s="10">
        <v>71.021987915039062</v>
      </c>
      <c r="O316" s="10">
        <v>121.73987579345705</v>
      </c>
      <c r="P316" s="10">
        <v>170.77542114257812</v>
      </c>
      <c r="Q316" s="10">
        <v>426.27685546875</v>
      </c>
      <c r="R316" s="10">
        <v>156.90843200683594</v>
      </c>
      <c r="S316" s="10">
        <v>135.94374084472656</v>
      </c>
      <c r="V316" s="11">
        <v>44652</v>
      </c>
      <c r="W316" s="12">
        <v>-1.7181117336425578E-3</v>
      </c>
      <c r="X316" s="12">
        <v>5.4168221394395033E-3</v>
      </c>
      <c r="Y316" s="12">
        <v>-7.4090558511232807E-3</v>
      </c>
      <c r="Z316" s="12">
        <v>-2.1036519337554904E-2</v>
      </c>
      <c r="AA316" s="12">
        <v>1.4986964611561016E-2</v>
      </c>
      <c r="AB316" s="12">
        <v>2.8341437432346517E-3</v>
      </c>
      <c r="AC316" s="12">
        <v>6.4171273501734127E-3</v>
      </c>
    </row>
    <row r="317" spans="12:29" x14ac:dyDescent="0.2">
      <c r="L317" s="11">
        <v>44652</v>
      </c>
      <c r="M317" s="10">
        <v>26.632413864135746</v>
      </c>
      <c r="N317" s="10">
        <v>71.477745056152344</v>
      </c>
      <c r="O317" s="10">
        <v>120.83789825439452</v>
      </c>
      <c r="P317" s="10">
        <v>170.48200988769531</v>
      </c>
      <c r="Q317" s="10">
        <v>427.4849853515625</v>
      </c>
      <c r="R317" s="10">
        <v>157.75837707519531</v>
      </c>
      <c r="S317" s="10">
        <v>137.98112487792969</v>
      </c>
      <c r="V317" s="11">
        <v>44655</v>
      </c>
      <c r="W317" s="12">
        <v>2.3693627033515297E-2</v>
      </c>
      <c r="X317" s="12">
        <v>-9.6527148611166291E-3</v>
      </c>
      <c r="Y317" s="12">
        <v>4.434078681235798E-3</v>
      </c>
      <c r="Z317" s="12">
        <v>2.4258802962532133E-2</v>
      </c>
      <c r="AA317" s="12">
        <v>-6.5121919473221102E-3</v>
      </c>
      <c r="AB317" s="12">
        <v>8.566567207992648E-3</v>
      </c>
      <c r="AC317" s="12">
        <v>4.8128182995110791E-4</v>
      </c>
    </row>
    <row r="318" spans="12:29" x14ac:dyDescent="0.2">
      <c r="L318" s="11">
        <v>44655</v>
      </c>
      <c r="M318" s="10">
        <v>27.278484344482425</v>
      </c>
      <c r="N318" s="10">
        <v>71.51214599609375</v>
      </c>
      <c r="O318" s="10">
        <v>121.37370300292967</v>
      </c>
      <c r="P318" s="10">
        <v>174.52134704589844</v>
      </c>
      <c r="Q318" s="10">
        <v>431.14706420898438</v>
      </c>
      <c r="R318" s="10">
        <v>156.23558044433594</v>
      </c>
      <c r="S318" s="10">
        <v>137.08256530761719</v>
      </c>
      <c r="V318" s="11">
        <v>44656</v>
      </c>
      <c r="W318" s="12">
        <v>-1.894227820915384E-2</v>
      </c>
      <c r="X318" s="12">
        <v>6.4599711594477416E-3</v>
      </c>
      <c r="Y318" s="12">
        <v>-1.1637410336762799E-2</v>
      </c>
      <c r="Z318" s="12">
        <v>-5.222964522882545E-2</v>
      </c>
      <c r="AA318" s="12">
        <v>3.5045136029203672E-3</v>
      </c>
      <c r="AB318" s="12">
        <v>-1.2631171092341353E-2</v>
      </c>
      <c r="AC318" s="12">
        <v>-5.1707840618612222E-3</v>
      </c>
    </row>
    <row r="319" spans="12:29" x14ac:dyDescent="0.2">
      <c r="L319" s="11">
        <v>44656</v>
      </c>
      <c r="M319" s="10">
        <v>25.853738784790039</v>
      </c>
      <c r="N319" s="10">
        <v>71.142372131347656</v>
      </c>
      <c r="O319" s="10">
        <v>119.9612274169922</v>
      </c>
      <c r="P319" s="10">
        <v>171.21551513671875</v>
      </c>
      <c r="Q319" s="10">
        <v>425.701171875</v>
      </c>
      <c r="R319" s="10">
        <v>157.24485778808594</v>
      </c>
      <c r="S319" s="10">
        <v>137.56297302246094</v>
      </c>
      <c r="V319" s="11">
        <v>44657</v>
      </c>
      <c r="W319" s="12">
        <v>-1.8450767237215282E-2</v>
      </c>
      <c r="X319" s="12">
        <v>2.6012112915044128E-2</v>
      </c>
      <c r="Y319" s="12">
        <v>-1.3874086259611285E-2</v>
      </c>
      <c r="Z319" s="12">
        <v>-5.8771114744918918E-2</v>
      </c>
      <c r="AA319" s="12">
        <v>1.4293214211752892E-2</v>
      </c>
      <c r="AB319" s="12">
        <v>-9.999443702714772E-3</v>
      </c>
      <c r="AC319" s="12">
        <v>1.1120592426217879E-2</v>
      </c>
    </row>
    <row r="320" spans="12:29" x14ac:dyDescent="0.2">
      <c r="L320" s="11">
        <v>44657</v>
      </c>
      <c r="M320" s="10">
        <v>24.334285736083984</v>
      </c>
      <c r="N320" s="10">
        <v>71.933517456054688</v>
      </c>
      <c r="O320" s="10">
        <v>118.296875</v>
      </c>
      <c r="P320" s="10">
        <v>168.05645751953125</v>
      </c>
      <c r="Q320" s="10">
        <v>421.44439697265625</v>
      </c>
      <c r="R320" s="10">
        <v>161.33512878417969</v>
      </c>
      <c r="S320" s="10">
        <v>139.52919006347656</v>
      </c>
      <c r="V320" s="11">
        <v>44658</v>
      </c>
      <c r="W320" s="12">
        <v>1.8040180327349997E-3</v>
      </c>
      <c r="X320" s="12">
        <v>-2.5792425968189647E-3</v>
      </c>
      <c r="Y320" s="12">
        <v>-3.042164385484103E-3</v>
      </c>
      <c r="Z320" s="12">
        <v>-8.1535178937048869E-3</v>
      </c>
      <c r="AA320" s="12">
        <v>1.294385448238411E-2</v>
      </c>
      <c r="AB320" s="12">
        <v>5.038852590426135E-3</v>
      </c>
      <c r="AC320" s="12">
        <v>1.6736437619253142E-2</v>
      </c>
    </row>
    <row r="321" spans="12:29" x14ac:dyDescent="0.2">
      <c r="L321" s="11">
        <v>44658</v>
      </c>
      <c r="M321" s="10">
        <v>24.135875701904297</v>
      </c>
      <c r="N321" s="10">
        <v>73.137428283691406</v>
      </c>
      <c r="O321" s="10">
        <v>117.93699645996094</v>
      </c>
      <c r="P321" s="10">
        <v>168.35963439941406</v>
      </c>
      <c r="Q321" s="10">
        <v>423.5679931640625</v>
      </c>
      <c r="R321" s="10">
        <v>160.91900634765625</v>
      </c>
      <c r="S321" s="10">
        <v>141.33523559570312</v>
      </c>
      <c r="V321" s="11">
        <v>44659</v>
      </c>
      <c r="W321" s="12">
        <v>-1.1908878113133681E-2</v>
      </c>
      <c r="X321" s="12">
        <v>1.9807532494822144E-3</v>
      </c>
      <c r="Y321" s="12">
        <v>1.8308166816942473E-2</v>
      </c>
      <c r="Z321" s="12">
        <v>-4.4985083944792836E-2</v>
      </c>
      <c r="AA321" s="12">
        <v>7.8056292513959402E-3</v>
      </c>
      <c r="AB321" s="12">
        <v>-2.6738041119132028E-3</v>
      </c>
      <c r="AC321" s="12">
        <v>2.1046352861577411E-2</v>
      </c>
    </row>
    <row r="322" spans="12:29" x14ac:dyDescent="0.2">
      <c r="L322" s="11">
        <v>44659</v>
      </c>
      <c r="M322" s="10">
        <v>23.050121307373047</v>
      </c>
      <c r="N322" s="10">
        <v>74.676704406738281</v>
      </c>
      <c r="O322" s="10">
        <v>120.09620666503906</v>
      </c>
      <c r="P322" s="10">
        <v>166.35466003417969</v>
      </c>
      <c r="Q322" s="10">
        <v>422.43545532226562</v>
      </c>
      <c r="R322" s="10">
        <v>161.23774719238281</v>
      </c>
      <c r="S322" s="10">
        <v>142.43844604492188</v>
      </c>
      <c r="V322" s="11">
        <v>44662</v>
      </c>
      <c r="W322" s="12">
        <v>-2.5515722991805601E-2</v>
      </c>
      <c r="X322" s="12">
        <v>-1.2519309158230962E-2</v>
      </c>
      <c r="Y322" s="12">
        <v>-3.6706106567140351E-3</v>
      </c>
      <c r="Z322" s="12">
        <v>-5.1991898651722601E-2</v>
      </c>
      <c r="AA322" s="12">
        <v>-3.8100253608897017E-3</v>
      </c>
      <c r="AB322" s="12">
        <v>-1.7092310454174586E-2</v>
      </c>
      <c r="AC322" s="12">
        <v>-3.4431256560950807E-2</v>
      </c>
    </row>
    <row r="323" spans="12:29" x14ac:dyDescent="0.2">
      <c r="L323" s="11">
        <v>44662</v>
      </c>
      <c r="M323" s="10">
        <v>21.851701736450195</v>
      </c>
      <c r="N323" s="10">
        <v>72.105491638183594</v>
      </c>
      <c r="O323" s="10">
        <v>119.65538024902344</v>
      </c>
      <c r="P323" s="10">
        <v>162.11000061035156</v>
      </c>
      <c r="Q323" s="10">
        <v>415.21505737304688</v>
      </c>
      <c r="R323" s="10">
        <v>159.21916198730469</v>
      </c>
      <c r="S323" s="10">
        <v>141.895751953125</v>
      </c>
      <c r="V323" s="11">
        <v>44663</v>
      </c>
      <c r="W323" s="12">
        <v>1.1523298902931467E-2</v>
      </c>
      <c r="X323" s="12">
        <v>3.3369792211224159E-4</v>
      </c>
      <c r="Y323" s="12">
        <v>-1.0977417625053554E-2</v>
      </c>
      <c r="Z323" s="12">
        <v>-1.8843835226640349E-2</v>
      </c>
      <c r="AA323" s="12">
        <v>-3.0099104446795755E-3</v>
      </c>
      <c r="AB323" s="12">
        <v>-3.705046543866275E-3</v>
      </c>
      <c r="AC323" s="12">
        <v>2.0870677221727973E-2</v>
      </c>
    </row>
    <row r="324" spans="12:29" x14ac:dyDescent="0.2">
      <c r="L324" s="11">
        <v>44663</v>
      </c>
      <c r="M324" s="10">
        <v>21.439931869506836</v>
      </c>
      <c r="N324" s="10">
        <v>73.610382080078125</v>
      </c>
      <c r="O324" s="10">
        <v>118.34187316894533</v>
      </c>
      <c r="P324" s="10">
        <v>163.97804260253906</v>
      </c>
      <c r="Q324" s="10">
        <v>413.67666625976562</v>
      </c>
      <c r="R324" s="10">
        <v>159.27229309082031</v>
      </c>
      <c r="S324" s="10">
        <v>141.46865844726562</v>
      </c>
      <c r="V324" s="11">
        <v>44664</v>
      </c>
      <c r="W324" s="12">
        <v>1.6342490297972301E-2</v>
      </c>
      <c r="X324" s="12">
        <v>4.2247277729243748E-3</v>
      </c>
      <c r="Y324" s="12">
        <v>-3.22337139116462E-2</v>
      </c>
      <c r="Z324" s="12">
        <v>3.2505540803112076E-2</v>
      </c>
      <c r="AA324" s="12">
        <v>2.8304583288840668E-3</v>
      </c>
      <c r="AB324" s="12">
        <v>1.145347924071638E-2</v>
      </c>
      <c r="AC324" s="12">
        <v>1.4135398507088226E-2</v>
      </c>
    </row>
    <row r="325" spans="12:29" x14ac:dyDescent="0.2">
      <c r="L325" s="11">
        <v>44664</v>
      </c>
      <c r="M325" s="10">
        <v>22.136848449707031</v>
      </c>
      <c r="N325" s="10">
        <v>74.650894165039062</v>
      </c>
      <c r="O325" s="10">
        <v>114.52727508544922</v>
      </c>
      <c r="P325" s="10">
        <v>166.65785217285156</v>
      </c>
      <c r="Q325" s="10">
        <v>418.41470336914062</v>
      </c>
      <c r="R325" s="10">
        <v>159.94517517089844</v>
      </c>
      <c r="S325" s="10">
        <v>141.86907958984375</v>
      </c>
      <c r="V325" s="11">
        <v>44665</v>
      </c>
      <c r="W325" s="12">
        <v>-2.9988127729045244E-2</v>
      </c>
      <c r="X325" s="12">
        <v>-4.2069545352597659E-3</v>
      </c>
      <c r="Y325" s="12">
        <v>-9.2694053067555737E-3</v>
      </c>
      <c r="Z325" s="12">
        <v>-4.2561814992895131E-2</v>
      </c>
      <c r="AA325" s="12">
        <v>-5.5814811930735564E-3</v>
      </c>
      <c r="AB325" s="12">
        <v>-1.2452032596937834E-2</v>
      </c>
      <c r="AC325" s="12">
        <v>1.1749842252787523E-2</v>
      </c>
    </row>
    <row r="326" spans="12:29" x14ac:dyDescent="0.2">
      <c r="L326" s="11">
        <v>44665</v>
      </c>
      <c r="M326" s="10">
        <v>21.194664001464844</v>
      </c>
      <c r="N326" s="10">
        <v>75.528030395507812</v>
      </c>
      <c r="O326" s="10">
        <v>113.46567535400391</v>
      </c>
      <c r="P326" s="10">
        <v>161.66009521484375</v>
      </c>
      <c r="Q326" s="10">
        <v>413.20458984375</v>
      </c>
      <c r="R326" s="10">
        <v>159.27229309082031</v>
      </c>
      <c r="S326" s="10">
        <v>141.07723999023438</v>
      </c>
      <c r="V326" s="11">
        <v>44669</v>
      </c>
      <c r="W326" s="12">
        <v>-1.3310609713139687E-3</v>
      </c>
      <c r="X326" s="12">
        <v>-1.2451536773707805E-2</v>
      </c>
      <c r="Y326" s="12">
        <v>1.8553912733532574E-2</v>
      </c>
      <c r="Z326" s="12">
        <v>2.4696754207212512E-2</v>
      </c>
      <c r="AA326" s="12">
        <v>-9.5227608954622234E-3</v>
      </c>
      <c r="AB326" s="12">
        <v>4.1137711035710289E-4</v>
      </c>
      <c r="AC326" s="12">
        <v>8.1975956628594915E-3</v>
      </c>
    </row>
    <row r="327" spans="12:29" x14ac:dyDescent="0.2">
      <c r="L327" s="11">
        <v>44669</v>
      </c>
      <c r="M327" s="10">
        <v>21.718103408813477</v>
      </c>
      <c r="N327" s="10">
        <v>76.147178649902344</v>
      </c>
      <c r="O327" s="10">
        <v>115.57090759277344</v>
      </c>
      <c r="P327" s="10">
        <v>161.44491577148438</v>
      </c>
      <c r="Q327" s="10">
        <v>413.37457275390625</v>
      </c>
      <c r="R327" s="10">
        <v>157.28910827636719</v>
      </c>
      <c r="S327" s="10">
        <v>139.73379516601562</v>
      </c>
      <c r="V327" s="11">
        <v>44670</v>
      </c>
      <c r="W327" s="12">
        <v>1.4115367828261505E-2</v>
      </c>
      <c r="X327" s="12">
        <v>3.0507953018301448E-2</v>
      </c>
      <c r="Y327" s="12">
        <v>2.0706873662786895E-2</v>
      </c>
      <c r="Z327" s="12">
        <v>1.9051527588580308E-2</v>
      </c>
      <c r="AA327" s="12">
        <v>1.4962663773912643E-2</v>
      </c>
      <c r="AB327" s="12">
        <v>1.6142458970379581E-2</v>
      </c>
      <c r="AC327" s="12">
        <v>-8.9212618313850856E-3</v>
      </c>
    </row>
    <row r="328" spans="12:29" x14ac:dyDescent="0.2">
      <c r="L328" s="11">
        <v>44670</v>
      </c>
      <c r="M328" s="10">
        <v>22.131866455078125</v>
      </c>
      <c r="N328" s="10">
        <v>75.467849731445312</v>
      </c>
      <c r="O328" s="10">
        <v>117.96401977539062</v>
      </c>
      <c r="P328" s="10">
        <v>163.72377014160156</v>
      </c>
      <c r="Q328" s="10">
        <v>420.04745483398438</v>
      </c>
      <c r="R328" s="10">
        <v>162.08767700195312</v>
      </c>
      <c r="S328" s="10">
        <v>141.8245849609375</v>
      </c>
      <c r="V328" s="11">
        <v>44671</v>
      </c>
      <c r="W328" s="12">
        <v>-1.0156758732058346E-3</v>
      </c>
      <c r="X328" s="12">
        <v>4.4240673026829658E-3</v>
      </c>
      <c r="Y328" s="12">
        <v>3.5080048998239466E-3</v>
      </c>
      <c r="Z328" s="12">
        <v>-3.2255259460271857E-2</v>
      </c>
      <c r="AA328" s="12">
        <v>2.659797887293025E-2</v>
      </c>
      <c r="AB328" s="12">
        <v>-7.4142071611593696E-4</v>
      </c>
      <c r="AC328" s="12">
        <v>2.2788752049440753E-3</v>
      </c>
    </row>
    <row r="329" spans="12:29" x14ac:dyDescent="0.2">
      <c r="L329" s="11">
        <v>44671</v>
      </c>
      <c r="M329" s="10">
        <v>21.417997360229492</v>
      </c>
      <c r="N329" s="10">
        <v>75.63983154296875</v>
      </c>
      <c r="O329" s="10">
        <v>118.37783813476562</v>
      </c>
      <c r="P329" s="10">
        <v>163.55747985839844</v>
      </c>
      <c r="Q329" s="10">
        <v>419.73602294921869</v>
      </c>
      <c r="R329" s="10">
        <v>162.80476379394531</v>
      </c>
      <c r="S329" s="10">
        <v>145.59683227539062</v>
      </c>
      <c r="V329" s="11">
        <v>44672</v>
      </c>
      <c r="W329" s="12">
        <v>-4.8434993767552115E-3</v>
      </c>
      <c r="X329" s="12">
        <v>-2.8819335131781143E-3</v>
      </c>
      <c r="Y329" s="12">
        <v>-7.7520523948796383E-3</v>
      </c>
      <c r="Z329" s="12">
        <v>-6.0469228481924708E-2</v>
      </c>
      <c r="AA329" s="12">
        <v>-7.8035312708224502E-4</v>
      </c>
      <c r="AB329" s="12">
        <v>-1.4953565931433155E-2</v>
      </c>
      <c r="AC329" s="12">
        <v>-1.0573149958484018E-2</v>
      </c>
    </row>
    <row r="330" spans="12:29" x14ac:dyDescent="0.2">
      <c r="L330" s="11">
        <v>44672</v>
      </c>
      <c r="M330" s="10">
        <v>20.122867584228516</v>
      </c>
      <c r="N330" s="10">
        <v>74.840080261230469</v>
      </c>
      <c r="O330" s="10">
        <v>117.46016693115234</v>
      </c>
      <c r="P330" s="10">
        <v>162.76528930664062</v>
      </c>
      <c r="Q330" s="10">
        <v>413.45947265625</v>
      </c>
      <c r="R330" s="10">
        <v>162.3355712890625</v>
      </c>
      <c r="S330" s="10">
        <v>145.48321533203125</v>
      </c>
      <c r="V330" s="11">
        <v>44673</v>
      </c>
      <c r="W330" s="12">
        <v>-2.7821354598196679E-2</v>
      </c>
      <c r="X330" s="12">
        <v>-9.926191090293468E-3</v>
      </c>
      <c r="Y330" s="12">
        <v>-2.8722427679502727E-2</v>
      </c>
      <c r="Z330" s="12">
        <v>-3.3097166701831826E-2</v>
      </c>
      <c r="AA330" s="12">
        <v>-8.3636201925073594E-3</v>
      </c>
      <c r="AB330" s="12">
        <v>-2.7439062195532382E-2</v>
      </c>
      <c r="AC330" s="12">
        <v>-2.1831319813497951E-2</v>
      </c>
    </row>
    <row r="331" spans="12:29" x14ac:dyDescent="0.2">
      <c r="L331" s="11">
        <v>44673</v>
      </c>
      <c r="M331" s="10">
        <v>19.456857681274418</v>
      </c>
      <c r="N331" s="10">
        <v>73.206222534179688</v>
      </c>
      <c r="O331" s="10">
        <v>114.08642578125</v>
      </c>
      <c r="P331" s="10">
        <v>158.2369384765625</v>
      </c>
      <c r="Q331" s="10">
        <v>402.11453247070312</v>
      </c>
      <c r="R331" s="10">
        <v>160.72419738769531</v>
      </c>
      <c r="S331" s="10">
        <v>144.26644897460938</v>
      </c>
      <c r="V331" s="11">
        <v>44676</v>
      </c>
      <c r="W331" s="12">
        <v>6.7373717191618887E-3</v>
      </c>
      <c r="X331" s="12">
        <v>2.4622857528575626E-2</v>
      </c>
      <c r="Y331" s="12">
        <v>-3.153769115211702E-4</v>
      </c>
      <c r="Z331" s="12">
        <v>1.9830806733890372E-2</v>
      </c>
      <c r="AA331" s="12">
        <v>8.0620681091603252E-3</v>
      </c>
      <c r="AB331" s="12">
        <v>5.797599041747814E-3</v>
      </c>
      <c r="AC331" s="12">
        <v>-3.3713117045182428E-2</v>
      </c>
    </row>
    <row r="332" spans="12:29" x14ac:dyDescent="0.2">
      <c r="L332" s="11">
        <v>44676</v>
      </c>
      <c r="M332" s="10">
        <v>19.842702865600582</v>
      </c>
      <c r="N332" s="10">
        <v>70.738212585449219</v>
      </c>
      <c r="O332" s="10">
        <v>114.05044555664062</v>
      </c>
      <c r="P332" s="10">
        <v>159.30303955078125</v>
      </c>
      <c r="Q332" s="10">
        <v>404.44583129882812</v>
      </c>
      <c r="R332" s="10">
        <v>164.68168640136719</v>
      </c>
      <c r="S332" s="10">
        <v>145.42953491210938</v>
      </c>
      <c r="V332" s="11">
        <v>44677</v>
      </c>
      <c r="W332" s="12">
        <v>-3.7328147934441946E-2</v>
      </c>
      <c r="X332" s="12">
        <v>-7.1500055732740542E-3</v>
      </c>
      <c r="Y332" s="12">
        <v>-2.958113081835223E-2</v>
      </c>
      <c r="Z332" s="12">
        <v>-5.5974114345162307E-2</v>
      </c>
      <c r="AA332" s="12">
        <v>-1.6979457279345911E-2</v>
      </c>
      <c r="AB332" s="12">
        <v>-2.8960948189303171E-2</v>
      </c>
      <c r="AC332" s="12">
        <v>3.6476200573365425E-4</v>
      </c>
    </row>
    <row r="333" spans="12:29" x14ac:dyDescent="0.2">
      <c r="L333" s="11">
        <v>44677</v>
      </c>
      <c r="M333" s="10">
        <v>18.732025146484375</v>
      </c>
      <c r="N333" s="10">
        <v>70.764015197753906</v>
      </c>
      <c r="O333" s="10">
        <v>110.67670440673828</v>
      </c>
      <c r="P333" s="10">
        <v>153.35655212402344</v>
      </c>
      <c r="Q333" s="10">
        <v>392.73269653320312</v>
      </c>
      <c r="R333" s="10">
        <v>163.50421142578125</v>
      </c>
      <c r="S333" s="10">
        <v>142.96022033691406</v>
      </c>
      <c r="V333" s="11">
        <v>44678</v>
      </c>
      <c r="W333" s="12">
        <v>-1.4669104386652032E-3</v>
      </c>
      <c r="X333" s="12">
        <v>-1.397015812364466E-2</v>
      </c>
      <c r="Y333" s="12">
        <v>-1.3005926881505148E-2</v>
      </c>
      <c r="Z333" s="12">
        <v>-1.9853118468062592E-2</v>
      </c>
      <c r="AA333" s="12">
        <v>-2.6909904652995253E-3</v>
      </c>
      <c r="AB333" s="12">
        <v>2.8117815863080153E-3</v>
      </c>
      <c r="AC333" s="12">
        <v>2.8557286375327839E-2</v>
      </c>
    </row>
    <row r="334" spans="12:29" x14ac:dyDescent="0.2">
      <c r="L334" s="11">
        <v>44678</v>
      </c>
      <c r="M334" s="10">
        <v>18.360136032104492</v>
      </c>
      <c r="N334" s="10">
        <v>72.784843444824219</v>
      </c>
      <c r="O334" s="10">
        <v>109.23725128173828</v>
      </c>
      <c r="P334" s="10">
        <v>153.131591796875</v>
      </c>
      <c r="Q334" s="10">
        <v>393.83697509765625</v>
      </c>
      <c r="R334" s="10">
        <v>161.22003173828125</v>
      </c>
      <c r="S334" s="10">
        <v>142.57551574707031</v>
      </c>
      <c r="V334" s="11">
        <v>44679</v>
      </c>
      <c r="W334" s="12">
        <v>4.5155402270629308E-2</v>
      </c>
      <c r="X334" s="12">
        <v>7.468495272823894E-3</v>
      </c>
      <c r="Y334" s="12">
        <v>1.5812674235024637E-2</v>
      </c>
      <c r="Z334" s="12">
        <v>7.4232814692791971E-2</v>
      </c>
      <c r="AA334" s="12">
        <v>2.5413992486377879E-2</v>
      </c>
      <c r="AB334" s="12">
        <v>2.5259564905755427E-2</v>
      </c>
      <c r="AC334" s="12">
        <v>3.0245737576984677E-2</v>
      </c>
    </row>
    <row r="335" spans="12:29" x14ac:dyDescent="0.2">
      <c r="L335" s="11">
        <v>44679</v>
      </c>
      <c r="M335" s="10">
        <v>19.723060607910156</v>
      </c>
      <c r="N335" s="10">
        <v>74.986274719238281</v>
      </c>
      <c r="O335" s="10">
        <v>110.96458435058594</v>
      </c>
      <c r="P335" s="10">
        <v>160.04631042480469</v>
      </c>
      <c r="Q335" s="10">
        <v>403.78512573242188</v>
      </c>
      <c r="R335" s="10">
        <v>162.42410278320312</v>
      </c>
      <c r="S335" s="10">
        <v>146.19892883300781</v>
      </c>
      <c r="V335" s="11">
        <v>44680</v>
      </c>
      <c r="W335" s="12">
        <v>-3.6604776811826389E-2</v>
      </c>
      <c r="X335" s="12">
        <v>-1.6352476827274143E-2</v>
      </c>
      <c r="Y335" s="12">
        <v>-3.2268475387349782E-2</v>
      </c>
      <c r="Z335" s="12">
        <v>-6.2430540539181401E-2</v>
      </c>
      <c r="AA335" s="12">
        <v>-1.750181316864019E-2</v>
      </c>
      <c r="AB335" s="12">
        <v>-3.6955669506488209E-2</v>
      </c>
      <c r="AC335" s="12">
        <v>-2.2362185625400821E-2</v>
      </c>
    </row>
    <row r="336" spans="12:29" x14ac:dyDescent="0.2">
      <c r="L336" s="11">
        <v>44680</v>
      </c>
      <c r="M336" s="10">
        <v>18.491739273071289</v>
      </c>
      <c r="N336" s="10">
        <v>73.309417724609375</v>
      </c>
      <c r="O336" s="10">
        <v>107.38392639160156</v>
      </c>
      <c r="P336" s="10">
        <v>154.18785095214844</v>
      </c>
      <c r="Q336" s="10">
        <v>388.86297607421869</v>
      </c>
      <c r="R336" s="10">
        <v>159.76806640625</v>
      </c>
      <c r="S336" s="10">
        <v>143.64018249511719</v>
      </c>
      <c r="V336" s="11">
        <v>44683</v>
      </c>
      <c r="W336" s="12">
        <v>1.9665794313723506E-3</v>
      </c>
      <c r="X336" s="12">
        <v>-1.0085324949190899E-2</v>
      </c>
      <c r="Y336" s="12">
        <v>9.1321323314073055E-3</v>
      </c>
      <c r="Z336" s="12">
        <v>5.3162368178143904E-2</v>
      </c>
      <c r="AA336" s="12">
        <v>-1.3516078806382614E-2</v>
      </c>
      <c r="AB336" s="12">
        <v>6.0192609444069678E-3</v>
      </c>
      <c r="AC336" s="12">
        <v>1.3606989084602672E-2</v>
      </c>
    </row>
    <row r="337" spans="12:29" x14ac:dyDescent="0.2">
      <c r="L337" s="11">
        <v>44683</v>
      </c>
      <c r="M337" s="10">
        <v>19.474803924560547</v>
      </c>
      <c r="N337" s="10">
        <v>74.306938171386719</v>
      </c>
      <c r="O337" s="10">
        <v>108.36457061767578</v>
      </c>
      <c r="P337" s="10">
        <v>154.49107360839844</v>
      </c>
      <c r="Q337" s="10">
        <v>391.20364379882812</v>
      </c>
      <c r="R337" s="10">
        <v>158.15675354003906</v>
      </c>
      <c r="S337" s="10">
        <v>141.69873046875</v>
      </c>
      <c r="V337" s="11">
        <v>44684</v>
      </c>
      <c r="W337" s="12">
        <v>9.6227779771247413E-3</v>
      </c>
      <c r="X337" s="12">
        <v>-1.9591969521158825E-3</v>
      </c>
      <c r="Y337" s="12">
        <v>2.141976930996381E-2</v>
      </c>
      <c r="Z337" s="12">
        <v>3.532670493220591E-3</v>
      </c>
      <c r="AA337" s="12">
        <v>-1.3701373884816959E-2</v>
      </c>
      <c r="AB337" s="12">
        <v>4.5843028931908947E-3</v>
      </c>
      <c r="AC337" s="12">
        <v>2.0599187293798504E-2</v>
      </c>
    </row>
    <row r="338" spans="12:29" x14ac:dyDescent="0.2">
      <c r="L338" s="11">
        <v>44684</v>
      </c>
      <c r="M338" s="10">
        <v>19.543601989746097</v>
      </c>
      <c r="N338" s="10">
        <v>75.837600708007812</v>
      </c>
      <c r="O338" s="10">
        <v>110.68571472167967</v>
      </c>
      <c r="P338" s="10">
        <v>155.97770690917969</v>
      </c>
      <c r="Q338" s="10">
        <v>392.99703979492188</v>
      </c>
      <c r="R338" s="10">
        <v>157.84689331054688</v>
      </c>
      <c r="S338" s="10">
        <v>139.75726318359375</v>
      </c>
      <c r="V338" s="11">
        <v>44685</v>
      </c>
      <c r="W338" s="12">
        <v>4.1008084890123531E-2</v>
      </c>
      <c r="X338" s="12">
        <v>1.0712876428733198E-2</v>
      </c>
      <c r="Y338" s="12">
        <v>3.3081174689639559E-2</v>
      </c>
      <c r="Z338" s="12">
        <v>3.734288744735248E-2</v>
      </c>
      <c r="AA338" s="12">
        <v>7.3622696997925896E-3</v>
      </c>
      <c r="AB338" s="12">
        <v>3.0452967359845484E-2</v>
      </c>
      <c r="AC338" s="12">
        <v>3.9800563088054908E-2</v>
      </c>
    </row>
    <row r="339" spans="12:29" x14ac:dyDescent="0.2">
      <c r="L339" s="11">
        <v>44685</v>
      </c>
      <c r="M339" s="10">
        <v>20.273416519165039</v>
      </c>
      <c r="N339" s="10">
        <v>78.855979919433594</v>
      </c>
      <c r="O339" s="10">
        <v>114.34732818603516</v>
      </c>
      <c r="P339" s="10">
        <v>162.37405395507812</v>
      </c>
      <c r="Q339" s="10">
        <v>404.9649658203125</v>
      </c>
      <c r="R339" s="10">
        <v>159.53788757324219</v>
      </c>
      <c r="S339" s="10">
        <v>140.78619384765625</v>
      </c>
      <c r="V339" s="11">
        <v>44686</v>
      </c>
      <c r="W339" s="12">
        <v>-5.5715884062034982E-2</v>
      </c>
      <c r="X339" s="12">
        <v>-1.9089807014984972E-2</v>
      </c>
      <c r="Y339" s="12">
        <v>-2.5019527636367722E-2</v>
      </c>
      <c r="Z339" s="12">
        <v>-7.3276320715123022E-2</v>
      </c>
      <c r="AA339" s="12">
        <v>-1.8429287435712816E-2</v>
      </c>
      <c r="AB339" s="12">
        <v>-3.5542941871719802E-2</v>
      </c>
      <c r="AC339" s="12">
        <v>-1.5158171913166707E-2</v>
      </c>
    </row>
    <row r="340" spans="12:29" x14ac:dyDescent="0.2">
      <c r="L340" s="11">
        <v>44686</v>
      </c>
      <c r="M340" s="10">
        <v>18.78785514831543</v>
      </c>
      <c r="N340" s="10">
        <v>77.660667419433594</v>
      </c>
      <c r="O340" s="10">
        <v>111.48641204833984</v>
      </c>
      <c r="P340" s="10">
        <v>153.32723999023438</v>
      </c>
      <c r="Q340" s="10">
        <v>390.57131958007812</v>
      </c>
      <c r="R340" s="10">
        <v>156.49234008789062</v>
      </c>
      <c r="S340" s="10">
        <v>138.19160461425781</v>
      </c>
      <c r="V340" s="11">
        <v>44687</v>
      </c>
      <c r="W340" s="12">
        <v>4.7268962966839911E-3</v>
      </c>
      <c r="X340" s="12">
        <v>-2.2065386477730931E-3</v>
      </c>
      <c r="Y340" s="12">
        <v>-1.6140018026725711E-3</v>
      </c>
      <c r="Z340" s="12">
        <v>-8.9684045486372321E-3</v>
      </c>
      <c r="AA340" s="12">
        <v>9.9700492186571843E-3</v>
      </c>
      <c r="AB340" s="12">
        <v>-5.9688671279122252E-3</v>
      </c>
      <c r="AC340" s="12">
        <v>1.5280860198490176E-2</v>
      </c>
    </row>
    <row r="341" spans="12:29" x14ac:dyDescent="0.2">
      <c r="L341" s="11">
        <v>44687</v>
      </c>
      <c r="M341" s="10">
        <v>18.619358062744141</v>
      </c>
      <c r="N341" s="10">
        <v>78.847389221191406</v>
      </c>
      <c r="O341" s="10">
        <v>111.30647277832033</v>
      </c>
      <c r="P341" s="10">
        <v>154.052001953125</v>
      </c>
      <c r="Q341" s="10">
        <v>388.24005126953131</v>
      </c>
      <c r="R341" s="10">
        <v>156.14703369140625</v>
      </c>
      <c r="S341" s="10">
        <v>139.56938171386719</v>
      </c>
      <c r="V341" s="11">
        <v>44690</v>
      </c>
      <c r="W341" s="12">
        <v>-3.3189242579600209E-2</v>
      </c>
      <c r="X341" s="12">
        <v>5.443137723960989E-3</v>
      </c>
      <c r="Y341" s="12">
        <v>-1.5033831278314813E-2</v>
      </c>
      <c r="Z341" s="12">
        <v>-9.2369256577557679E-2</v>
      </c>
      <c r="AA341" s="12">
        <v>-2.499776151687283E-3</v>
      </c>
      <c r="AB341" s="12">
        <v>-3.2017434571229964E-2</v>
      </c>
      <c r="AC341" s="12">
        <v>-7.8852524290774273E-2</v>
      </c>
    </row>
    <row r="342" spans="12:29" x14ac:dyDescent="0.2">
      <c r="L342" s="11">
        <v>44690</v>
      </c>
      <c r="M342" s="10">
        <v>16.899501800537109</v>
      </c>
      <c r="N342" s="10">
        <v>72.630073547363281</v>
      </c>
      <c r="O342" s="10">
        <v>109.63311004638672</v>
      </c>
      <c r="P342" s="10">
        <v>148.93913269042969</v>
      </c>
      <c r="Q342" s="10">
        <v>375.80960083007812</v>
      </c>
      <c r="R342" s="10">
        <v>156.99696350097656</v>
      </c>
      <c r="S342" s="10">
        <v>139.22048950195312</v>
      </c>
      <c r="V342" s="11">
        <v>44691</v>
      </c>
      <c r="W342" s="12">
        <v>1.6111977665936639E-2</v>
      </c>
      <c r="X342" s="12">
        <v>-1.3532961031117452E-3</v>
      </c>
      <c r="Y342" s="12">
        <v>-2.4372381275743593E-2</v>
      </c>
      <c r="Z342" s="12">
        <v>3.8052726990772001E-2</v>
      </c>
      <c r="AA342" s="12">
        <v>-5.269645156036562E-3</v>
      </c>
      <c r="AB342" s="12">
        <v>2.3105227979078879E-3</v>
      </c>
      <c r="AC342" s="12">
        <v>6.6302028967299975E-3</v>
      </c>
    </row>
    <row r="343" spans="12:29" x14ac:dyDescent="0.2">
      <c r="L343" s="11">
        <v>44691</v>
      </c>
      <c r="M343" s="10">
        <v>17.542573928833008</v>
      </c>
      <c r="N343" s="10">
        <v>73.111625671386719</v>
      </c>
      <c r="O343" s="10">
        <v>106.96109008789062</v>
      </c>
      <c r="P343" s="10">
        <v>151.33883666992188</v>
      </c>
      <c r="Q343" s="10">
        <v>376.67791748046869</v>
      </c>
      <c r="R343" s="10">
        <v>156.78450012207031</v>
      </c>
      <c r="S343" s="10">
        <v>138.48684692382812</v>
      </c>
      <c r="V343" s="11">
        <v>44692</v>
      </c>
      <c r="W343" s="12">
        <v>-5.1841060553478702E-2</v>
      </c>
      <c r="X343" s="12">
        <v>-5.4212012442982349E-3</v>
      </c>
      <c r="Y343" s="12">
        <v>-6.3083807502694045E-3</v>
      </c>
      <c r="Z343" s="12">
        <v>-5.4845080018061654E-2</v>
      </c>
      <c r="AA343" s="12">
        <v>-1.4083712488736633E-2</v>
      </c>
      <c r="AB343" s="12">
        <v>-1.5886031430654146E-2</v>
      </c>
      <c r="AC343" s="12">
        <v>2.0818465249564211E-2</v>
      </c>
    </row>
    <row r="344" spans="12:29" x14ac:dyDescent="0.2">
      <c r="L344" s="11">
        <v>44692</v>
      </c>
      <c r="M344" s="10">
        <v>16.580450057983398</v>
      </c>
      <c r="N344" s="10">
        <v>74.633697509765625</v>
      </c>
      <c r="O344" s="10">
        <v>106.28633880615234</v>
      </c>
      <c r="P344" s="10">
        <v>143.49327087402344</v>
      </c>
      <c r="Q344" s="10">
        <v>370.69400024414062</v>
      </c>
      <c r="R344" s="10">
        <v>155.93453979492188</v>
      </c>
      <c r="S344" s="10">
        <v>136.53643798828125</v>
      </c>
      <c r="V344" s="11">
        <v>44693</v>
      </c>
      <c r="W344" s="12">
        <v>-2.6894371794905836E-2</v>
      </c>
      <c r="X344" s="12">
        <v>9.8791251008139014E-3</v>
      </c>
      <c r="Y344" s="12">
        <v>-8.4637585533953175E-4</v>
      </c>
      <c r="Z344" s="12">
        <v>-2.7360046916281799E-2</v>
      </c>
      <c r="AA344" s="12">
        <v>-4.0623366962999619E-3</v>
      </c>
      <c r="AB344" s="12">
        <v>-1.0438053294415939E-3</v>
      </c>
      <c r="AC344" s="12">
        <v>4.539791306580776E-3</v>
      </c>
    </row>
    <row r="345" spans="12:29" x14ac:dyDescent="0.2">
      <c r="L345" s="11">
        <v>44693</v>
      </c>
      <c r="M345" s="10">
        <v>16.126808166503906</v>
      </c>
      <c r="N345" s="10">
        <v>74.972518920898438</v>
      </c>
      <c r="O345" s="10">
        <v>106.19638061523438</v>
      </c>
      <c r="P345" s="10">
        <v>139.63410949707031</v>
      </c>
      <c r="Q345" s="10">
        <v>370.30706787109375</v>
      </c>
      <c r="R345" s="10">
        <v>157.47503662109375</v>
      </c>
      <c r="S345" s="10">
        <v>135.98178100585938</v>
      </c>
      <c r="V345" s="11">
        <v>44694</v>
      </c>
      <c r="W345" s="12">
        <v>3.1916408381498007E-2</v>
      </c>
      <c r="X345" s="12">
        <v>-5.7344352151549316E-3</v>
      </c>
      <c r="Y345" s="12">
        <v>8.8953007362688741E-3</v>
      </c>
      <c r="Z345" s="12">
        <v>9.4652074749748349E-2</v>
      </c>
      <c r="AA345" s="12">
        <v>1.0724214072687754E-2</v>
      </c>
      <c r="AB345" s="12">
        <v>2.3907754448533991E-2</v>
      </c>
      <c r="AC345" s="12">
        <v>2.9664087935866723E-2</v>
      </c>
    </row>
    <row r="346" spans="12:29" x14ac:dyDescent="0.2">
      <c r="L346" s="11">
        <v>44694</v>
      </c>
      <c r="M346" s="10">
        <v>17.653244018554688</v>
      </c>
      <c r="N346" s="10">
        <v>77.196510314941406</v>
      </c>
      <c r="O346" s="10">
        <v>107.14102935791016</v>
      </c>
      <c r="P346" s="10">
        <v>144.09072875976562</v>
      </c>
      <c r="Q346" s="10">
        <v>379.1602783203125</v>
      </c>
      <c r="R346" s="10">
        <v>156.57200622558594</v>
      </c>
      <c r="S346" s="10">
        <v>137.44007873535156</v>
      </c>
      <c r="V346" s="11">
        <v>44697</v>
      </c>
      <c r="W346" s="12">
        <v>-1.0672308863692415E-2</v>
      </c>
      <c r="X346" s="12">
        <v>6.9551002460457312E-3</v>
      </c>
      <c r="Y346" s="12">
        <v>-6.9694283826843284E-3</v>
      </c>
      <c r="Z346" s="12">
        <v>-2.4963091752865152E-2</v>
      </c>
      <c r="AA346" s="12">
        <v>9.764442578791499E-3</v>
      </c>
      <c r="AB346" s="12">
        <v>-4.0576050656759843E-3</v>
      </c>
      <c r="AC346" s="12">
        <v>2.3520055392698858E-2</v>
      </c>
    </row>
    <row r="347" spans="12:29" x14ac:dyDescent="0.2">
      <c r="L347" s="11">
        <v>44697</v>
      </c>
      <c r="M347" s="10">
        <v>17.212564468383789</v>
      </c>
      <c r="N347" s="10">
        <v>79.012176513671875</v>
      </c>
      <c r="O347" s="10">
        <v>106.39431762695312</v>
      </c>
      <c r="P347" s="10">
        <v>142.55294799804688</v>
      </c>
      <c r="Q347" s="10">
        <v>377.62179565429688</v>
      </c>
      <c r="R347" s="10">
        <v>157.66098022460938</v>
      </c>
      <c r="S347" s="10">
        <v>138.7821044921875</v>
      </c>
      <c r="V347" s="11">
        <v>44698</v>
      </c>
      <c r="W347" s="12">
        <v>2.5422725545499736E-2</v>
      </c>
      <c r="X347" s="12">
        <v>4.1553471725541691E-3</v>
      </c>
      <c r="Y347" s="12">
        <v>3.3147187198913297E-2</v>
      </c>
      <c r="Z347" s="12">
        <v>5.2884637227250009E-2</v>
      </c>
      <c r="AA347" s="12">
        <v>-2.836543662915858E-3</v>
      </c>
      <c r="AB347" s="12">
        <v>2.0570375849640499E-2</v>
      </c>
      <c r="AC347" s="12">
        <v>1.2754092104851456E-2</v>
      </c>
    </row>
    <row r="348" spans="12:29" x14ac:dyDescent="0.2">
      <c r="L348" s="11">
        <v>44698</v>
      </c>
      <c r="M348" s="10">
        <v>18.122844696044918</v>
      </c>
      <c r="N348" s="10">
        <v>80.019905090332031</v>
      </c>
      <c r="O348" s="10">
        <v>109.92098999023438</v>
      </c>
      <c r="P348" s="10">
        <v>146.17703247070312</v>
      </c>
      <c r="Q348" s="10">
        <v>385.38961791992188</v>
      </c>
      <c r="R348" s="10">
        <v>158.31611633300781</v>
      </c>
      <c r="S348" s="10">
        <v>138.38844299316406</v>
      </c>
      <c r="V348" s="11">
        <v>44699</v>
      </c>
      <c r="W348" s="12">
        <v>-5.6419207883874667E-2</v>
      </c>
      <c r="X348" s="12">
        <v>-1.8566311387362755E-2</v>
      </c>
      <c r="Y348" s="12">
        <v>-1.7105806366711218E-2</v>
      </c>
      <c r="Z348" s="12">
        <v>-6.8163117962361852E-2</v>
      </c>
      <c r="AA348" s="12">
        <v>-6.2322363325128083E-2</v>
      </c>
      <c r="AB348" s="12">
        <v>-4.031152840883756E-2</v>
      </c>
      <c r="AC348" s="12">
        <v>-1.5850510217556235E-2</v>
      </c>
    </row>
    <row r="349" spans="12:29" x14ac:dyDescent="0.2">
      <c r="L349" s="11">
        <v>44699</v>
      </c>
      <c r="M349" s="10">
        <v>16.887535095214844</v>
      </c>
      <c r="N349" s="10">
        <v>78.751548767089844</v>
      </c>
      <c r="O349" s="10">
        <v>108.04070281982422</v>
      </c>
      <c r="P349" s="10">
        <v>137.92984008789062</v>
      </c>
      <c r="Q349" s="10">
        <v>369.85397338867188</v>
      </c>
      <c r="R349" s="10">
        <v>155.37677001953125</v>
      </c>
      <c r="S349" s="10">
        <v>129.76374816894531</v>
      </c>
      <c r="V349" s="11">
        <v>44700</v>
      </c>
      <c r="W349" s="12">
        <v>-2.4641650911512603E-2</v>
      </c>
      <c r="X349" s="12">
        <v>-8.8886405391380707E-3</v>
      </c>
      <c r="Y349" s="12">
        <v>-1.4822283364631539E-2</v>
      </c>
      <c r="Z349" s="12">
        <v>1.0981222805867441E-2</v>
      </c>
      <c r="AA349" s="12">
        <v>-2.3028041330651172E-2</v>
      </c>
      <c r="AB349" s="12">
        <v>-6.1246557681398084E-3</v>
      </c>
      <c r="AC349" s="12">
        <v>5.4053802691558239E-3</v>
      </c>
    </row>
    <row r="350" spans="12:29" x14ac:dyDescent="0.2">
      <c r="L350" s="11">
        <v>44700</v>
      </c>
      <c r="M350" s="10">
        <v>17.072980880737305</v>
      </c>
      <c r="N350" s="10">
        <v>79.177230834960938</v>
      </c>
      <c r="O350" s="10">
        <v>106.43929290771484</v>
      </c>
      <c r="P350" s="10">
        <v>134.53102111816406</v>
      </c>
      <c r="Q350" s="10">
        <v>367.5887451171875</v>
      </c>
      <c r="R350" s="10">
        <v>153.99568176269531</v>
      </c>
      <c r="S350" s="10">
        <v>126.77554321289062</v>
      </c>
      <c r="V350" s="11">
        <v>44701</v>
      </c>
      <c r="W350" s="12">
        <v>1.7472672366125597E-3</v>
      </c>
      <c r="X350" s="12">
        <v>1.7477253115035341E-2</v>
      </c>
      <c r="Y350" s="12">
        <v>-8.198858149303323E-3</v>
      </c>
      <c r="Z350" s="12">
        <v>-2.5110938147786199E-2</v>
      </c>
      <c r="AA350" s="12">
        <v>6.3502288417383035E-4</v>
      </c>
      <c r="AB350" s="12">
        <v>4.3669035864057903E-4</v>
      </c>
      <c r="AC350" s="12">
        <v>7.900043149309921E-3</v>
      </c>
    </row>
    <row r="351" spans="12:29" x14ac:dyDescent="0.2">
      <c r="L351" s="11">
        <v>44701</v>
      </c>
      <c r="M351" s="10">
        <v>16.644262313842773</v>
      </c>
      <c r="N351" s="10">
        <v>79.802734375</v>
      </c>
      <c r="O351" s="10">
        <v>105.56661224365234</v>
      </c>
      <c r="P351" s="10">
        <v>134.76608276367188</v>
      </c>
      <c r="Q351" s="10">
        <v>367.749267578125</v>
      </c>
      <c r="R351" s="10">
        <v>156.68710327148438</v>
      </c>
      <c r="S351" s="10">
        <v>126.85604858398438</v>
      </c>
      <c r="V351" s="11">
        <v>44704</v>
      </c>
      <c r="W351" s="12">
        <v>4.0119428942157143E-2</v>
      </c>
      <c r="X351" s="12">
        <v>2.0415155026280996E-2</v>
      </c>
      <c r="Y351" s="12">
        <v>6.1871482529918254E-2</v>
      </c>
      <c r="Z351" s="12">
        <v>1.2219833935854574E-2</v>
      </c>
      <c r="AA351" s="12">
        <v>2.2991859881317911E-2</v>
      </c>
      <c r="AB351" s="12">
        <v>1.8709988906599584E-2</v>
      </c>
      <c r="AC351" s="12">
        <v>2.2098864387283035E-2</v>
      </c>
    </row>
    <row r="352" spans="12:29" x14ac:dyDescent="0.2">
      <c r="L352" s="11">
        <v>44704</v>
      </c>
      <c r="M352" s="10">
        <v>16.847652435302734</v>
      </c>
      <c r="N352" s="10">
        <v>81.5662841796875</v>
      </c>
      <c r="O352" s="10">
        <v>112.09817504882812</v>
      </c>
      <c r="P352" s="10">
        <v>140.17282104492188</v>
      </c>
      <c r="Q352" s="10">
        <v>374.62985229492188</v>
      </c>
      <c r="R352" s="10">
        <v>159.88589477539062</v>
      </c>
      <c r="S352" s="10">
        <v>129.772705078125</v>
      </c>
      <c r="V352" s="11">
        <v>44705</v>
      </c>
      <c r="W352" s="12">
        <v>-1.9215977242796556E-2</v>
      </c>
      <c r="X352" s="12">
        <v>1.0922782952396126E-2</v>
      </c>
      <c r="Y352" s="12">
        <v>1.4125295073849076E-2</v>
      </c>
      <c r="Z352" s="12">
        <v>-4.4028872564791488E-2</v>
      </c>
      <c r="AA352" s="12">
        <v>1.7786930273596679E-2</v>
      </c>
      <c r="AB352" s="12">
        <v>-7.6338371427983054E-3</v>
      </c>
      <c r="AC352" s="12">
        <v>5.4316430481704536E-3</v>
      </c>
    </row>
    <row r="353" spans="12:29" x14ac:dyDescent="0.2">
      <c r="L353" s="11">
        <v>44705</v>
      </c>
      <c r="M353" s="10">
        <v>16.105869293212891</v>
      </c>
      <c r="N353" s="10">
        <v>82.009323120117188</v>
      </c>
      <c r="O353" s="10">
        <v>113.6815948486328</v>
      </c>
      <c r="P353" s="10">
        <v>137.47926330566406</v>
      </c>
      <c r="Q353" s="10">
        <v>371.76998901367188</v>
      </c>
      <c r="R353" s="10">
        <v>161.63229370117188</v>
      </c>
      <c r="S353" s="10">
        <v>132.08096313476562</v>
      </c>
      <c r="V353" s="11">
        <v>44706</v>
      </c>
      <c r="W353" s="12">
        <v>1.1400867118520619E-3</v>
      </c>
      <c r="X353" s="12">
        <v>-9.8125752992570536E-3</v>
      </c>
      <c r="Y353" s="12">
        <v>6.964140872297131E-3</v>
      </c>
      <c r="Z353" s="12">
        <v>5.0823804605196088E-2</v>
      </c>
      <c r="AA353" s="12">
        <v>-1.6392450235430456E-2</v>
      </c>
      <c r="AB353" s="12">
        <v>8.8349692365696786E-3</v>
      </c>
      <c r="AC353" s="12">
        <v>2.0127403846601055E-2</v>
      </c>
    </row>
    <row r="354" spans="12:29" x14ac:dyDescent="0.2">
      <c r="L354" s="11">
        <v>44706</v>
      </c>
      <c r="M354" s="10">
        <v>16.924430847167969</v>
      </c>
      <c r="N354" s="10">
        <v>83.659957885742188</v>
      </c>
      <c r="O354" s="10">
        <v>114.47328948974609</v>
      </c>
      <c r="P354" s="10">
        <v>137.63600158691406</v>
      </c>
      <c r="Q354" s="10">
        <v>375.0545654296875</v>
      </c>
      <c r="R354" s="10">
        <v>160.0462646484375</v>
      </c>
      <c r="S354" s="10">
        <v>129.91583251953125</v>
      </c>
      <c r="V354" s="11">
        <v>44707</v>
      </c>
      <c r="W354" s="12">
        <v>2.3199598497269269E-2</v>
      </c>
      <c r="X354" s="12">
        <v>-8.9076034685409144E-4</v>
      </c>
      <c r="Y354" s="12">
        <v>1.7290175852257228E-2</v>
      </c>
      <c r="Z354" s="12">
        <v>5.160506671943943E-2</v>
      </c>
      <c r="AA354" s="12">
        <v>8.7461317400041594E-3</v>
      </c>
      <c r="AB354" s="12">
        <v>1.9981386171999072E-2</v>
      </c>
      <c r="AC354" s="12">
        <v>3.5305346470075882E-3</v>
      </c>
    </row>
    <row r="355" spans="12:29" x14ac:dyDescent="0.2">
      <c r="L355" s="11">
        <v>44707</v>
      </c>
      <c r="M355" s="10">
        <v>17.797817230224609</v>
      </c>
      <c r="N355" s="10">
        <v>83.955322265625</v>
      </c>
      <c r="O355" s="10">
        <v>116.45255279541016</v>
      </c>
      <c r="P355" s="10">
        <v>140.8291015625</v>
      </c>
      <c r="Q355" s="10">
        <v>382.54867553710938</v>
      </c>
      <c r="R355" s="10">
        <v>159.90370178222656</v>
      </c>
      <c r="S355" s="10">
        <v>131.05209350585938</v>
      </c>
      <c r="V355" s="11">
        <v>44708</v>
      </c>
      <c r="W355" s="12">
        <v>4.0756601529724268E-2</v>
      </c>
      <c r="X355" s="12">
        <v>9.0828248698953118E-3</v>
      </c>
      <c r="Y355" s="12">
        <v>1.4137950711588632E-2</v>
      </c>
      <c r="Z355" s="12">
        <v>5.377828875270052E-2</v>
      </c>
      <c r="AA355" s="12">
        <v>1.5292310880780757E-2</v>
      </c>
      <c r="AB355" s="12">
        <v>2.4549045479764997E-2</v>
      </c>
      <c r="AC355" s="12">
        <v>9.8301629051911199E-3</v>
      </c>
    </row>
    <row r="356" spans="12:29" x14ac:dyDescent="0.2">
      <c r="L356" s="11">
        <v>44708</v>
      </c>
      <c r="M356" s="10">
        <v>18.754953384399418</v>
      </c>
      <c r="N356" s="10">
        <v>84.780616760253906</v>
      </c>
      <c r="O356" s="10">
        <v>118.09895324707033</v>
      </c>
      <c r="P356" s="10">
        <v>146.56881713867188</v>
      </c>
      <c r="Q356" s="10">
        <v>391.93988037109375</v>
      </c>
      <c r="R356" s="10">
        <v>161.3560791015625</v>
      </c>
      <c r="S356" s="10">
        <v>133.05618286132812</v>
      </c>
      <c r="V356" s="11">
        <v>44712</v>
      </c>
      <c r="W356" s="12">
        <v>-5.3463971914523567E-3</v>
      </c>
      <c r="X356" s="12">
        <v>-8.6143896071276815E-3</v>
      </c>
      <c r="Y356" s="12">
        <v>7.3129137658880516E-3</v>
      </c>
      <c r="Z356" s="12">
        <v>-7.3891001899015762E-3</v>
      </c>
      <c r="AA356" s="12">
        <v>-5.6484139280296164E-3</v>
      </c>
      <c r="AB356" s="12">
        <v>-5.6109567435739249E-3</v>
      </c>
      <c r="AC356" s="12">
        <v>-1.629257138331941E-2</v>
      </c>
    </row>
    <row r="357" spans="12:29" x14ac:dyDescent="0.2">
      <c r="L357" s="11">
        <v>44712</v>
      </c>
      <c r="M357" s="10">
        <v>18.616371154785156</v>
      </c>
      <c r="N357" s="10">
        <v>83.399322509765625</v>
      </c>
      <c r="O357" s="10">
        <v>118.9626007080078</v>
      </c>
      <c r="P357" s="10">
        <v>145.78520202636719</v>
      </c>
      <c r="Q357" s="10">
        <v>389.74072265625</v>
      </c>
      <c r="R357" s="10">
        <v>159.96609497070312</v>
      </c>
      <c r="S357" s="10">
        <v>132.30462646484375</v>
      </c>
      <c r="V357" s="11">
        <v>44713</v>
      </c>
      <c r="W357" s="12">
        <v>-8.7312578087561654E-4</v>
      </c>
      <c r="X357" s="12">
        <v>-1.0137703511925111E-2</v>
      </c>
      <c r="Y357" s="12">
        <v>-1.7544915026077024E-2</v>
      </c>
      <c r="Z357" s="12">
        <v>-1.885180229377259E-2</v>
      </c>
      <c r="AA357" s="12">
        <v>-1.5147422658059573E-2</v>
      </c>
      <c r="AB357" s="12">
        <v>-8.0884665160757541E-3</v>
      </c>
      <c r="AC357" s="12">
        <v>1.9166859690086691E-2</v>
      </c>
    </row>
    <row r="358" spans="12:29" x14ac:dyDescent="0.2">
      <c r="L358" s="11">
        <v>44713</v>
      </c>
      <c r="M358" s="10">
        <v>18.265419006347656</v>
      </c>
      <c r="N358" s="10">
        <v>84.997825622558594</v>
      </c>
      <c r="O358" s="10">
        <v>116.87541198730467</v>
      </c>
      <c r="P358" s="10">
        <v>145.65791320800781</v>
      </c>
      <c r="Q358" s="10">
        <v>386.58831787109375</v>
      </c>
      <c r="R358" s="10">
        <v>158.34440612792969</v>
      </c>
      <c r="S358" s="10">
        <v>130.30055236816406</v>
      </c>
      <c r="V358" s="11">
        <v>44714</v>
      </c>
      <c r="W358" s="12">
        <v>1.6811202621624499E-2</v>
      </c>
      <c r="X358" s="12">
        <v>-3.1512174843086882E-3</v>
      </c>
      <c r="Y358" s="12">
        <v>1.6088027137897365E-2</v>
      </c>
      <c r="Z358" s="12">
        <v>6.9432058594410817E-2</v>
      </c>
      <c r="AA358" s="12">
        <v>1.0780060418927429E-2</v>
      </c>
      <c r="AB358" s="12">
        <v>1.90435126241284E-2</v>
      </c>
      <c r="AC358" s="12">
        <v>-1.7376614948519942E-3</v>
      </c>
    </row>
    <row r="359" spans="12:29" x14ac:dyDescent="0.2">
      <c r="L359" s="11">
        <v>44714</v>
      </c>
      <c r="M359" s="10">
        <v>19.533624649047852</v>
      </c>
      <c r="N359" s="10">
        <v>84.850128173828125</v>
      </c>
      <c r="O359" s="10">
        <v>118.75570678710938</v>
      </c>
      <c r="P359" s="10">
        <v>148.10659790039062</v>
      </c>
      <c r="Q359" s="10">
        <v>393.9503173828125</v>
      </c>
      <c r="R359" s="10">
        <v>157.84542846679688</v>
      </c>
      <c r="S359" s="10">
        <v>131.7052001953125</v>
      </c>
      <c r="V359" s="11">
        <v>44715</v>
      </c>
      <c r="W359" s="12">
        <v>-3.8555521694435213E-2</v>
      </c>
      <c r="X359" s="12">
        <v>-4.1208140550809125E-3</v>
      </c>
      <c r="Y359" s="12">
        <v>-1.3939502804527049E-2</v>
      </c>
      <c r="Z359" s="12">
        <v>-4.4507869892771779E-2</v>
      </c>
      <c r="AA359" s="12">
        <v>-8.9667624097600207E-3</v>
      </c>
      <c r="AB359" s="12">
        <v>-1.6411619088875007E-2</v>
      </c>
      <c r="AC359" s="12">
        <v>1.4538717702578419E-2</v>
      </c>
    </row>
    <row r="360" spans="12:29" x14ac:dyDescent="0.2">
      <c r="L360" s="11">
        <v>44715</v>
      </c>
      <c r="M360" s="10">
        <v>18.664224624633789</v>
      </c>
      <c r="N360" s="10">
        <v>86.083740234375</v>
      </c>
      <c r="O360" s="10">
        <v>117.10031127929688</v>
      </c>
      <c r="P360" s="10">
        <v>142.39627075195312</v>
      </c>
      <c r="Q360" s="10">
        <v>387.48495483398438</v>
      </c>
      <c r="R360" s="10">
        <v>157.19497680664062</v>
      </c>
      <c r="S360" s="10">
        <v>130.52423095703125</v>
      </c>
      <c r="V360" s="11">
        <v>44718</v>
      </c>
      <c r="W360" s="12">
        <v>5.227450851803539E-3</v>
      </c>
      <c r="X360" s="12">
        <v>-1.1327974466923685E-4</v>
      </c>
      <c r="Y360" s="12">
        <v>-3.3034995047096505E-3</v>
      </c>
      <c r="Z360" s="12">
        <v>3.5255480367799574E-3</v>
      </c>
      <c r="AA360" s="12">
        <v>-3.9070445810609478E-3</v>
      </c>
      <c r="AB360" s="12">
        <v>3.0448668346261254E-3</v>
      </c>
      <c r="AC360" s="12">
        <v>-2.5230502638975416E-3</v>
      </c>
    </row>
    <row r="361" spans="12:29" x14ac:dyDescent="0.2">
      <c r="L361" s="11">
        <v>44718</v>
      </c>
      <c r="M361" s="10">
        <v>18.730026245117188</v>
      </c>
      <c r="N361" s="10">
        <v>85.866546630859375</v>
      </c>
      <c r="O361" s="10">
        <v>116.71347045898438</v>
      </c>
      <c r="P361" s="10">
        <v>143.14064025878906</v>
      </c>
      <c r="Q361" s="10">
        <v>388.664794921875</v>
      </c>
      <c r="R361" s="10">
        <v>157.17716979980469</v>
      </c>
      <c r="S361" s="10">
        <v>130.01426696777344</v>
      </c>
      <c r="V361" s="11">
        <v>44719</v>
      </c>
      <c r="W361" s="12">
        <v>1.7586011524523659E-2</v>
      </c>
      <c r="X361" s="12">
        <v>1.0997534842807299E-2</v>
      </c>
      <c r="Y361" s="12">
        <v>2.6207573499783532E-3</v>
      </c>
      <c r="Z361" s="12">
        <v>7.4526004671318091E-3</v>
      </c>
      <c r="AA361" s="12">
        <v>1.1147669505076729E-2</v>
      </c>
      <c r="AB361" s="12">
        <v>9.5922758643216532E-3</v>
      </c>
      <c r="AC361" s="12">
        <v>4.5831696979928394E-2</v>
      </c>
    </row>
    <row r="362" spans="12:29" x14ac:dyDescent="0.2">
      <c r="L362" s="11">
        <v>44719</v>
      </c>
      <c r="M362" s="10">
        <v>18.869613647460938</v>
      </c>
      <c r="N362" s="10">
        <v>89.801956176757812</v>
      </c>
      <c r="O362" s="10">
        <v>117.01934814453124</v>
      </c>
      <c r="P362" s="10">
        <v>145.65791320800781</v>
      </c>
      <c r="Q362" s="10">
        <v>392.39297485351562</v>
      </c>
      <c r="R362" s="10">
        <v>158.90573120117188</v>
      </c>
      <c r="S362" s="10">
        <v>131.463623046875</v>
      </c>
      <c r="V362" s="11">
        <v>44720</v>
      </c>
      <c r="W362" s="12">
        <v>-5.0433503107165656E-3</v>
      </c>
      <c r="X362" s="12">
        <v>-5.9436073165031189E-3</v>
      </c>
      <c r="Y362" s="12">
        <v>-1.5914502319734791E-2</v>
      </c>
      <c r="Z362" s="12">
        <v>-1.4480580023757961E-2</v>
      </c>
      <c r="AA362" s="12">
        <v>-1.2454152931891005E-2</v>
      </c>
      <c r="AB362" s="12">
        <v>-1.0872276282665183E-2</v>
      </c>
      <c r="AC362" s="12">
        <v>1.180228030668462E-2</v>
      </c>
    </row>
    <row r="363" spans="12:29" x14ac:dyDescent="0.2">
      <c r="L363" s="11">
        <v>44720</v>
      </c>
      <c r="M363" s="10">
        <v>18.596370697021484</v>
      </c>
      <c r="N363" s="10">
        <v>90.861824035644517</v>
      </c>
      <c r="O363" s="10">
        <v>115.15704345703124</v>
      </c>
      <c r="P363" s="10">
        <v>144.92330932617188</v>
      </c>
      <c r="Q363" s="10">
        <v>388.12677001953131</v>
      </c>
      <c r="R363" s="10">
        <v>157.96125793457031</v>
      </c>
      <c r="S363" s="10">
        <v>129.82635498046875</v>
      </c>
      <c r="V363" s="11">
        <v>44721</v>
      </c>
      <c r="W363" s="12">
        <v>-3.5955885712889879E-2</v>
      </c>
      <c r="X363" s="12">
        <v>-2.0137557911888648E-2</v>
      </c>
      <c r="Y363" s="12">
        <v>-2.10156922044612E-2</v>
      </c>
      <c r="Z363" s="12">
        <v>-3.2174840771974633E-2</v>
      </c>
      <c r="AA363" s="12">
        <v>-1.8054958099738005E-2</v>
      </c>
      <c r="AB363" s="12">
        <v>-2.3782962568891897E-2</v>
      </c>
      <c r="AC363" s="12">
        <v>-2.1607983111885609E-2</v>
      </c>
    </row>
    <row r="364" spans="12:29" x14ac:dyDescent="0.2">
      <c r="L364" s="11">
        <v>44721</v>
      </c>
      <c r="M364" s="10">
        <v>17.998035430908203</v>
      </c>
      <c r="N364" s="10">
        <v>88.898483276367188</v>
      </c>
      <c r="O364" s="10">
        <v>112.7369384765625</v>
      </c>
      <c r="P364" s="10">
        <v>139.71246337890625</v>
      </c>
      <c r="Q364" s="10">
        <v>378.89596557617188</v>
      </c>
      <c r="R364" s="10">
        <v>154.78030395507812</v>
      </c>
      <c r="S364" s="10">
        <v>127.48234558105467</v>
      </c>
      <c r="V364" s="11">
        <v>44722</v>
      </c>
      <c r="W364" s="12">
        <v>-3.862848720145351E-2</v>
      </c>
      <c r="X364" s="12">
        <v>-6.677851296994497E-3</v>
      </c>
      <c r="Y364" s="12">
        <v>-4.5965947911354221E-2</v>
      </c>
      <c r="Z364" s="12">
        <v>-5.9507824904087014E-2</v>
      </c>
      <c r="AA364" s="12">
        <v>-3.7899702478239039E-3</v>
      </c>
      <c r="AB364" s="12">
        <v>-2.8995551828363886E-2</v>
      </c>
      <c r="AC364" s="12">
        <v>-1.8274385171018981E-2</v>
      </c>
    </row>
    <row r="365" spans="12:29" x14ac:dyDescent="0.2">
      <c r="L365" s="11">
        <v>44722</v>
      </c>
      <c r="M365" s="10">
        <v>16.927011489868164</v>
      </c>
      <c r="N365" s="10">
        <v>87.273918151855469</v>
      </c>
      <c r="O365" s="10">
        <v>107.55487823486328</v>
      </c>
      <c r="P365" s="10">
        <v>134.31558227539062</v>
      </c>
      <c r="Q365" s="10">
        <v>367.90966796875</v>
      </c>
      <c r="R365" s="10">
        <v>153.7467041015625</v>
      </c>
      <c r="S365" s="10">
        <v>126.99919128417967</v>
      </c>
      <c r="V365" s="11">
        <v>44725</v>
      </c>
      <c r="W365" s="12">
        <v>-3.8285233773200478E-2</v>
      </c>
      <c r="X365" s="12">
        <v>-1.008411718048452E-2</v>
      </c>
      <c r="Y365" s="12">
        <v>-2.9778329146873728E-2</v>
      </c>
      <c r="Z365" s="12">
        <v>-7.8178648369413573E-2</v>
      </c>
      <c r="AA365" s="12">
        <v>-2.6770033806242544E-2</v>
      </c>
      <c r="AB365" s="12">
        <v>-3.7968211456457346E-2</v>
      </c>
      <c r="AC365" s="12">
        <v>-4.5888918310223126E-2</v>
      </c>
    </row>
    <row r="366" spans="12:29" x14ac:dyDescent="0.2">
      <c r="L366" s="11">
        <v>44725</v>
      </c>
      <c r="M366" s="10">
        <v>15.603680610656738</v>
      </c>
      <c r="N366" s="10">
        <v>83.269012451171875</v>
      </c>
      <c r="O366" s="10">
        <v>104.35207366943359</v>
      </c>
      <c r="P366" s="10">
        <v>129.17327880859375</v>
      </c>
      <c r="Q366" s="10">
        <v>353.9407958984375</v>
      </c>
      <c r="R366" s="10">
        <v>152.19630432128906</v>
      </c>
      <c r="S366" s="10">
        <v>123.59941864013672</v>
      </c>
      <c r="V366" s="11">
        <v>44726</v>
      </c>
      <c r="W366" s="12">
        <v>6.6729667473863774E-3</v>
      </c>
      <c r="X366" s="12">
        <v>-1.5338563355138279E-2</v>
      </c>
      <c r="Y366" s="12">
        <v>-1.6639280109463472E-2</v>
      </c>
      <c r="Z366" s="12">
        <v>1.2078981056000249E-2</v>
      </c>
      <c r="AA366" s="12">
        <v>-3.1198012545721965E-2</v>
      </c>
      <c r="AB366" s="12">
        <v>-3.0133820408673184E-3</v>
      </c>
      <c r="AC366" s="12">
        <v>2.6083364882343307E-3</v>
      </c>
    </row>
    <row r="367" spans="12:29" x14ac:dyDescent="0.2">
      <c r="L367" s="11">
        <v>44726</v>
      </c>
      <c r="M367" s="10">
        <v>15.792157173156738</v>
      </c>
      <c r="N367" s="10">
        <v>83.4862060546875</v>
      </c>
      <c r="O367" s="10">
        <v>102.61573028564452</v>
      </c>
      <c r="P367" s="10">
        <v>130.03524780273438</v>
      </c>
      <c r="Q367" s="10">
        <v>352.87423706054688</v>
      </c>
      <c r="R367" s="10">
        <v>149.86183166503906</v>
      </c>
      <c r="S367" s="10">
        <v>119.7433624267578</v>
      </c>
      <c r="V367" s="11">
        <v>44727</v>
      </c>
      <c r="W367" s="12">
        <v>2.0111617122291925E-2</v>
      </c>
      <c r="X367" s="12">
        <v>1.0702403794999649E-2</v>
      </c>
      <c r="Y367" s="12">
        <v>1.1835718962808439E-2</v>
      </c>
      <c r="Z367" s="12">
        <v>4.3634815698777141E-2</v>
      </c>
      <c r="AA367" s="12">
        <v>-9.9371761787604429E-3</v>
      </c>
      <c r="AB367" s="12">
        <v>1.4256442303858696E-2</v>
      </c>
      <c r="AC367" s="12">
        <v>-1.2591037827578977E-2</v>
      </c>
    </row>
    <row r="368" spans="12:29" x14ac:dyDescent="0.2">
      <c r="L368" s="11">
        <v>44727</v>
      </c>
      <c r="M368" s="10">
        <v>16.481245040893555</v>
      </c>
      <c r="N368" s="10">
        <v>82.435028076171875</v>
      </c>
      <c r="O368" s="10">
        <v>103.83026123046876</v>
      </c>
      <c r="P368" s="10">
        <v>132.65046691894531</v>
      </c>
      <c r="Q368" s="10">
        <v>357.90496826171875</v>
      </c>
      <c r="R368" s="10">
        <v>151.46571350097656</v>
      </c>
      <c r="S368" s="10">
        <v>118.55345153808594</v>
      </c>
      <c r="V368" s="11">
        <v>44728</v>
      </c>
      <c r="W368" s="12">
        <v>-3.9651603904165666E-2</v>
      </c>
      <c r="X368" s="12">
        <v>5.2919183551591864E-4</v>
      </c>
      <c r="Y368" s="12">
        <v>-1.7156064556140049E-2</v>
      </c>
      <c r="Z368" s="12">
        <v>-5.6029572780395331E-2</v>
      </c>
      <c r="AA368" s="12">
        <v>6.1128623277710847E-3</v>
      </c>
      <c r="AB368" s="12">
        <v>-3.3096062954527827E-2</v>
      </c>
      <c r="AC368" s="12">
        <v>-3.6884942457716452E-2</v>
      </c>
    </row>
    <row r="369" spans="12:29" x14ac:dyDescent="0.2">
      <c r="L369" s="11">
        <v>44728</v>
      </c>
      <c r="M369" s="10">
        <v>15.557807922363279</v>
      </c>
      <c r="N369" s="10">
        <v>79.394416809082031</v>
      </c>
      <c r="O369" s="10">
        <v>102.04894256591795</v>
      </c>
      <c r="P369" s="10">
        <v>127.39066314697266</v>
      </c>
      <c r="Q369" s="10">
        <v>346.05972290039062</v>
      </c>
      <c r="R369" s="10">
        <v>151.54586791992188</v>
      </c>
      <c r="S369" s="10">
        <v>119.27815246582033</v>
      </c>
      <c r="V369" s="11">
        <v>44729</v>
      </c>
      <c r="W369" s="12">
        <v>1.1533028386721655E-2</v>
      </c>
      <c r="X369" s="12">
        <v>-3.6451930231551355E-3</v>
      </c>
      <c r="Y369" s="12">
        <v>-3.5264540875772354E-3</v>
      </c>
      <c r="Z369" s="12">
        <v>1.7883545108285492E-2</v>
      </c>
      <c r="AA369" s="12">
        <v>-7.2005764861847732E-3</v>
      </c>
      <c r="AB369" s="12">
        <v>2.1557918055044034E-3</v>
      </c>
      <c r="AC369" s="12">
        <v>-5.7664981643481328E-2</v>
      </c>
    </row>
    <row r="370" spans="12:29" x14ac:dyDescent="0.2">
      <c r="L370" s="11">
        <v>44729</v>
      </c>
      <c r="M370" s="10">
        <v>15.836036682128906</v>
      </c>
      <c r="N370" s="10">
        <v>74.816139221191406</v>
      </c>
      <c r="O370" s="10">
        <v>101.68907165527344</v>
      </c>
      <c r="P370" s="10">
        <v>128.85986328125</v>
      </c>
      <c r="Q370" s="10">
        <v>346.80575561523438</v>
      </c>
      <c r="R370" s="10">
        <v>150.99345397949219</v>
      </c>
      <c r="S370" s="10">
        <v>118.41928100585938</v>
      </c>
      <c r="V370" s="11">
        <v>44733</v>
      </c>
      <c r="W370" s="12">
        <v>3.276131562494089E-2</v>
      </c>
      <c r="X370" s="12">
        <v>2.0948901354927996E-2</v>
      </c>
      <c r="Y370" s="12">
        <v>2.4772162696879318E-2</v>
      </c>
      <c r="Z370" s="12">
        <v>4.3198768970462931E-2</v>
      </c>
      <c r="AA370" s="12">
        <v>3.0295876957903145E-2</v>
      </c>
      <c r="AB370" s="12">
        <v>2.5173680240046403E-2</v>
      </c>
      <c r="AC370" s="12">
        <v>6.2238860504078009E-2</v>
      </c>
    </row>
    <row r="371" spans="12:29" x14ac:dyDescent="0.2">
      <c r="L371" s="11">
        <v>44733</v>
      </c>
      <c r="M371" s="10">
        <v>16.520133972167969</v>
      </c>
      <c r="N371" s="10">
        <v>79.472610473632812</v>
      </c>
      <c r="O371" s="10">
        <v>104.2081298828125</v>
      </c>
      <c r="P371" s="10">
        <v>133.08148193359375</v>
      </c>
      <c r="Q371" s="10">
        <v>355.5361328125</v>
      </c>
      <c r="R371" s="10">
        <v>154.15660095214844</v>
      </c>
      <c r="S371" s="10">
        <v>122.00689697265624</v>
      </c>
      <c r="V371" s="11">
        <v>44734</v>
      </c>
      <c r="W371" s="12">
        <v>-3.8276110836188426E-3</v>
      </c>
      <c r="X371" s="12">
        <v>1.5779475941686272E-2</v>
      </c>
      <c r="Y371" s="12">
        <v>-5.6117067073692128E-3</v>
      </c>
      <c r="Z371" s="12">
        <v>-1.2434842404865365E-2</v>
      </c>
      <c r="AA371" s="12">
        <v>1.5619426792218727E-2</v>
      </c>
      <c r="AB371" s="12">
        <v>-1.8131865113480972E-3</v>
      </c>
      <c r="AC371" s="12">
        <v>-3.9571516096274517E-2</v>
      </c>
    </row>
    <row r="372" spans="12:29" x14ac:dyDescent="0.2">
      <c r="L372" s="11">
        <v>44734</v>
      </c>
      <c r="M372" s="10">
        <v>16.314708709716797</v>
      </c>
      <c r="N372" s="10">
        <v>76.3277587890625</v>
      </c>
      <c r="O372" s="10">
        <v>103.62334442138672</v>
      </c>
      <c r="P372" s="10">
        <v>132.57209777832031</v>
      </c>
      <c r="Q372" s="10">
        <v>354.8914794921875</v>
      </c>
      <c r="R372" s="10">
        <v>156.589111328125</v>
      </c>
      <c r="S372" s="10">
        <v>123.91257476806641</v>
      </c>
      <c r="V372" s="11">
        <v>44735</v>
      </c>
      <c r="W372" s="12">
        <v>2.1573747057086923E-2</v>
      </c>
      <c r="X372" s="12">
        <v>2.2305398907683127E-2</v>
      </c>
      <c r="Y372" s="12">
        <v>-1.0939309249167972E-2</v>
      </c>
      <c r="Z372" s="12">
        <v>-8.2519582968867411E-3</v>
      </c>
      <c r="AA372" s="12">
        <v>2.7436803899942852E-2</v>
      </c>
      <c r="AB372" s="12">
        <v>9.8026637351660284E-3</v>
      </c>
      <c r="AC372" s="12">
        <v>-3.0161632364536062E-2</v>
      </c>
    </row>
    <row r="373" spans="12:29" x14ac:dyDescent="0.2">
      <c r="L373" s="11">
        <v>44735</v>
      </c>
      <c r="M373" s="10">
        <v>16.180080413818359</v>
      </c>
      <c r="N373" s="10">
        <v>74.025588989257812</v>
      </c>
      <c r="O373" s="10">
        <v>102.48977661132812</v>
      </c>
      <c r="P373" s="10">
        <v>135.43217468261719</v>
      </c>
      <c r="Q373" s="10">
        <v>358.370361328125</v>
      </c>
      <c r="R373" s="10">
        <v>160.08189392089844</v>
      </c>
      <c r="S373" s="10">
        <v>127.31233978271484</v>
      </c>
      <c r="V373" s="11">
        <v>44736</v>
      </c>
      <c r="W373" s="12">
        <v>2.4517211802179029E-2</v>
      </c>
      <c r="X373" s="12">
        <v>1.4638751394392635E-2</v>
      </c>
      <c r="Y373" s="12">
        <v>2.984537210593774E-2</v>
      </c>
      <c r="Z373" s="12">
        <v>5.5531389639211115E-2</v>
      </c>
      <c r="AA373" s="12">
        <v>1.4406292579715707E-2</v>
      </c>
      <c r="AB373" s="12">
        <v>3.1793788341729856E-2</v>
      </c>
      <c r="AC373" s="12">
        <v>1.9833382151450474E-2</v>
      </c>
    </row>
    <row r="374" spans="12:29" x14ac:dyDescent="0.2">
      <c r="L374" s="11">
        <v>44736</v>
      </c>
      <c r="M374" s="10">
        <v>17.078582763671875</v>
      </c>
      <c r="N374" s="10">
        <v>75.493766784667969</v>
      </c>
      <c r="O374" s="10">
        <v>105.54862213134766</v>
      </c>
      <c r="P374" s="10">
        <v>138.75259399414062</v>
      </c>
      <c r="Q374" s="10">
        <v>369.76431274414062</v>
      </c>
      <c r="R374" s="10">
        <v>162.42529296875</v>
      </c>
      <c r="S374" s="10">
        <v>129.14643859863281</v>
      </c>
      <c r="V374" s="11">
        <v>44739</v>
      </c>
      <c r="W374" s="12">
        <v>0</v>
      </c>
      <c r="X374" s="12">
        <v>-9.3238853799970656E-4</v>
      </c>
      <c r="Y374" s="12">
        <v>-8.0121615076083064E-3</v>
      </c>
      <c r="Z374" s="12">
        <v>-1.500654002369417E-2</v>
      </c>
      <c r="AA374" s="12">
        <v>-7.6203891399796442E-3</v>
      </c>
      <c r="AB374" s="12">
        <v>-3.8196047237318842E-3</v>
      </c>
      <c r="AC374" s="12">
        <v>2.4510872481675161E-2</v>
      </c>
    </row>
    <row r="375" spans="12:29" x14ac:dyDescent="0.2">
      <c r="L375" s="11">
        <v>44739</v>
      </c>
      <c r="M375" s="10">
        <v>16.822292327880859</v>
      </c>
      <c r="N375" s="10">
        <v>77.344184875488281</v>
      </c>
      <c r="O375" s="10">
        <v>104.70294952392578</v>
      </c>
      <c r="P375" s="10">
        <v>138.75259399414062</v>
      </c>
      <c r="Q375" s="10">
        <v>368.35195922851562</v>
      </c>
      <c r="R375" s="10">
        <v>162.27384948730469</v>
      </c>
      <c r="S375" s="10">
        <v>128.16229248046875</v>
      </c>
      <c r="V375" s="11">
        <v>44740</v>
      </c>
      <c r="W375" s="12">
        <v>-2.9789658088546611E-2</v>
      </c>
      <c r="X375" s="12">
        <v>-2.8442716110978927E-2</v>
      </c>
      <c r="Y375" s="12">
        <v>-4.8117024474219061E-3</v>
      </c>
      <c r="Z375" s="12">
        <v>-5.2581452076855939E-2</v>
      </c>
      <c r="AA375" s="12">
        <v>-1.6265154340081023E-2</v>
      </c>
      <c r="AB375" s="12">
        <v>-2.0432957085810943E-2</v>
      </c>
      <c r="AC375" s="12">
        <v>2.7743195493791228E-2</v>
      </c>
    </row>
    <row r="376" spans="12:29" x14ac:dyDescent="0.2">
      <c r="L376" s="11">
        <v>44740</v>
      </c>
      <c r="M376" s="10">
        <v>15.937751770019531</v>
      </c>
      <c r="N376" s="10">
        <v>79.489959716796875</v>
      </c>
      <c r="O376" s="10">
        <v>104.19915008544922</v>
      </c>
      <c r="P376" s="10">
        <v>134.61920166015625</v>
      </c>
      <c r="Q376" s="10">
        <v>360.825439453125</v>
      </c>
      <c r="R376" s="10">
        <v>157.65834045410156</v>
      </c>
      <c r="S376" s="10">
        <v>126.07771301269533</v>
      </c>
      <c r="V376" s="11">
        <v>44741</v>
      </c>
      <c r="W376" s="12">
        <v>1.3023774472354699E-2</v>
      </c>
      <c r="X376" s="12">
        <v>2.8241542030782441E-4</v>
      </c>
      <c r="Y376" s="12">
        <v>-4.4896643924977608E-3</v>
      </c>
      <c r="Z376" s="12">
        <v>-2.7530908432914836E-2</v>
      </c>
      <c r="AA376" s="12">
        <v>9.0830654504756581E-3</v>
      </c>
      <c r="AB376" s="12">
        <v>-8.1422397781782951E-4</v>
      </c>
      <c r="AC376" s="12">
        <v>-3.6939763744914589E-2</v>
      </c>
    </row>
    <row r="377" spans="12:29" x14ac:dyDescent="0.2">
      <c r="L377" s="11">
        <v>44741</v>
      </c>
      <c r="M377" s="10">
        <v>15.498970985412598</v>
      </c>
      <c r="N377" s="10">
        <v>76.553619384765625</v>
      </c>
      <c r="O377" s="10">
        <v>103.73133087158205</v>
      </c>
      <c r="P377" s="10">
        <v>136.37245178222656</v>
      </c>
      <c r="Q377" s="10">
        <v>360.53164672851562</v>
      </c>
      <c r="R377" s="10">
        <v>157.70286560058594</v>
      </c>
      <c r="S377" s="10">
        <v>127.22288513183594</v>
      </c>
      <c r="V377" s="11">
        <v>44742</v>
      </c>
      <c r="W377" s="12">
        <v>-1.8027582140253684E-2</v>
      </c>
      <c r="X377" s="12">
        <v>2.9380133843368572E-3</v>
      </c>
      <c r="Y377" s="12">
        <v>-2.3330584785992481E-2</v>
      </c>
      <c r="Z377" s="12">
        <v>-2.4642980623312605E-2</v>
      </c>
      <c r="AA377" s="12">
        <v>1.1181409118772745E-2</v>
      </c>
      <c r="AB377" s="12">
        <v>-8.1244120803111164E-3</v>
      </c>
      <c r="AC377" s="12">
        <v>-2.8143510746822087E-2</v>
      </c>
    </row>
    <row r="378" spans="12:29" x14ac:dyDescent="0.2">
      <c r="L378" s="11">
        <v>44742</v>
      </c>
      <c r="M378" s="10">
        <v>15.117030143737791</v>
      </c>
      <c r="N378" s="10">
        <v>74.399131774902344</v>
      </c>
      <c r="O378" s="10">
        <v>101.31121826171876</v>
      </c>
      <c r="P378" s="10">
        <v>133.91398620605469</v>
      </c>
      <c r="Q378" s="10">
        <v>357.6025390625</v>
      </c>
      <c r="R378" s="10">
        <v>158.16619873046875</v>
      </c>
      <c r="S378" s="10">
        <v>128.64541625976562</v>
      </c>
      <c r="V378" s="11">
        <v>44743</v>
      </c>
      <c r="W378" s="12">
        <v>1.6164309169802271E-2</v>
      </c>
      <c r="X378" s="12">
        <v>1.1323534235421429E-2</v>
      </c>
      <c r="Y378" s="12">
        <v>1.2787497673028669E-2</v>
      </c>
      <c r="Z378" s="12">
        <v>-4.1955214554213027E-2</v>
      </c>
      <c r="AA378" s="12">
        <v>1.61345648972957E-2</v>
      </c>
      <c r="AB378" s="12">
        <v>1.0576450428062323E-2</v>
      </c>
      <c r="AC378" s="12">
        <v>2.2303113434320787E-2</v>
      </c>
    </row>
    <row r="379" spans="12:29" x14ac:dyDescent="0.2">
      <c r="L379" s="11">
        <v>44743</v>
      </c>
      <c r="M379" s="10">
        <v>14.482791900634766</v>
      </c>
      <c r="N379" s="10">
        <v>76.058464050292969</v>
      </c>
      <c r="O379" s="10">
        <v>102.6067352294922</v>
      </c>
      <c r="P379" s="10">
        <v>136.07861328125</v>
      </c>
      <c r="Q379" s="10">
        <v>361.38470458984375</v>
      </c>
      <c r="R379" s="10">
        <v>159.95719909667969</v>
      </c>
      <c r="S379" s="10">
        <v>130.72105407714844</v>
      </c>
      <c r="V379" s="11">
        <v>44747</v>
      </c>
      <c r="W379" s="12">
        <v>1.8930600059564595E-2</v>
      </c>
      <c r="X379" s="12">
        <v>-7.687336252039656E-3</v>
      </c>
      <c r="Y379" s="12">
        <v>-3.8036652893516099E-3</v>
      </c>
      <c r="Z379" s="12">
        <v>3.0365510827253139E-2</v>
      </c>
      <c r="AA379" s="12">
        <v>-9.650242472949766E-3</v>
      </c>
      <c r="AB379" s="12">
        <v>1.8887245189815882E-3</v>
      </c>
      <c r="AC379" s="12">
        <v>-3.1296496636869731E-2</v>
      </c>
    </row>
    <row r="380" spans="12:29" x14ac:dyDescent="0.2">
      <c r="L380" s="11">
        <v>44747</v>
      </c>
      <c r="M380" s="10">
        <v>14.922569274902344</v>
      </c>
      <c r="N380" s="10">
        <v>73.6781005859375</v>
      </c>
      <c r="O380" s="10">
        <v>102.21645355224609</v>
      </c>
      <c r="P380" s="10">
        <v>138.6546630859375</v>
      </c>
      <c r="Q380" s="10">
        <v>362.0672607421875</v>
      </c>
      <c r="R380" s="10">
        <v>158.72755432128906</v>
      </c>
      <c r="S380" s="10">
        <v>129.45956420898438</v>
      </c>
      <c r="V380" s="11">
        <v>44748</v>
      </c>
      <c r="W380" s="12">
        <v>9.6071563459900755E-3</v>
      </c>
      <c r="X380" s="12">
        <v>8.9835305784680131E-4</v>
      </c>
      <c r="Y380" s="12">
        <v>-6.4820754882457532E-3</v>
      </c>
      <c r="Z380" s="12">
        <v>1.1093374459528516E-2</v>
      </c>
      <c r="AA380" s="12">
        <v>9.3297448852946996E-3</v>
      </c>
      <c r="AB380" s="12">
        <v>3.3771288799431254E-3</v>
      </c>
      <c r="AC380" s="12">
        <v>-1.8040338253494603E-2</v>
      </c>
    </row>
    <row r="381" spans="12:29" x14ac:dyDescent="0.2">
      <c r="L381" s="11">
        <v>44748</v>
      </c>
      <c r="M381" s="10">
        <v>15.08811092376709</v>
      </c>
      <c r="N381" s="10">
        <v>72.348922729492188</v>
      </c>
      <c r="O381" s="10">
        <v>101.55387878417967</v>
      </c>
      <c r="P381" s="10">
        <v>139.98674011230469</v>
      </c>
      <c r="Q381" s="10">
        <v>363.29000854492188</v>
      </c>
      <c r="R381" s="10">
        <v>158.87014770507812</v>
      </c>
      <c r="S381" s="10">
        <v>130.66738891601562</v>
      </c>
      <c r="V381" s="11">
        <v>44749</v>
      </c>
      <c r="W381" s="12">
        <v>2.3999443655454034E-2</v>
      </c>
      <c r="X381" s="12">
        <v>1.1214291902370555E-3</v>
      </c>
      <c r="Y381" s="12">
        <v>2.5292787022937135E-2</v>
      </c>
      <c r="Z381" s="12">
        <v>4.8116333252870902E-2</v>
      </c>
      <c r="AA381" s="12">
        <v>-3.4238664981667277E-4</v>
      </c>
      <c r="AB381" s="12">
        <v>1.4977461480893295E-2</v>
      </c>
      <c r="AC381" s="12">
        <v>3.1940274080193509E-2</v>
      </c>
    </row>
    <row r="382" spans="12:29" x14ac:dyDescent="0.2">
      <c r="L382" s="11">
        <v>44749</v>
      </c>
      <c r="M382" s="10">
        <v>15.814095497131348</v>
      </c>
      <c r="N382" s="10">
        <v>74.659767150878906</v>
      </c>
      <c r="O382" s="10">
        <v>104.12245941162109</v>
      </c>
      <c r="P382" s="10">
        <v>143.34634399414062</v>
      </c>
      <c r="Q382" s="10">
        <v>368.73117065429688</v>
      </c>
      <c r="R382" s="10">
        <v>159.04830932617188</v>
      </c>
      <c r="S382" s="10">
        <v>130.62265014648438</v>
      </c>
      <c r="V382" s="11">
        <v>44750</v>
      </c>
      <c r="W382" s="12">
        <v>4.7145378720350184E-3</v>
      </c>
      <c r="X382" s="12">
        <v>-1.2325164845602421E-3</v>
      </c>
      <c r="Y382" s="12">
        <v>-3.1381482038629338E-3</v>
      </c>
      <c r="Z382" s="12">
        <v>-1.2612257626076762E-3</v>
      </c>
      <c r="AA382" s="12">
        <v>-6.7122357305414715E-3</v>
      </c>
      <c r="AB382" s="12">
        <v>-8.2275453849556257E-4</v>
      </c>
      <c r="AC382" s="12">
        <v>1.6290943872272479E-3</v>
      </c>
    </row>
    <row r="383" spans="12:29" x14ac:dyDescent="0.2">
      <c r="L383" s="11">
        <v>44750</v>
      </c>
      <c r="M383" s="10">
        <v>15.794150352478027</v>
      </c>
      <c r="N383" s="10">
        <v>74.781394958496094</v>
      </c>
      <c r="O383" s="10">
        <v>103.79570770263672</v>
      </c>
      <c r="P383" s="10">
        <v>144.02215576171875</v>
      </c>
      <c r="Q383" s="10">
        <v>368.42779541015625</v>
      </c>
      <c r="R383" s="10">
        <v>158.85227966308594</v>
      </c>
      <c r="S383" s="10">
        <v>129.74588012695312</v>
      </c>
      <c r="V383" s="11">
        <v>44753</v>
      </c>
      <c r="W383" s="12">
        <v>-1.4757640828611307E-2</v>
      </c>
      <c r="X383" s="12">
        <v>3.9267884489779803E-4</v>
      </c>
      <c r="Y383" s="12">
        <v>-1.3116338891726587E-2</v>
      </c>
      <c r="Z383" s="12">
        <v>-4.3313393151664381E-2</v>
      </c>
      <c r="AA383" s="12">
        <v>7.0333784702056867E-3</v>
      </c>
      <c r="AB383" s="12">
        <v>-1.1423597254022755E-2</v>
      </c>
      <c r="AC383" s="12">
        <v>-5.1117418150050664E-3</v>
      </c>
    </row>
    <row r="384" spans="12:29" x14ac:dyDescent="0.2">
      <c r="L384" s="11">
        <v>44753</v>
      </c>
      <c r="M384" s="10">
        <v>15.110052108764648</v>
      </c>
      <c r="N384" s="10">
        <v>74.399131774902344</v>
      </c>
      <c r="O384" s="10">
        <v>102.43428802490234</v>
      </c>
      <c r="P384" s="10">
        <v>141.896728515625</v>
      </c>
      <c r="Q384" s="10">
        <v>364.21902465820312</v>
      </c>
      <c r="R384" s="10">
        <v>158.91465759277344</v>
      </c>
      <c r="S384" s="10">
        <v>130.65843200683594</v>
      </c>
      <c r="V384" s="11">
        <v>44754</v>
      </c>
      <c r="W384" s="12">
        <v>6.8337078400368956E-3</v>
      </c>
      <c r="X384" s="12">
        <v>-1.401720329793732E-2</v>
      </c>
      <c r="Y384" s="12">
        <v>9.7458213813284011E-4</v>
      </c>
      <c r="Z384" s="12">
        <v>-4.6199712472287935E-3</v>
      </c>
      <c r="AA384" s="12">
        <v>-8.833293568447198E-3</v>
      </c>
      <c r="AB384" s="12">
        <v>-8.8488812774886183E-3</v>
      </c>
      <c r="AC384" s="12">
        <v>-1.3311397884438581E-2</v>
      </c>
    </row>
    <row r="385" spans="12:29" x14ac:dyDescent="0.2">
      <c r="L385" s="11">
        <v>44754</v>
      </c>
      <c r="M385" s="10">
        <v>15.040244102478027</v>
      </c>
      <c r="N385" s="10">
        <v>73.408775329589844</v>
      </c>
      <c r="O385" s="10">
        <v>102.53411865234376</v>
      </c>
      <c r="P385" s="10">
        <v>142.86640930175781</v>
      </c>
      <c r="Q385" s="10">
        <v>360.99609375</v>
      </c>
      <c r="R385" s="10">
        <v>156.68711853027344</v>
      </c>
      <c r="S385" s="10">
        <v>129.50428771972656</v>
      </c>
      <c r="V385" s="11">
        <v>44755</v>
      </c>
      <c r="W385" s="12">
        <v>-2.5365023396081154E-3</v>
      </c>
      <c r="X385" s="12">
        <v>-2.3317580203117139E-3</v>
      </c>
      <c r="Y385" s="12">
        <v>-9.3831160907165145E-3</v>
      </c>
      <c r="Z385" s="12">
        <v>5.43699672541198E-3</v>
      </c>
      <c r="AA385" s="12">
        <v>6.5630650793495615E-3</v>
      </c>
      <c r="AB385" s="12">
        <v>-5.2515318130174071E-3</v>
      </c>
      <c r="AC385" s="12">
        <v>4.0236607674108971E-3</v>
      </c>
    </row>
    <row r="386" spans="12:29" x14ac:dyDescent="0.2">
      <c r="L386" s="11">
        <v>44755</v>
      </c>
      <c r="M386" s="10">
        <v>15.122017860412598</v>
      </c>
      <c r="N386" s="10">
        <v>73.704147338867188</v>
      </c>
      <c r="O386" s="10">
        <v>101.57202911376952</v>
      </c>
      <c r="P386" s="10">
        <v>142.5040283203125</v>
      </c>
      <c r="Q386" s="10">
        <v>359.10031127929688</v>
      </c>
      <c r="R386" s="10">
        <v>156.32176208496094</v>
      </c>
      <c r="S386" s="10">
        <v>130.35423278808594</v>
      </c>
      <c r="V386" s="11">
        <v>44756</v>
      </c>
      <c r="W386" s="12">
        <v>2.0482284029457176E-2</v>
      </c>
      <c r="X386" s="12">
        <v>1.3680240413020961E-3</v>
      </c>
      <c r="Y386" s="12">
        <v>-3.4938578854793345E-2</v>
      </c>
      <c r="Z386" s="12">
        <v>1.3716887967995639E-2</v>
      </c>
      <c r="AA386" s="12">
        <v>-2.9513414363632196E-3</v>
      </c>
      <c r="AB386" s="12">
        <v>-2.4286566183951974E-3</v>
      </c>
      <c r="AC386" s="12">
        <v>-2.0037886041684994E-2</v>
      </c>
    </row>
    <row r="387" spans="12:29" x14ac:dyDescent="0.2">
      <c r="L387" s="11">
        <v>44756</v>
      </c>
      <c r="M387" s="10">
        <v>15.329444885253906</v>
      </c>
      <c r="N387" s="10">
        <v>72.227272033691406</v>
      </c>
      <c r="O387" s="10">
        <v>98.023246765136719</v>
      </c>
      <c r="P387" s="10">
        <v>145.42283630371094</v>
      </c>
      <c r="Q387" s="10">
        <v>358.22817993164062</v>
      </c>
      <c r="R387" s="10">
        <v>156.53561401367188</v>
      </c>
      <c r="S387" s="10">
        <v>129.96951293945312</v>
      </c>
      <c r="V387" s="11">
        <v>44757</v>
      </c>
      <c r="W387" s="12">
        <v>1.145005928902898E-2</v>
      </c>
      <c r="X387" s="12">
        <v>1.4514971558824419E-2</v>
      </c>
      <c r="Y387" s="12">
        <v>4.5833147508235195E-2</v>
      </c>
      <c r="Z387" s="12">
        <v>2.5370584010738328E-2</v>
      </c>
      <c r="AA387" s="12">
        <v>-1.3765482205134738E-3</v>
      </c>
      <c r="AB387" s="12">
        <v>1.9104954576088184E-2</v>
      </c>
      <c r="AC387" s="12">
        <v>1.6839279038822763E-2</v>
      </c>
    </row>
    <row r="388" spans="12:29" x14ac:dyDescent="0.2">
      <c r="L388" s="11">
        <v>44757</v>
      </c>
      <c r="M388" s="10">
        <v>15.718361854553224</v>
      </c>
      <c r="N388" s="10">
        <v>73.443527221679688</v>
      </c>
      <c r="O388" s="10">
        <v>102.51596069335938</v>
      </c>
      <c r="P388" s="10">
        <v>147.08793640136719</v>
      </c>
      <c r="Q388" s="10">
        <v>365.07211303710938</v>
      </c>
      <c r="R388" s="10">
        <v>158.80772399902344</v>
      </c>
      <c r="S388" s="10">
        <v>129.79060363769531</v>
      </c>
      <c r="V388" s="11">
        <v>44760</v>
      </c>
      <c r="W388" s="12">
        <v>-2.0643380322016958E-2</v>
      </c>
      <c r="X388" s="12">
        <v>-2.2442876726030514E-2</v>
      </c>
      <c r="Y388" s="12">
        <v>-1.0269873301812393E-2</v>
      </c>
      <c r="Z388" s="12">
        <v>2.150753642010983E-2</v>
      </c>
      <c r="AA388" s="12">
        <v>-1.2132203348782511E-2</v>
      </c>
      <c r="AB388" s="12">
        <v>-8.256759792096946E-3</v>
      </c>
      <c r="AC388" s="12">
        <v>1.8452711764223251E-2</v>
      </c>
    </row>
    <row r="389" spans="12:29" x14ac:dyDescent="0.2">
      <c r="L389" s="11">
        <v>44760</v>
      </c>
      <c r="M389" s="10">
        <v>16.056425094604492</v>
      </c>
      <c r="N389" s="10">
        <v>74.798759460449219</v>
      </c>
      <c r="O389" s="10">
        <v>101.463134765625</v>
      </c>
      <c r="P389" s="10">
        <v>144.05154418945312</v>
      </c>
      <c r="Q389" s="10">
        <v>362.05780029296869</v>
      </c>
      <c r="R389" s="10">
        <v>155.24362182617188</v>
      </c>
      <c r="S389" s="10">
        <v>128.21595764160156</v>
      </c>
      <c r="V389" s="11">
        <v>44761</v>
      </c>
      <c r="W389" s="12">
        <v>2.6722137940516699E-2</v>
      </c>
      <c r="X389" s="12">
        <v>-1.4578369313447137E-2</v>
      </c>
      <c r="Y389" s="12">
        <v>2.4778373913901364E-2</v>
      </c>
      <c r="Z389" s="12">
        <v>5.533825497663325E-2</v>
      </c>
      <c r="AA389" s="12">
        <v>5.0938019063020423E-3</v>
      </c>
      <c r="AB389" s="12">
        <v>2.7019254191914976E-2</v>
      </c>
      <c r="AC389" s="12">
        <v>2.5203225247431682E-2</v>
      </c>
    </row>
    <row r="390" spans="12:29" x14ac:dyDescent="0.2">
      <c r="L390" s="11">
        <v>44761</v>
      </c>
      <c r="M390" s="10">
        <v>16.94495964050293</v>
      </c>
      <c r="N390" s="10">
        <v>76.683929443359375</v>
      </c>
      <c r="O390" s="10">
        <v>103.97722625732422</v>
      </c>
      <c r="P390" s="10">
        <v>147.90090942382812</v>
      </c>
      <c r="Q390" s="10">
        <v>371.84033203125</v>
      </c>
      <c r="R390" s="10">
        <v>152.98042297363281</v>
      </c>
      <c r="S390" s="10">
        <v>128.86906433105469</v>
      </c>
      <c r="V390" s="11">
        <v>44762</v>
      </c>
      <c r="W390" s="12">
        <v>1.350967116531665E-2</v>
      </c>
      <c r="X390" s="12">
        <v>-5.7079163850993764E-3</v>
      </c>
      <c r="Y390" s="12">
        <v>-1.7441387362937544E-4</v>
      </c>
      <c r="Z390" s="12">
        <v>4.7963657070843491E-2</v>
      </c>
      <c r="AA390" s="12">
        <v>-1.728676939595386E-2</v>
      </c>
      <c r="AB390" s="12">
        <v>6.3730337255705205E-3</v>
      </c>
      <c r="AC390" s="12">
        <v>1.0989127973450863E-2</v>
      </c>
    </row>
    <row r="391" spans="12:29" x14ac:dyDescent="0.2">
      <c r="L391" s="11">
        <v>44762</v>
      </c>
      <c r="M391" s="10">
        <v>17.757701873779297</v>
      </c>
      <c r="N391" s="10">
        <v>77.526618957519531</v>
      </c>
      <c r="O391" s="10">
        <v>103.95909118652344</v>
      </c>
      <c r="P391" s="10">
        <v>149.89900207519531</v>
      </c>
      <c r="Q391" s="10">
        <v>374.2100830078125</v>
      </c>
      <c r="R391" s="10">
        <v>152.10722351074219</v>
      </c>
      <c r="S391" s="10">
        <v>126.64133453369141</v>
      </c>
      <c r="V391" s="11">
        <v>44763</v>
      </c>
      <c r="W391" s="12">
        <v>1.5094391863988088E-2</v>
      </c>
      <c r="X391" s="12">
        <v>3.5145712508974913E-3</v>
      </c>
      <c r="Y391" s="12">
        <v>6.809859236587279E-3</v>
      </c>
      <c r="Z391" s="12">
        <v>1.3646289264942046E-2</v>
      </c>
      <c r="AA391" s="12">
        <v>9.4565180000660831E-4</v>
      </c>
      <c r="AB391" s="12">
        <v>1.0183152728289402E-2</v>
      </c>
      <c r="AC391" s="12">
        <v>-1.6696535741675289E-2</v>
      </c>
    </row>
    <row r="392" spans="12:29" x14ac:dyDescent="0.2">
      <c r="L392" s="11">
        <v>44763</v>
      </c>
      <c r="M392" s="10">
        <v>18.000028610229492</v>
      </c>
      <c r="N392" s="10">
        <v>76.232192993164062</v>
      </c>
      <c r="O392" s="10">
        <v>104.6670379638672</v>
      </c>
      <c r="P392" s="10">
        <v>152.16163635253906</v>
      </c>
      <c r="Q392" s="10">
        <v>378.02072143554688</v>
      </c>
      <c r="R392" s="10">
        <v>152.64181518554688</v>
      </c>
      <c r="S392" s="10">
        <v>126.76109313964844</v>
      </c>
      <c r="V392" s="11">
        <v>44764</v>
      </c>
      <c r="W392" s="12">
        <v>-8.1108576809316713E-3</v>
      </c>
      <c r="X392" s="12">
        <v>4.7284289732008045E-3</v>
      </c>
      <c r="Y392" s="12">
        <v>-4.8561409872120986E-3</v>
      </c>
      <c r="Z392" s="12">
        <v>-4.0498775113251284E-2</v>
      </c>
      <c r="AA392" s="12">
        <v>1.5983190920400681E-2</v>
      </c>
      <c r="AB392" s="12">
        <v>-9.2779654254793176E-3</v>
      </c>
      <c r="AC392" s="12">
        <v>-7.6353800766340019E-3</v>
      </c>
    </row>
    <row r="393" spans="12:29" x14ac:dyDescent="0.2">
      <c r="L393" s="11">
        <v>44764</v>
      </c>
      <c r="M393" s="10">
        <v>17.271049499511719</v>
      </c>
      <c r="N393" s="10">
        <v>75.650131225585938</v>
      </c>
      <c r="O393" s="10">
        <v>104.15876007080078</v>
      </c>
      <c r="P393" s="10">
        <v>150.92747497558594</v>
      </c>
      <c r="Q393" s="10">
        <v>374.51345825195312</v>
      </c>
      <c r="R393" s="10">
        <v>153.36357116699219</v>
      </c>
      <c r="S393" s="10">
        <v>128.78713989257812</v>
      </c>
      <c r="V393" s="11">
        <v>44767</v>
      </c>
      <c r="W393" s="12">
        <v>-7.398306148010847E-3</v>
      </c>
      <c r="X393" s="12">
        <v>1.975457760474697E-3</v>
      </c>
      <c r="Y393" s="12">
        <v>4.0083364726097859E-3</v>
      </c>
      <c r="Z393" s="12">
        <v>-1.7033233778803392E-2</v>
      </c>
      <c r="AA393" s="12">
        <v>6.7825455196883766E-3</v>
      </c>
      <c r="AB393" s="12">
        <v>1.2149552434446154E-3</v>
      </c>
      <c r="AC393" s="12">
        <v>3.3302728403909132E-2</v>
      </c>
    </row>
    <row r="394" spans="12:29" x14ac:dyDescent="0.2">
      <c r="L394" s="11">
        <v>44767</v>
      </c>
      <c r="M394" s="10">
        <v>16.97686767578125</v>
      </c>
      <c r="N394" s="10">
        <v>78.169486999511719</v>
      </c>
      <c r="O394" s="10">
        <v>104.57626342773438</v>
      </c>
      <c r="P394" s="10">
        <v>149.81086730957031</v>
      </c>
      <c r="Q394" s="10">
        <v>374.96847534179688</v>
      </c>
      <c r="R394" s="10">
        <v>153.66653442382812</v>
      </c>
      <c r="S394" s="10">
        <v>129.66064453125</v>
      </c>
      <c r="V394" s="11">
        <v>44768</v>
      </c>
      <c r="W394" s="12">
        <v>-8.8262330279929024E-3</v>
      </c>
      <c r="X394" s="12">
        <v>7.0739939368602567E-3</v>
      </c>
      <c r="Y394" s="12">
        <v>-1.5621995152848678E-2</v>
      </c>
      <c r="Z394" s="12">
        <v>-2.8841556144368674E-2</v>
      </c>
      <c r="AA394" s="12">
        <v>1.9445856634467962E-3</v>
      </c>
      <c r="AB394" s="12">
        <v>-1.1831072713062496E-2</v>
      </c>
      <c r="AC394" s="12">
        <v>-3.8896796170071468E-3</v>
      </c>
    </row>
    <row r="395" spans="12:29" x14ac:dyDescent="0.2">
      <c r="L395" s="11">
        <v>44768</v>
      </c>
      <c r="M395" s="10">
        <v>16.487228393554688</v>
      </c>
      <c r="N395" s="10">
        <v>77.865432739257812</v>
      </c>
      <c r="O395" s="10">
        <v>102.94257354736328</v>
      </c>
      <c r="P395" s="10">
        <v>148.48860168457031</v>
      </c>
      <c r="Q395" s="10">
        <v>370.53219604492188</v>
      </c>
      <c r="R395" s="10">
        <v>154.75357055664062</v>
      </c>
      <c r="S395" s="10">
        <v>129.91278076171875</v>
      </c>
      <c r="V395" s="11">
        <v>44769</v>
      </c>
      <c r="W395" s="12">
        <v>3.423471915353149E-2</v>
      </c>
      <c r="X395" s="12">
        <v>-2.763576557913483E-3</v>
      </c>
      <c r="Y395" s="12">
        <v>1.6046304093956687E-2</v>
      </c>
      <c r="Z395" s="12">
        <v>7.6029586110964553E-2</v>
      </c>
      <c r="AA395" s="12">
        <v>9.4960467298192963E-3</v>
      </c>
      <c r="AB395" s="12">
        <v>2.5966266881322531E-2</v>
      </c>
      <c r="AC395" s="12">
        <v>2.1644569486628296E-2</v>
      </c>
    </row>
    <row r="396" spans="12:29" x14ac:dyDescent="0.2">
      <c r="L396" s="11">
        <v>44769</v>
      </c>
      <c r="M396" s="10">
        <v>17.740745544433594</v>
      </c>
      <c r="N396" s="10">
        <v>79.550796508789062</v>
      </c>
      <c r="O396" s="10">
        <v>104.59442138671876</v>
      </c>
      <c r="P396" s="10">
        <v>153.57206726074219</v>
      </c>
      <c r="Q396" s="10">
        <v>380.15353393554688</v>
      </c>
      <c r="R396" s="10">
        <v>154.32589721679688</v>
      </c>
      <c r="S396" s="10">
        <v>131.14643859863281</v>
      </c>
      <c r="V396" s="11">
        <v>44770</v>
      </c>
      <c r="W396" s="12">
        <v>3.571663129978031E-3</v>
      </c>
      <c r="X396" s="12">
        <v>5.7735382446852945E-3</v>
      </c>
      <c r="Y396" s="12">
        <v>-3.7313084453003409E-3</v>
      </c>
      <c r="Z396" s="12">
        <v>1.0904974164790637E-2</v>
      </c>
      <c r="AA396" s="12">
        <v>1.6616533716323989E-2</v>
      </c>
      <c r="AB396" s="12">
        <v>1.2542555831235536E-2</v>
      </c>
      <c r="AC396" s="12">
        <v>1.1685276576449244E-2</v>
      </c>
    </row>
    <row r="397" spans="12:29" x14ac:dyDescent="0.2">
      <c r="L397" s="11">
        <v>44770</v>
      </c>
      <c r="M397" s="10">
        <v>17.934207916259766</v>
      </c>
      <c r="N397" s="10">
        <v>80.480369567871094</v>
      </c>
      <c r="O397" s="10">
        <v>104.2041473388672</v>
      </c>
      <c r="P397" s="10">
        <v>154.12057495117188</v>
      </c>
      <c r="Q397" s="10">
        <v>384.921630859375</v>
      </c>
      <c r="R397" s="10">
        <v>155.21690368652344</v>
      </c>
      <c r="S397" s="10">
        <v>133.32563781738281</v>
      </c>
      <c r="V397" s="11">
        <v>44771</v>
      </c>
      <c r="W397" s="12">
        <v>3.2792908352759831E-2</v>
      </c>
      <c r="X397" s="12">
        <v>1.8368519591693833E-3</v>
      </c>
      <c r="Y397" s="12">
        <v>4.7905126324419012E-3</v>
      </c>
      <c r="Z397" s="12">
        <v>9.9534282210729241E-3</v>
      </c>
      <c r="AA397" s="12">
        <v>-6.1799144825215091E-2</v>
      </c>
      <c r="AB397" s="12">
        <v>1.4578559200933094E-2</v>
      </c>
      <c r="AC397" s="12">
        <v>4.6307974908432081E-2</v>
      </c>
    </row>
    <row r="398" spans="12:29" x14ac:dyDescent="0.2">
      <c r="L398" s="11">
        <v>44771</v>
      </c>
      <c r="M398" s="10">
        <v>18.112714767456055</v>
      </c>
      <c r="N398" s="10">
        <v>84.207252502441406</v>
      </c>
      <c r="O398" s="10">
        <v>104.70333862304688</v>
      </c>
      <c r="P398" s="10">
        <v>159.17463684082031</v>
      </c>
      <c r="Q398" s="10">
        <v>390.53323364257812</v>
      </c>
      <c r="R398" s="10">
        <v>155.50201416015625</v>
      </c>
      <c r="S398" s="10">
        <v>125.0862274169922</v>
      </c>
      <c r="V398" s="11">
        <v>44774</v>
      </c>
      <c r="W398" s="12">
        <v>-6.153186033797664E-3</v>
      </c>
      <c r="X398" s="12">
        <v>-3.4954440102914486E-3</v>
      </c>
      <c r="Y398" s="12">
        <v>-9.9689033754513101E-3</v>
      </c>
      <c r="Z398" s="12">
        <v>1.5305889812209594E-2</v>
      </c>
      <c r="AA398" s="12">
        <v>2.8723350140180237E-2</v>
      </c>
      <c r="AB398" s="12">
        <v>-2.9611643922912156E-3</v>
      </c>
      <c r="AC398" s="12">
        <v>-2.5275946020068663E-2</v>
      </c>
    </row>
    <row r="399" spans="12:29" x14ac:dyDescent="0.2">
      <c r="L399" s="11">
        <v>44774</v>
      </c>
      <c r="M399" s="10">
        <v>18.389945983886719</v>
      </c>
      <c r="N399" s="10">
        <v>82.078834533691406</v>
      </c>
      <c r="O399" s="10">
        <v>103.65956115722656</v>
      </c>
      <c r="P399" s="10">
        <v>158.19520568847656</v>
      </c>
      <c r="Q399" s="10">
        <v>389.37680053710938</v>
      </c>
      <c r="R399" s="10">
        <v>154.95846557617188</v>
      </c>
      <c r="S399" s="10">
        <v>128.67912292480469</v>
      </c>
      <c r="V399" s="11">
        <v>44775</v>
      </c>
      <c r="W399" s="12">
        <v>-9.2875984050513338E-3</v>
      </c>
      <c r="X399" s="12">
        <v>-5.6922660924410007E-3</v>
      </c>
      <c r="Y399" s="12">
        <v>-1.5585345435805253E-2</v>
      </c>
      <c r="Z399" s="12">
        <v>4.6091801094170215E-3</v>
      </c>
      <c r="AA399" s="12">
        <v>-6.6480179625203473E-3</v>
      </c>
      <c r="AB399" s="12">
        <v>-6.5973310497865478E-3</v>
      </c>
      <c r="AC399" s="12">
        <v>-4.3394656578025215E-3</v>
      </c>
    </row>
    <row r="400" spans="12:29" x14ac:dyDescent="0.2">
      <c r="L400" s="11">
        <v>44775</v>
      </c>
      <c r="M400" s="10">
        <v>18.474708557128903</v>
      </c>
      <c r="N400" s="10">
        <v>81.72265625</v>
      </c>
      <c r="O400" s="10">
        <v>102.0439910888672</v>
      </c>
      <c r="P400" s="10">
        <v>156.7259521484375</v>
      </c>
      <c r="Q400" s="10">
        <v>386.80795288085938</v>
      </c>
      <c r="R400" s="10">
        <v>154.07640075683594</v>
      </c>
      <c r="S400" s="10">
        <v>127.82366180419922</v>
      </c>
      <c r="V400" s="11">
        <v>44776</v>
      </c>
      <c r="W400" s="12">
        <v>3.8247848935157647E-2</v>
      </c>
      <c r="X400" s="12">
        <v>9.6575892510966099E-3</v>
      </c>
      <c r="Y400" s="12">
        <v>1.0495465084025435E-2</v>
      </c>
      <c r="Z400" s="12">
        <v>1.9809896027985996E-2</v>
      </c>
      <c r="AA400" s="12">
        <v>2.064121248389128E-2</v>
      </c>
      <c r="AB400" s="12">
        <v>1.5659424518791987E-2</v>
      </c>
      <c r="AC400" s="12">
        <v>-3.2422752557239143E-2</v>
      </c>
    </row>
    <row r="401" spans="12:29" x14ac:dyDescent="0.2">
      <c r="L401" s="11">
        <v>44776</v>
      </c>
      <c r="M401" s="10">
        <v>18.840690612792969</v>
      </c>
      <c r="N401" s="10">
        <v>79.072982788085938</v>
      </c>
      <c r="O401" s="10">
        <v>103.114990234375</v>
      </c>
      <c r="P401" s="10">
        <v>162.72038269042969</v>
      </c>
      <c r="Q401" s="10">
        <v>392.86514282226562</v>
      </c>
      <c r="R401" s="10">
        <v>155.56440734863281</v>
      </c>
      <c r="S401" s="10">
        <v>130.46209716796875</v>
      </c>
      <c r="V401" s="11">
        <v>44777</v>
      </c>
      <c r="W401" s="12">
        <v>-1.9263800793001273E-3</v>
      </c>
      <c r="X401" s="12">
        <v>-1.6037655066385548E-2</v>
      </c>
      <c r="Y401" s="12">
        <v>-1.1002414415225092E-2</v>
      </c>
      <c r="Z401" s="12">
        <v>1.7043317093793142E-2</v>
      </c>
      <c r="AA401" s="12">
        <v>-1.5877259834076174E-3</v>
      </c>
      <c r="AB401" s="12">
        <v>-6.7542347964677507E-4</v>
      </c>
      <c r="AC401" s="12">
        <v>-4.2078764183124062E-2</v>
      </c>
    </row>
    <row r="402" spans="12:29" x14ac:dyDescent="0.2">
      <c r="L402" s="11">
        <v>44777</v>
      </c>
      <c r="M402" s="10">
        <v>19.161798477172852</v>
      </c>
      <c r="N402" s="10">
        <v>75.745689392089844</v>
      </c>
      <c r="O402" s="10">
        <v>101.98047637939452</v>
      </c>
      <c r="P402" s="10">
        <v>162.40692138671875</v>
      </c>
      <c r="Q402" s="10">
        <v>392.59979248046869</v>
      </c>
      <c r="R402" s="10">
        <v>153.06951904296875</v>
      </c>
      <c r="S402" s="10">
        <v>130.25495910644531</v>
      </c>
      <c r="V402" s="11">
        <v>44778</v>
      </c>
      <c r="W402" s="12">
        <v>-1.3890167707990564E-3</v>
      </c>
      <c r="X402" s="12">
        <v>-3.9584056882855378E-3</v>
      </c>
      <c r="Y402" s="12">
        <v>3.0259856801766682E-2</v>
      </c>
      <c r="Z402" s="12">
        <v>-1.1761542880309839E-2</v>
      </c>
      <c r="AA402" s="12">
        <v>4.8392827459009524E-4</v>
      </c>
      <c r="AB402" s="12">
        <v>-1.6903606843837737E-3</v>
      </c>
      <c r="AC402" s="12">
        <v>1.4451449561695195E-2</v>
      </c>
    </row>
    <row r="403" spans="12:29" x14ac:dyDescent="0.2">
      <c r="L403" s="11">
        <v>44778</v>
      </c>
      <c r="M403" s="10">
        <v>18.936426162719727</v>
      </c>
      <c r="N403" s="10">
        <v>76.840324401855469</v>
      </c>
      <c r="O403" s="10">
        <v>105.06639099121094</v>
      </c>
      <c r="P403" s="10">
        <v>162.18133544921875</v>
      </c>
      <c r="Q403" s="10">
        <v>391.9361572265625</v>
      </c>
      <c r="R403" s="10">
        <v>152.46360778808594</v>
      </c>
      <c r="S403" s="10">
        <v>130.3179931640625</v>
      </c>
      <c r="V403" s="11">
        <v>44781</v>
      </c>
      <c r="W403" s="12">
        <v>-2.9028906219716877E-3</v>
      </c>
      <c r="X403" s="12">
        <v>-5.3179314551702328E-3</v>
      </c>
      <c r="Y403" s="12">
        <v>-1.2180365169147223E-2</v>
      </c>
      <c r="Z403" s="12">
        <v>-6.2983795254317965E-2</v>
      </c>
      <c r="AA403" s="12">
        <v>3.8004711656900447E-3</v>
      </c>
      <c r="AB403" s="12">
        <v>-1.1609469589731747E-3</v>
      </c>
      <c r="AC403" s="12">
        <v>5.6527180596159798E-3</v>
      </c>
    </row>
    <row r="404" spans="12:29" x14ac:dyDescent="0.2">
      <c r="L404" s="11">
        <v>44781</v>
      </c>
      <c r="M404" s="10">
        <v>17.743738174438477</v>
      </c>
      <c r="N404" s="10">
        <v>77.274681091308594</v>
      </c>
      <c r="O404" s="10">
        <v>103.78664398193359</v>
      </c>
      <c r="P404" s="10">
        <v>161.71054077148438</v>
      </c>
      <c r="Q404" s="10">
        <v>391.48114013671869</v>
      </c>
      <c r="R404" s="10">
        <v>151.65281677246094</v>
      </c>
      <c r="S404" s="10">
        <v>130.81326293945312</v>
      </c>
      <c r="V404" s="11">
        <v>44782</v>
      </c>
      <c r="W404" s="12">
        <v>3.0345743320681073E-4</v>
      </c>
      <c r="X404" s="12">
        <v>-1.1782202515231432E-4</v>
      </c>
      <c r="Y404" s="12">
        <v>9.00744608584092E-3</v>
      </c>
      <c r="Z404" s="12">
        <v>-3.9734687158067716E-2</v>
      </c>
      <c r="AA404" s="12">
        <v>-2.3403769378621542E-3</v>
      </c>
      <c r="AB404" s="12">
        <v>-3.9709062652837357E-3</v>
      </c>
      <c r="AC404" s="12">
        <v>1.8437392846180289E-2</v>
      </c>
    </row>
    <row r="405" spans="12:29" x14ac:dyDescent="0.2">
      <c r="L405" s="11">
        <v>44782</v>
      </c>
      <c r="M405" s="10">
        <v>17.0386962890625</v>
      </c>
      <c r="N405" s="10">
        <v>78.699424743652344</v>
      </c>
      <c r="O405" s="10">
        <v>104.72149658203124</v>
      </c>
      <c r="P405" s="10">
        <v>161.75961303710938</v>
      </c>
      <c r="Q405" s="10">
        <v>389.92660522460938</v>
      </c>
      <c r="R405" s="10">
        <v>151.63494873046875</v>
      </c>
      <c r="S405" s="10">
        <v>130.50711059570312</v>
      </c>
      <c r="V405" s="11">
        <v>44783</v>
      </c>
      <c r="W405" s="12">
        <v>2.6194411549467E-2</v>
      </c>
      <c r="X405" s="12">
        <v>2.8793823184551925E-3</v>
      </c>
      <c r="Y405" s="12">
        <v>2.6087683162592468E-2</v>
      </c>
      <c r="Z405" s="12">
        <v>5.9171399581605E-2</v>
      </c>
      <c r="AA405" s="12">
        <v>9.4530355385311626E-3</v>
      </c>
      <c r="AB405" s="12">
        <v>2.1003959031440145E-2</v>
      </c>
      <c r="AC405" s="12">
        <v>9.4933822031777471E-3</v>
      </c>
    </row>
    <row r="406" spans="12:29" x14ac:dyDescent="0.2">
      <c r="L406" s="11">
        <v>44783</v>
      </c>
      <c r="M406" s="10">
        <v>18.046899795532227</v>
      </c>
      <c r="N406" s="10">
        <v>79.446548461914062</v>
      </c>
      <c r="O406" s="10">
        <v>107.45343780517578</v>
      </c>
      <c r="P406" s="10">
        <v>165.99681091308594</v>
      </c>
      <c r="Q406" s="10">
        <v>398.11660766601562</v>
      </c>
      <c r="R406" s="10">
        <v>152.07156372070312</v>
      </c>
      <c r="S406" s="10">
        <v>131.74079895019531</v>
      </c>
      <c r="V406" s="11">
        <v>44784</v>
      </c>
      <c r="W406" s="12">
        <v>-4.431476471552287E-3</v>
      </c>
      <c r="X406" s="12">
        <v>-2.0682987091721006E-2</v>
      </c>
      <c r="Y406" s="12">
        <v>1.4781523354963078E-2</v>
      </c>
      <c r="Z406" s="12">
        <v>-8.5652023146189915E-3</v>
      </c>
      <c r="AA406" s="12">
        <v>-7.1088337475018193E-3</v>
      </c>
      <c r="AB406" s="12">
        <v>0</v>
      </c>
      <c r="AC406" s="12">
        <v>2.8927849200890643E-2</v>
      </c>
    </row>
    <row r="407" spans="12:29" x14ac:dyDescent="0.2">
      <c r="L407" s="11">
        <v>44784</v>
      </c>
      <c r="M407" s="10">
        <v>17.892324447631836</v>
      </c>
      <c r="N407" s="10">
        <v>81.744766235351562</v>
      </c>
      <c r="O407" s="10">
        <v>109.04176330566406</v>
      </c>
      <c r="P407" s="10">
        <v>165.26119995117188</v>
      </c>
      <c r="Q407" s="10">
        <v>398.11660766601562</v>
      </c>
      <c r="R407" s="10">
        <v>148.92626953125</v>
      </c>
      <c r="S407" s="10">
        <v>130.80427551269531</v>
      </c>
      <c r="V407" s="11">
        <v>44785</v>
      </c>
      <c r="W407" s="12">
        <v>2.142548888062823E-2</v>
      </c>
      <c r="X407" s="12">
        <v>-1.1008775381064373E-2</v>
      </c>
      <c r="Y407" s="12">
        <v>1.6563998488139386E-2</v>
      </c>
      <c r="Z407" s="12">
        <v>4.2748800706469359E-2</v>
      </c>
      <c r="AA407" s="12">
        <v>9.7067456924784246E-3</v>
      </c>
      <c r="AB407" s="12">
        <v>1.6929075461740162E-2</v>
      </c>
      <c r="AC407" s="12">
        <v>8.6918133921947138E-3</v>
      </c>
    </row>
    <row r="408" spans="12:29" x14ac:dyDescent="0.2">
      <c r="L408" s="11">
        <v>44785</v>
      </c>
      <c r="M408" s="10">
        <v>18.657199859619141</v>
      </c>
      <c r="N408" s="10">
        <v>82.455276489257812</v>
      </c>
      <c r="O408" s="10">
        <v>110.84793090820312</v>
      </c>
      <c r="P408" s="10">
        <v>168.802001953125</v>
      </c>
      <c r="Q408" s="10">
        <v>404.85635375976562</v>
      </c>
      <c r="R408" s="10">
        <v>147.28677368164062</v>
      </c>
      <c r="S408" s="10">
        <v>132.07395935058594</v>
      </c>
      <c r="V408" s="11">
        <v>44788</v>
      </c>
      <c r="W408" s="12">
        <v>6.3334070953251498E-3</v>
      </c>
      <c r="X408" s="12">
        <v>4.7791337989633309E-3</v>
      </c>
      <c r="Y408" s="12">
        <v>2.7021018565551724E-3</v>
      </c>
      <c r="Z408" s="12">
        <v>1.7264504721345331E-2</v>
      </c>
      <c r="AA408" s="12">
        <v>1.2885878839812293E-2</v>
      </c>
      <c r="AB408" s="12">
        <v>4.1206564014335534E-3</v>
      </c>
      <c r="AC408" s="12">
        <v>-1.7872089380247869E-2</v>
      </c>
    </row>
    <row r="409" spans="12:29" x14ac:dyDescent="0.2">
      <c r="L409" s="11">
        <v>44788</v>
      </c>
      <c r="M409" s="10">
        <v>18.979307174682617</v>
      </c>
      <c r="N409" s="10">
        <v>80.98162841796875</v>
      </c>
      <c r="O409" s="10">
        <v>111.14745330810548</v>
      </c>
      <c r="P409" s="10">
        <v>169.87109375</v>
      </c>
      <c r="Q409" s="10">
        <v>406.52462768554688</v>
      </c>
      <c r="R409" s="10">
        <v>147.99067687988281</v>
      </c>
      <c r="S409" s="10">
        <v>133.77584838867188</v>
      </c>
      <c r="V409" s="11">
        <v>44789</v>
      </c>
      <c r="W409" s="12">
        <v>-9.2358779635293153E-4</v>
      </c>
      <c r="X409" s="12">
        <v>8.9108693448833876E-3</v>
      </c>
      <c r="Y409" s="12">
        <v>9.5540878806950058E-3</v>
      </c>
      <c r="Z409" s="12">
        <v>-8.0390946375918926E-3</v>
      </c>
      <c r="AA409" s="12">
        <v>9.2219418569396971E-3</v>
      </c>
      <c r="AB409" s="12">
        <v>1.9587870249071493E-3</v>
      </c>
      <c r="AC409" s="12">
        <v>-9.315719816732404E-3</v>
      </c>
    </row>
    <row r="410" spans="12:29" x14ac:dyDescent="0.2">
      <c r="L410" s="11">
        <v>44789</v>
      </c>
      <c r="M410" s="10">
        <v>18.826730728149418</v>
      </c>
      <c r="N410" s="10">
        <v>80.227226257324219</v>
      </c>
      <c r="O410" s="10">
        <v>112.20936584472656</v>
      </c>
      <c r="P410" s="10">
        <v>169.71420288085938</v>
      </c>
      <c r="Q410" s="10">
        <v>407.3209228515625</v>
      </c>
      <c r="R410" s="10">
        <v>149.30940246582031</v>
      </c>
      <c r="S410" s="10">
        <v>135.009521484375</v>
      </c>
      <c r="V410" s="11">
        <v>44790</v>
      </c>
      <c r="W410" s="12">
        <v>8.7845328207336593E-3</v>
      </c>
      <c r="X410" s="12">
        <v>5.958013277473917E-5</v>
      </c>
      <c r="Y410" s="12">
        <v>-8.4123712069197332E-3</v>
      </c>
      <c r="Z410" s="12">
        <v>-2.8815083618278226E-2</v>
      </c>
      <c r="AA410" s="12">
        <v>-4.6022913242157459E-3</v>
      </c>
      <c r="AB410" s="12">
        <v>-7.0980255474375475E-3</v>
      </c>
      <c r="AC410" s="12">
        <v>8.0910705229393365E-3</v>
      </c>
    </row>
    <row r="411" spans="12:29" x14ac:dyDescent="0.2">
      <c r="L411" s="11">
        <v>44790</v>
      </c>
      <c r="M411" s="10">
        <v>18.284236907958984</v>
      </c>
      <c r="N411" s="10">
        <v>80.876350402832031</v>
      </c>
      <c r="O411" s="10">
        <v>111.26541900634766</v>
      </c>
      <c r="P411" s="10">
        <v>171.20506286621094</v>
      </c>
      <c r="Q411" s="10">
        <v>404.42974853515625</v>
      </c>
      <c r="R411" s="10">
        <v>149.31829833984375</v>
      </c>
      <c r="S411" s="10">
        <v>134.38816833496094</v>
      </c>
      <c r="V411" s="11">
        <v>44791</v>
      </c>
      <c r="W411" s="12">
        <v>-2.2917809519438226E-3</v>
      </c>
      <c r="X411" s="12">
        <v>-4.8333674646863223E-3</v>
      </c>
      <c r="Y411" s="12">
        <v>-7.7491564087528442E-3</v>
      </c>
      <c r="Z411" s="12">
        <v>2.3888700075921587E-2</v>
      </c>
      <c r="AA411" s="12">
        <v>3.5513870767795996E-3</v>
      </c>
      <c r="AB411" s="12">
        <v>2.9065779558861138E-3</v>
      </c>
      <c r="AC411" s="12">
        <v>2.3644266257885738E-2</v>
      </c>
    </row>
    <row r="412" spans="12:29" x14ac:dyDescent="0.2">
      <c r="L412" s="11">
        <v>44791</v>
      </c>
      <c r="M412" s="10">
        <v>18.721023559570312</v>
      </c>
      <c r="N412" s="10">
        <v>82.788612365722656</v>
      </c>
      <c r="O412" s="10">
        <v>110.40320587158205</v>
      </c>
      <c r="P412" s="10">
        <v>170.81269836425781</v>
      </c>
      <c r="Q412" s="10">
        <v>405.60525512695312</v>
      </c>
      <c r="R412" s="10">
        <v>148.59658813476562</v>
      </c>
      <c r="S412" s="10">
        <v>134.86543273925781</v>
      </c>
      <c r="V412" s="11">
        <v>44792</v>
      </c>
      <c r="W412" s="12">
        <v>-1.5101772934117519E-2</v>
      </c>
      <c r="X412" s="12">
        <v>1.5230387333641016E-2</v>
      </c>
      <c r="Y412" s="12">
        <v>-2.4745194951284466E-2</v>
      </c>
      <c r="Z412" s="12">
        <v>-4.9219537680709413E-2</v>
      </c>
      <c r="AA412" s="12">
        <v>-2.6689925407374915E-4</v>
      </c>
      <c r="AB412" s="12">
        <v>-1.3438169185726156E-2</v>
      </c>
      <c r="AC412" s="12">
        <v>-3.1785222539409963E-3</v>
      </c>
    </row>
    <row r="413" spans="12:29" x14ac:dyDescent="0.2">
      <c r="L413" s="11">
        <v>44792</v>
      </c>
      <c r="M413" s="10">
        <v>17.799583435058594</v>
      </c>
      <c r="N413" s="10">
        <v>82.525466918945312</v>
      </c>
      <c r="O413" s="10">
        <v>107.67125701904295</v>
      </c>
      <c r="P413" s="10">
        <v>168.23312377929688</v>
      </c>
      <c r="Q413" s="10">
        <v>400.1546630859375</v>
      </c>
      <c r="R413" s="10">
        <v>150.85977172851562</v>
      </c>
      <c r="S413" s="10">
        <v>134.82943725585938</v>
      </c>
      <c r="V413" s="11">
        <v>44795</v>
      </c>
      <c r="W413" s="12">
        <v>-2.3029523117955919E-2</v>
      </c>
      <c r="X413" s="12">
        <v>-3.5081309866764609E-3</v>
      </c>
      <c r="Y413" s="12">
        <v>-1.6521871419666323E-2</v>
      </c>
      <c r="Z413" s="12">
        <v>-4.5660744603470138E-2</v>
      </c>
      <c r="AA413" s="12">
        <v>-2.6714026487910658E-3</v>
      </c>
      <c r="AB413" s="12">
        <v>-2.0822332185400749E-2</v>
      </c>
      <c r="AC413" s="12">
        <v>-7.4421421979820046E-4</v>
      </c>
    </row>
    <row r="414" spans="12:29" x14ac:dyDescent="0.2">
      <c r="L414" s="11">
        <v>44795</v>
      </c>
      <c r="M414" s="10">
        <v>16.986841201782227</v>
      </c>
      <c r="N414" s="10">
        <v>82.46405029296875</v>
      </c>
      <c r="O414" s="10">
        <v>105.89232635498048</v>
      </c>
      <c r="P414" s="10">
        <v>164.35879516601562</v>
      </c>
      <c r="Q414" s="10">
        <v>391.822509765625</v>
      </c>
      <c r="R414" s="10">
        <v>150.33053588867188</v>
      </c>
      <c r="S414" s="10">
        <v>134.46925354003906</v>
      </c>
      <c r="V414" s="11">
        <v>44796</v>
      </c>
      <c r="W414" s="12">
        <v>-2.0290736094356054E-3</v>
      </c>
      <c r="X414" s="12">
        <v>-8.7116788343394314E-3</v>
      </c>
      <c r="Y414" s="12">
        <v>-9.8568257300560846E-3</v>
      </c>
      <c r="Z414" s="12">
        <v>8.6296907578118365E-3</v>
      </c>
      <c r="AA414" s="12">
        <v>-1.9286072620982475E-2</v>
      </c>
      <c r="AB414" s="12">
        <v>-2.4194578495300156E-3</v>
      </c>
      <c r="AC414" s="12">
        <v>4.2442459464240301E-2</v>
      </c>
    </row>
    <row r="415" spans="12:29" x14ac:dyDescent="0.2">
      <c r="L415" s="11">
        <v>44796</v>
      </c>
      <c r="M415" s="10">
        <v>17.133432388305664</v>
      </c>
      <c r="N415" s="10">
        <v>85.964027404785156</v>
      </c>
      <c r="O415" s="10">
        <v>104.84856414794922</v>
      </c>
      <c r="P415" s="10">
        <v>164.02529907226562</v>
      </c>
      <c r="Q415" s="10">
        <v>390.87451171875</v>
      </c>
      <c r="R415" s="10">
        <v>149.02090454101562</v>
      </c>
      <c r="S415" s="10">
        <v>131.87586975097656</v>
      </c>
      <c r="V415" s="11">
        <v>44797</v>
      </c>
      <c r="W415" s="12">
        <v>1.7941196115711655E-3</v>
      </c>
      <c r="X415" s="12">
        <v>-3.3106927399035868E-3</v>
      </c>
      <c r="Y415" s="12">
        <v>2.4236848173551095E-3</v>
      </c>
      <c r="Z415" s="12">
        <v>2.3862129325726844E-3</v>
      </c>
      <c r="AA415" s="12">
        <v>-4.3018220059966028E-3</v>
      </c>
      <c r="AB415" s="12">
        <v>3.201158385081504E-3</v>
      </c>
      <c r="AC415" s="12">
        <v>5.9182725644790768E-3</v>
      </c>
    </row>
    <row r="416" spans="12:29" x14ac:dyDescent="0.2">
      <c r="L416" s="11">
        <v>44797</v>
      </c>
      <c r="M416" s="10">
        <v>17.17431640625</v>
      </c>
      <c r="N416" s="10">
        <v>86.472785949707031</v>
      </c>
      <c r="O416" s="10">
        <v>105.10268402099609</v>
      </c>
      <c r="P416" s="10">
        <v>164.319580078125</v>
      </c>
      <c r="Q416" s="10">
        <v>392.12576293945312</v>
      </c>
      <c r="R416" s="10">
        <v>148.52754211425781</v>
      </c>
      <c r="S416" s="10">
        <v>131.30856323242188</v>
      </c>
      <c r="V416" s="11">
        <v>44798</v>
      </c>
      <c r="W416" s="12">
        <v>1.4922580391143025E-2</v>
      </c>
      <c r="X416" s="12">
        <v>9.3612006121697178E-3</v>
      </c>
      <c r="Y416" s="12">
        <v>2.3747934726280562E-2</v>
      </c>
      <c r="Z416" s="12">
        <v>4.0123216849572207E-2</v>
      </c>
      <c r="AA416" s="12">
        <v>-8.2320039956129687E-4</v>
      </c>
      <c r="AB416" s="12">
        <v>1.411771353138036E-2</v>
      </c>
      <c r="AC416" s="12">
        <v>5.173386896480503E-3</v>
      </c>
    </row>
    <row r="417" spans="12:29" x14ac:dyDescent="0.2">
      <c r="L417" s="11">
        <v>44798</v>
      </c>
      <c r="M417" s="10">
        <v>17.863405227661133</v>
      </c>
      <c r="N417" s="10">
        <v>86.920143127441406</v>
      </c>
      <c r="O417" s="10">
        <v>107.59865570068359</v>
      </c>
      <c r="P417" s="10">
        <v>166.77165222167969</v>
      </c>
      <c r="Q417" s="10">
        <v>397.66168212890625</v>
      </c>
      <c r="R417" s="10">
        <v>149.91793823242188</v>
      </c>
      <c r="S417" s="10">
        <v>131.20046997070312</v>
      </c>
      <c r="V417" s="11">
        <v>44799</v>
      </c>
      <c r="W417" s="12">
        <v>-3.7699183689863802E-2</v>
      </c>
      <c r="X417" s="12">
        <v>-1.7112429875475121E-2</v>
      </c>
      <c r="Y417" s="12">
        <v>-3.2728880618408618E-2</v>
      </c>
      <c r="Z417" s="12">
        <v>-9.2279177058008921E-2</v>
      </c>
      <c r="AA417" s="12">
        <v>-2.3404246905861292E-2</v>
      </c>
      <c r="AB417" s="12">
        <v>-3.3849227563044426E-2</v>
      </c>
      <c r="AC417" s="12">
        <v>-1.2311989759845599E-2</v>
      </c>
    </row>
    <row r="418" spans="12:29" x14ac:dyDescent="0.2">
      <c r="L418" s="11">
        <v>44799</v>
      </c>
      <c r="M418" s="10">
        <v>16.214984893798828</v>
      </c>
      <c r="N418" s="10">
        <v>85.849983215332031</v>
      </c>
      <c r="O418" s="10">
        <v>104.07707214355467</v>
      </c>
      <c r="P418" s="10">
        <v>160.4844970703125</v>
      </c>
      <c r="Q418" s="10">
        <v>384.20114135742188</v>
      </c>
      <c r="R418" s="10">
        <v>147.35247802734375</v>
      </c>
      <c r="S418" s="10">
        <v>128.12982177734375</v>
      </c>
      <c r="V418" s="11">
        <v>44802</v>
      </c>
      <c r="W418" s="12">
        <v>-1.3690310027694719E-2</v>
      </c>
      <c r="X418" s="12">
        <v>-7.7311623656969308E-3</v>
      </c>
      <c r="Y418" s="12">
        <v>-2.4419440842305962E-3</v>
      </c>
      <c r="Z418" s="12">
        <v>-2.8228962507242938E-2</v>
      </c>
      <c r="AA418" s="12">
        <v>-4.2166262797845855E-3</v>
      </c>
      <c r="AB418" s="12">
        <v>-6.6122546696243401E-3</v>
      </c>
      <c r="AC418" s="12">
        <v>2.2989854103019791E-2</v>
      </c>
    </row>
    <row r="419" spans="12:29" x14ac:dyDescent="0.2">
      <c r="L419" s="11">
        <v>44802</v>
      </c>
      <c r="M419" s="10">
        <v>15.75725269317627</v>
      </c>
      <c r="N419" s="10">
        <v>87.823661804199219</v>
      </c>
      <c r="O419" s="10">
        <v>103.82292175292967</v>
      </c>
      <c r="P419" s="10">
        <v>158.28741455078125</v>
      </c>
      <c r="Q419" s="10">
        <v>381.66070556640625</v>
      </c>
      <c r="R419" s="10">
        <v>146.21327209472656</v>
      </c>
      <c r="S419" s="10">
        <v>127.58954620361328</v>
      </c>
      <c r="V419" s="11">
        <v>44803</v>
      </c>
      <c r="W419" s="12">
        <v>-1.5305406340217709E-2</v>
      </c>
      <c r="X419" s="12">
        <v>-3.4972015395576816E-3</v>
      </c>
      <c r="Y419" s="12">
        <v>1.7496703109687317E-4</v>
      </c>
      <c r="Z419" s="12">
        <v>-2.1074611577772795E-2</v>
      </c>
      <c r="AA419" s="12">
        <v>-1.065691299810323E-2</v>
      </c>
      <c r="AB419" s="12">
        <v>-1.0977864042146068E-2</v>
      </c>
      <c r="AC419" s="12">
        <v>-3.8054253661839454E-2</v>
      </c>
    </row>
    <row r="420" spans="12:29" x14ac:dyDescent="0.2">
      <c r="L420" s="11">
        <v>44803</v>
      </c>
      <c r="M420" s="10">
        <v>15.425174713134766</v>
      </c>
      <c r="N420" s="10">
        <v>84.481597900390625</v>
      </c>
      <c r="O420" s="10">
        <v>103.84108734130859</v>
      </c>
      <c r="P420" s="10">
        <v>155.86476135253906</v>
      </c>
      <c r="Q420" s="10">
        <v>377.47088623046869</v>
      </c>
      <c r="R420" s="10">
        <v>145.70193481445312</v>
      </c>
      <c r="S420" s="10">
        <v>126.22983551025391</v>
      </c>
      <c r="V420" s="11">
        <v>44804</v>
      </c>
      <c r="W420" s="12">
        <v>-1.0635009970383025E-2</v>
      </c>
      <c r="X420" s="12">
        <v>-6.7103220724197277E-3</v>
      </c>
      <c r="Y420" s="12">
        <v>-5.9433566001468874E-3</v>
      </c>
      <c r="Z420" s="12">
        <v>-2.4178847798889014E-2</v>
      </c>
      <c r="AA420" s="12">
        <v>-1.5979803685625571E-2</v>
      </c>
      <c r="AB420" s="12">
        <v>-7.6089626246849118E-3</v>
      </c>
      <c r="AC420" s="12">
        <v>-7.4761775577946166E-3</v>
      </c>
    </row>
    <row r="421" spans="12:29" x14ac:dyDescent="0.2">
      <c r="L421" s="11">
        <v>44804</v>
      </c>
      <c r="M421" s="10">
        <v>15.052211761474609</v>
      </c>
      <c r="N421" s="10">
        <v>83.849998474121094</v>
      </c>
      <c r="O421" s="10">
        <v>103.2239227294922</v>
      </c>
      <c r="P421" s="10">
        <v>154.20713806152344</v>
      </c>
      <c r="Q421" s="10">
        <v>374.59872436523438</v>
      </c>
      <c r="R421" s="10">
        <v>144.72422790527344</v>
      </c>
      <c r="S421" s="10">
        <v>124.21270751953124</v>
      </c>
      <c r="V421" s="11">
        <v>44805</v>
      </c>
      <c r="W421" s="12">
        <v>4.7068513640102783E-3</v>
      </c>
      <c r="X421" s="12">
        <v>2.4792172022849224E-2</v>
      </c>
      <c r="Y421" s="12">
        <v>6.8582856495815747E-3</v>
      </c>
      <c r="Z421" s="12">
        <v>-7.6653060800380701E-2</v>
      </c>
      <c r="AA421" s="12">
        <v>1.2324572588780613E-2</v>
      </c>
      <c r="AB421" s="12">
        <v>3.1380421644222611E-3</v>
      </c>
      <c r="AC421" s="12">
        <v>-1.7993360925324997E-2</v>
      </c>
    </row>
    <row r="422" spans="12:29" x14ac:dyDescent="0.2">
      <c r="L422" s="11">
        <v>44805</v>
      </c>
      <c r="M422" s="10">
        <v>13.89841365814209</v>
      </c>
      <c r="N422" s="10">
        <v>82.341255187988281</v>
      </c>
      <c r="O422" s="10">
        <v>103.93186187744141</v>
      </c>
      <c r="P422" s="10">
        <v>154.93296813964844</v>
      </c>
      <c r="Q422" s="10">
        <v>375.77423095703131</v>
      </c>
      <c r="R422" s="10">
        <v>148.312255859375</v>
      </c>
      <c r="S422" s="10">
        <v>125.74357604980467</v>
      </c>
      <c r="V422" s="11">
        <v>44806</v>
      </c>
      <c r="W422" s="12">
        <v>-1.3611016372673257E-2</v>
      </c>
      <c r="X422" s="12">
        <v>-1.5725027860678531E-2</v>
      </c>
      <c r="Y422" s="12">
        <v>-6.9863535898583295E-3</v>
      </c>
      <c r="Z422" s="12">
        <v>-2.0807911981321259E-2</v>
      </c>
      <c r="AA422" s="12">
        <v>-1.7760014251162914E-2</v>
      </c>
      <c r="AB422" s="12">
        <v>-1.0544635627776966E-2</v>
      </c>
      <c r="AC422" s="12">
        <v>1.8323054253767346E-2</v>
      </c>
    </row>
    <row r="423" spans="12:29" x14ac:dyDescent="0.2">
      <c r="L423" s="11">
        <v>44806</v>
      </c>
      <c r="M423" s="10">
        <v>13.609216690063477</v>
      </c>
      <c r="N423" s="10">
        <v>83.849998474121094</v>
      </c>
      <c r="O423" s="10">
        <v>103.20575714111328</v>
      </c>
      <c r="P423" s="10">
        <v>152.82417297363281</v>
      </c>
      <c r="Q423" s="10">
        <v>371.81182861328131</v>
      </c>
      <c r="R423" s="10">
        <v>145.98004150390625</v>
      </c>
      <c r="S423" s="10">
        <v>123.51036834716795</v>
      </c>
      <c r="V423" s="11">
        <v>44810</v>
      </c>
      <c r="W423" s="12">
        <v>-8.215378486413738E-3</v>
      </c>
      <c r="X423" s="12">
        <v>2.7033699775518283E-3</v>
      </c>
      <c r="Y423" s="12">
        <v>2.6376125171267972E-4</v>
      </c>
      <c r="Z423" s="12">
        <v>-1.3336161585413175E-2</v>
      </c>
      <c r="AA423" s="12">
        <v>-1.1154968039226554E-2</v>
      </c>
      <c r="AB423" s="12">
        <v>-3.7731265076706988E-3</v>
      </c>
      <c r="AC423" s="12">
        <v>-6.6953056339144057E-3</v>
      </c>
    </row>
    <row r="424" spans="12:29" x14ac:dyDescent="0.2">
      <c r="L424" s="11">
        <v>44810</v>
      </c>
      <c r="M424" s="10">
        <v>13.427721977233888</v>
      </c>
      <c r="N424" s="10">
        <v>83.288597106933594</v>
      </c>
      <c r="O424" s="10">
        <v>103.23297882080078</v>
      </c>
      <c r="P424" s="10">
        <v>151.56866455078125</v>
      </c>
      <c r="Q424" s="10">
        <v>370.408935546875</v>
      </c>
      <c r="R424" s="10">
        <v>146.37467956542969</v>
      </c>
      <c r="S424" s="10">
        <v>122.1326141357422</v>
      </c>
      <c r="V424" s="11">
        <v>44811</v>
      </c>
      <c r="W424" s="12">
        <v>9.2540131059424269E-3</v>
      </c>
      <c r="X424" s="12">
        <v>5.4542928032252913E-3</v>
      </c>
      <c r="Y424" s="12">
        <v>1.8990827918772712E-2</v>
      </c>
      <c r="Z424" s="12">
        <v>1.8795045762471041E-2</v>
      </c>
      <c r="AA424" s="12">
        <v>1.5114598386848144E-2</v>
      </c>
      <c r="AB424" s="12">
        <v>1.7964813356226461E-2</v>
      </c>
      <c r="AC424" s="12">
        <v>-8.5307026242023021E-3</v>
      </c>
    </row>
    <row r="425" spans="12:29" x14ac:dyDescent="0.2">
      <c r="L425" s="11">
        <v>44811</v>
      </c>
      <c r="M425" s="10">
        <v>13.680096626281738</v>
      </c>
      <c r="N425" s="10">
        <v>82.578086853027344</v>
      </c>
      <c r="O425" s="10">
        <v>105.19345855712891</v>
      </c>
      <c r="P425" s="10">
        <v>152.97128295898438</v>
      </c>
      <c r="Q425" s="10">
        <v>377.06326293945312</v>
      </c>
      <c r="R425" s="10">
        <v>147.17304992675781</v>
      </c>
      <c r="S425" s="10">
        <v>123.97859954833984</v>
      </c>
      <c r="V425" s="11">
        <v>44812</v>
      </c>
      <c r="W425" s="12">
        <v>-9.6177344803446418E-3</v>
      </c>
      <c r="X425" s="12">
        <v>8.0453011897296811E-3</v>
      </c>
      <c r="Y425" s="12">
        <v>2.3295759613290334E-2</v>
      </c>
      <c r="Z425" s="12">
        <v>2.0125244159465705E-2</v>
      </c>
      <c r="AA425" s="12">
        <v>1.3073131815679595E-3</v>
      </c>
      <c r="AB425" s="12">
        <v>6.5363835971177231E-3</v>
      </c>
      <c r="AC425" s="12">
        <v>8.1792921535430718E-3</v>
      </c>
    </row>
    <row r="426" spans="12:29" x14ac:dyDescent="0.2">
      <c r="L426" s="11">
        <v>44812</v>
      </c>
      <c r="M426" s="10">
        <v>13.955411911010742</v>
      </c>
      <c r="N426" s="10">
        <v>83.253517150878906</v>
      </c>
      <c r="O426" s="10">
        <v>107.64402008056641</v>
      </c>
      <c r="P426" s="10">
        <v>151.50004577636719</v>
      </c>
      <c r="Q426" s="10">
        <v>379.52789306640625</v>
      </c>
      <c r="R426" s="10">
        <v>148.35710144042969</v>
      </c>
      <c r="S426" s="10">
        <v>124.14067840576172</v>
      </c>
      <c r="V426" s="11">
        <v>44813</v>
      </c>
      <c r="W426" s="12">
        <v>1.8839613254777232E-2</v>
      </c>
      <c r="X426" s="12">
        <v>1.9350530216253325E-3</v>
      </c>
      <c r="Y426" s="12">
        <v>4.8061831225865159E-3</v>
      </c>
      <c r="Z426" s="12">
        <v>2.8377653449561224E-2</v>
      </c>
      <c r="AA426" s="12">
        <v>1.5233139293090892E-2</v>
      </c>
      <c r="AB426" s="12">
        <v>1.5535401407323679E-2</v>
      </c>
      <c r="AC426" s="12">
        <v>1.6752617825636529E-2</v>
      </c>
    </row>
    <row r="427" spans="12:29" x14ac:dyDescent="0.2">
      <c r="L427" s="11">
        <v>44813</v>
      </c>
      <c r="M427" s="10">
        <v>14.351433753967283</v>
      </c>
      <c r="N427" s="10">
        <v>84.648231506347656</v>
      </c>
      <c r="O427" s="10">
        <v>108.161376953125</v>
      </c>
      <c r="P427" s="10">
        <v>154.354248046875</v>
      </c>
      <c r="Q427" s="10">
        <v>385.42401123046869</v>
      </c>
      <c r="R427" s="10">
        <v>148.64418029785156</v>
      </c>
      <c r="S427" s="10">
        <v>126.03173065185548</v>
      </c>
      <c r="V427" s="11">
        <v>44816</v>
      </c>
      <c r="W427" s="12">
        <v>3.8508129888411791E-2</v>
      </c>
      <c r="X427" s="12">
        <v>-4.2262290016625847E-4</v>
      </c>
      <c r="Y427" s="12">
        <v>1.1831829857639198E-2</v>
      </c>
      <c r="Z427" s="12">
        <v>8.2017100762206141E-3</v>
      </c>
      <c r="AA427" s="12">
        <v>8.1451128082170587E-3</v>
      </c>
      <c r="AB427" s="12">
        <v>1.0747551738483185E-2</v>
      </c>
      <c r="AC427" s="12">
        <v>1.1502825638870284E-2</v>
      </c>
    </row>
    <row r="428" spans="12:29" x14ac:dyDescent="0.2">
      <c r="L428" s="11">
        <v>44816</v>
      </c>
      <c r="M428" s="10">
        <v>14.46914005279541</v>
      </c>
      <c r="N428" s="10">
        <v>85.621925354003906</v>
      </c>
      <c r="O428" s="10">
        <v>109.44112396240234</v>
      </c>
      <c r="P428" s="10">
        <v>160.29814147949219</v>
      </c>
      <c r="Q428" s="10">
        <v>389.56637573242188</v>
      </c>
      <c r="R428" s="10">
        <v>148.58135986328125</v>
      </c>
      <c r="S428" s="10">
        <v>127.05827331542967</v>
      </c>
      <c r="V428" s="11">
        <v>44817</v>
      </c>
      <c r="W428" s="12">
        <v>-5.8679529254712315E-2</v>
      </c>
      <c r="X428" s="12">
        <v>-2.6020218069905066E-2</v>
      </c>
      <c r="Y428" s="12">
        <v>-3.4748593327401767E-2</v>
      </c>
      <c r="Z428" s="12">
        <v>-9.4725986230022485E-2</v>
      </c>
      <c r="AA428" s="12">
        <v>-2.0694758704058791E-2</v>
      </c>
      <c r="AB428" s="12">
        <v>-4.3482450212141366E-2</v>
      </c>
      <c r="AC428" s="12">
        <v>-2.3358235680259409E-2</v>
      </c>
    </row>
    <row r="429" spans="12:29" x14ac:dyDescent="0.2">
      <c r="L429" s="11">
        <v>44817</v>
      </c>
      <c r="M429" s="10">
        <v>13.098536491394045</v>
      </c>
      <c r="N429" s="10">
        <v>83.6219482421875</v>
      </c>
      <c r="O429" s="10">
        <v>105.63819885253906</v>
      </c>
      <c r="P429" s="10">
        <v>150.89192199707031</v>
      </c>
      <c r="Q429" s="10">
        <v>372.6270751953125</v>
      </c>
      <c r="R429" s="10">
        <v>144.71524047851562</v>
      </c>
      <c r="S429" s="10">
        <v>124.4288330078125</v>
      </c>
      <c r="V429" s="11">
        <v>44818</v>
      </c>
      <c r="W429" s="12">
        <v>9.5554054651232345E-3</v>
      </c>
      <c r="X429" s="12">
        <v>2.0640953482148783E-2</v>
      </c>
      <c r="Y429" s="12">
        <v>-2.3199128136870417E-3</v>
      </c>
      <c r="Z429" s="12">
        <v>-2.2854337056421592E-4</v>
      </c>
      <c r="AA429" s="12">
        <v>2.3880480241258439E-3</v>
      </c>
      <c r="AB429" s="12">
        <v>3.815812362144344E-3</v>
      </c>
      <c r="AC429" s="12">
        <v>2.4545969452477223E-2</v>
      </c>
    </row>
    <row r="430" spans="12:29" x14ac:dyDescent="0.2">
      <c r="L430" s="11">
        <v>44818</v>
      </c>
      <c r="M430" s="10">
        <v>13.095542907714844</v>
      </c>
      <c r="N430" s="10">
        <v>85.674530029296875</v>
      </c>
      <c r="O430" s="10">
        <v>105.39312744140624</v>
      </c>
      <c r="P430" s="10">
        <v>152.33375549316406</v>
      </c>
      <c r="Q430" s="10">
        <v>374.0489501953125</v>
      </c>
      <c r="R430" s="10">
        <v>147.70230102539062</v>
      </c>
      <c r="S430" s="10">
        <v>124.72597503662109</v>
      </c>
      <c r="V430" s="11">
        <v>44819</v>
      </c>
      <c r="W430" s="12">
        <v>-1.8929927794742119E-2</v>
      </c>
      <c r="X430" s="12">
        <v>2.5506677914812759E-3</v>
      </c>
      <c r="Y430" s="12">
        <v>1.5070629345925735E-2</v>
      </c>
      <c r="Z430" s="12">
        <v>-1.5158314297049946E-2</v>
      </c>
      <c r="AA430" s="12">
        <v>-7.724758921275221E-3</v>
      </c>
      <c r="AB430" s="12">
        <v>-1.1353337843469591E-2</v>
      </c>
      <c r="AC430" s="12">
        <v>-2.907725807273176E-2</v>
      </c>
    </row>
    <row r="431" spans="12:29" x14ac:dyDescent="0.2">
      <c r="L431" s="11">
        <v>44819</v>
      </c>
      <c r="M431" s="10">
        <v>12.897036552429199</v>
      </c>
      <c r="N431" s="10">
        <v>83.183349609375</v>
      </c>
      <c r="O431" s="10">
        <v>106.98146820068359</v>
      </c>
      <c r="P431" s="10">
        <v>149.45008850097656</v>
      </c>
      <c r="Q431" s="10">
        <v>369.80224609375</v>
      </c>
      <c r="R431" s="10">
        <v>148.07904052734375</v>
      </c>
      <c r="S431" s="10">
        <v>123.7624969482422</v>
      </c>
      <c r="V431" s="11">
        <v>44820</v>
      </c>
      <c r="W431" s="12">
        <v>-1.0960082030874729E-2</v>
      </c>
      <c r="X431" s="12">
        <v>1.5265379759592079E-2</v>
      </c>
      <c r="Y431" s="12">
        <v>-6.7022647894152687E-3</v>
      </c>
      <c r="Z431" s="12">
        <v>2.0805895031938082E-2</v>
      </c>
      <c r="AA431" s="12">
        <v>6.111652974596149E-3</v>
      </c>
      <c r="AB431" s="12">
        <v>-7.6287705237305659E-3</v>
      </c>
      <c r="AC431" s="12">
        <v>-1.7083359014319677E-2</v>
      </c>
    </row>
    <row r="432" spans="12:29" x14ac:dyDescent="0.2">
      <c r="L432" s="11">
        <v>44820</v>
      </c>
      <c r="M432" s="10">
        <v>13.165370941162109</v>
      </c>
      <c r="N432" s="10">
        <v>81.762298583984375</v>
      </c>
      <c r="O432" s="10">
        <v>106.2644500732422</v>
      </c>
      <c r="P432" s="10">
        <v>147.81210327148438</v>
      </c>
      <c r="Q432" s="10">
        <v>366.98110961914062</v>
      </c>
      <c r="R432" s="10">
        <v>150.33952331542969</v>
      </c>
      <c r="S432" s="10">
        <v>124.51889038085938</v>
      </c>
      <c r="V432" s="11">
        <v>44823</v>
      </c>
      <c r="W432" s="12">
        <v>2.5082755119379518E-2</v>
      </c>
      <c r="X432" s="12">
        <v>-7.8759513556301286E-3</v>
      </c>
      <c r="Y432" s="12">
        <v>9.2244606554110486E-3</v>
      </c>
      <c r="Z432" s="12">
        <v>1.3941289797848366E-2</v>
      </c>
      <c r="AA432" s="12">
        <v>-2.0970605859712554E-3</v>
      </c>
      <c r="AB432" s="12">
        <v>7.7548575549903909E-3</v>
      </c>
      <c r="AC432" s="12">
        <v>-1.073086723696326E-4</v>
      </c>
    </row>
    <row r="433" spans="12:29" x14ac:dyDescent="0.2">
      <c r="L433" s="11">
        <v>44823</v>
      </c>
      <c r="M433" s="10">
        <v>13.348913192749023</v>
      </c>
      <c r="N433" s="10">
        <v>81.753524780273438</v>
      </c>
      <c r="O433" s="10">
        <v>107.24468231201172</v>
      </c>
      <c r="P433" s="10">
        <v>151.51963806152344</v>
      </c>
      <c r="Q433" s="10">
        <v>369.82699584960938</v>
      </c>
      <c r="R433" s="10">
        <v>149.15545654296875</v>
      </c>
      <c r="S433" s="10">
        <v>124.2577667236328</v>
      </c>
      <c r="V433" s="11">
        <v>44824</v>
      </c>
      <c r="W433" s="12">
        <v>1.5665573110791309E-2</v>
      </c>
      <c r="X433" s="12">
        <v>-7.8781166586121554E-3</v>
      </c>
      <c r="Y433" s="12">
        <v>-1.9719032281586668E-2</v>
      </c>
      <c r="Z433" s="12">
        <v>-1.5393699521695225E-2</v>
      </c>
      <c r="AA433" s="12">
        <v>-3.5512381441706875E-3</v>
      </c>
      <c r="AB433" s="12">
        <v>-1.1478656872377924E-2</v>
      </c>
      <c r="AC433" s="12">
        <v>-8.1542812636308248E-3</v>
      </c>
    </row>
    <row r="434" spans="12:29" x14ac:dyDescent="0.2">
      <c r="L434" s="11">
        <v>44824</v>
      </c>
      <c r="M434" s="10">
        <v>13.143424034118652</v>
      </c>
      <c r="N434" s="10">
        <v>81.086883544921875</v>
      </c>
      <c r="O434" s="10">
        <v>105.12992095947266</v>
      </c>
      <c r="P434" s="10">
        <v>153.89328002929688</v>
      </c>
      <c r="Q434" s="10">
        <v>365.58187866210938</v>
      </c>
      <c r="R434" s="10">
        <v>147.98039245605469</v>
      </c>
      <c r="S434" s="10">
        <v>123.81649780273438</v>
      </c>
      <c r="V434" s="11">
        <v>44825</v>
      </c>
      <c r="W434" s="12">
        <v>-2.0267808894904094E-2</v>
      </c>
      <c r="X434" s="12">
        <v>-1.0244437975785448E-2</v>
      </c>
      <c r="Y434" s="12">
        <v>-2.8835475426734591E-2</v>
      </c>
      <c r="Z434" s="12">
        <v>6.4512248293573382E-3</v>
      </c>
      <c r="AA434" s="12">
        <v>-1.2872672143160013E-2</v>
      </c>
      <c r="AB434" s="12">
        <v>-1.7443713939619743E-2</v>
      </c>
      <c r="AC434" s="12">
        <v>-1.6118691558887566E-2</v>
      </c>
    </row>
    <row r="435" spans="12:29" x14ac:dyDescent="0.2">
      <c r="L435" s="11">
        <v>44825</v>
      </c>
      <c r="M435" s="10">
        <v>13.228215217590332</v>
      </c>
      <c r="N435" s="10">
        <v>79.779869079589844</v>
      </c>
      <c r="O435" s="10">
        <v>102.09844970703124</v>
      </c>
      <c r="P435" s="10">
        <v>150.77420043945312</v>
      </c>
      <c r="Q435" s="10">
        <v>359.20477294921875</v>
      </c>
      <c r="R435" s="10">
        <v>146.46441650390625</v>
      </c>
      <c r="S435" s="10">
        <v>122.22264862060548</v>
      </c>
      <c r="V435" s="11">
        <v>44826</v>
      </c>
      <c r="W435" s="12">
        <v>-6.3748730156384381E-3</v>
      </c>
      <c r="X435" s="12">
        <v>1.7760857416823095E-2</v>
      </c>
      <c r="Y435" s="12">
        <v>-1.1378730987499086E-2</v>
      </c>
      <c r="Z435" s="12">
        <v>-5.2786470906593719E-2</v>
      </c>
      <c r="AA435" s="12">
        <v>3.5365241389073709E-3</v>
      </c>
      <c r="AB435" s="12">
        <v>-8.3998687557675922E-3</v>
      </c>
      <c r="AC435" s="12">
        <v>-4.1780040694633369E-3</v>
      </c>
    </row>
    <row r="436" spans="12:29" x14ac:dyDescent="0.2">
      <c r="L436" s="11">
        <v>44826</v>
      </c>
      <c r="M436" s="10">
        <v>12.52994441986084</v>
      </c>
      <c r="N436" s="10">
        <v>79.446548461914062</v>
      </c>
      <c r="O436" s="10">
        <v>100.93669891357422</v>
      </c>
      <c r="P436" s="10">
        <v>149.81303405761719</v>
      </c>
      <c r="Q436" s="10">
        <v>356.1875</v>
      </c>
      <c r="R436" s="10">
        <v>149.06575012207031</v>
      </c>
      <c r="S436" s="10">
        <v>122.65489196777344</v>
      </c>
      <c r="V436" s="11">
        <v>44827</v>
      </c>
      <c r="W436" s="12">
        <v>-1.5123933263578193E-2</v>
      </c>
      <c r="X436" s="12">
        <v>3.249609767377537E-3</v>
      </c>
      <c r="Y436" s="12">
        <v>-1.8613489443479625E-2</v>
      </c>
      <c r="Z436" s="12">
        <v>-3.5825737584349593E-3</v>
      </c>
      <c r="AA436" s="12">
        <v>-4.6251009695943424E-3</v>
      </c>
      <c r="AB436" s="12">
        <v>-1.6754669815976508E-2</v>
      </c>
      <c r="AC436" s="12">
        <v>-5.3218707223838035E-2</v>
      </c>
    </row>
    <row r="437" spans="12:29" x14ac:dyDescent="0.2">
      <c r="L437" s="11">
        <v>44827</v>
      </c>
      <c r="M437" s="10">
        <v>12.485054969787598</v>
      </c>
      <c r="N437" s="10">
        <v>75.218505859375</v>
      </c>
      <c r="O437" s="10">
        <v>99.057914733886719</v>
      </c>
      <c r="P437" s="10">
        <v>147.54727172851562</v>
      </c>
      <c r="Q437" s="10">
        <v>350.21969604492188</v>
      </c>
      <c r="R437" s="10">
        <v>149.55015563964844</v>
      </c>
      <c r="S437" s="10">
        <v>122.0876007080078</v>
      </c>
      <c r="V437" s="11">
        <v>44830</v>
      </c>
      <c r="W437" s="12">
        <v>2.2602660817994114E-3</v>
      </c>
      <c r="X437" s="12">
        <v>-6.1183038039596127E-3</v>
      </c>
      <c r="Y437" s="12">
        <v>-2.153188928380223E-2</v>
      </c>
      <c r="Z437" s="12">
        <v>-2.3010375640614589E-2</v>
      </c>
      <c r="AA437" s="12">
        <v>9.5892669200736691E-4</v>
      </c>
      <c r="AB437" s="12">
        <v>-9.8927335214999967E-3</v>
      </c>
      <c r="AC437" s="12">
        <v>-2.0641157759781925E-2</v>
      </c>
    </row>
    <row r="438" spans="12:29" x14ac:dyDescent="0.2">
      <c r="L438" s="11">
        <v>44830</v>
      </c>
      <c r="M438" s="10">
        <v>12.197769165039062</v>
      </c>
      <c r="N438" s="10">
        <v>73.665908813476562</v>
      </c>
      <c r="O438" s="10">
        <v>96.925010681152344</v>
      </c>
      <c r="P438" s="10">
        <v>147.88076782226562</v>
      </c>
      <c r="Q438" s="10">
        <v>346.75506591796875</v>
      </c>
      <c r="R438" s="10">
        <v>148.63516235351562</v>
      </c>
      <c r="S438" s="10">
        <v>122.20467376708984</v>
      </c>
      <c r="V438" s="11">
        <v>44831</v>
      </c>
      <c r="W438" s="12">
        <v>6.5661567428989542E-3</v>
      </c>
      <c r="X438" s="12">
        <v>-4.5863064336408854E-3</v>
      </c>
      <c r="Y438" s="12">
        <v>-8.8023957516263351E-3</v>
      </c>
      <c r="Z438" s="12">
        <v>1.5129213665869168E-2</v>
      </c>
      <c r="AA438" s="12">
        <v>-2.7485122469262158E-2</v>
      </c>
      <c r="AB438" s="12">
        <v>-2.5529660364339568E-3</v>
      </c>
      <c r="AC438" s="12">
        <v>2.0957195756466485E-2</v>
      </c>
    </row>
    <row r="439" spans="12:29" x14ac:dyDescent="0.2">
      <c r="L439" s="11">
        <v>44831</v>
      </c>
      <c r="M439" s="10">
        <v>12.382311820983888</v>
      </c>
      <c r="N439" s="10">
        <v>75.209739685058594</v>
      </c>
      <c r="O439" s="10">
        <v>96.071838378906236</v>
      </c>
      <c r="P439" s="10">
        <v>148.85177612304688</v>
      </c>
      <c r="Q439" s="10">
        <v>345.86981201171875</v>
      </c>
      <c r="R439" s="10">
        <v>147.95347595214844</v>
      </c>
      <c r="S439" s="10">
        <v>118.84586334228516</v>
      </c>
      <c r="V439" s="11">
        <v>44832</v>
      </c>
      <c r="W439" s="12">
        <v>-1.2651676294060055E-2</v>
      </c>
      <c r="X439" s="12">
        <v>8.6089725759748159E-3</v>
      </c>
      <c r="Y439" s="12">
        <v>2.0217389508913941E-2</v>
      </c>
      <c r="Z439" s="12">
        <v>2.6020974607193104E-2</v>
      </c>
      <c r="AA439" s="12">
        <v>0</v>
      </c>
      <c r="AB439" s="12">
        <v>1.9676511907835481E-2</v>
      </c>
      <c r="AC439" s="12">
        <v>3.6389223617911748E-2</v>
      </c>
    </row>
    <row r="440" spans="12:29" x14ac:dyDescent="0.2">
      <c r="L440" s="11">
        <v>44832</v>
      </c>
      <c r="M440" s="10">
        <v>12.704511642456056</v>
      </c>
      <c r="N440" s="10">
        <v>77.946563720703125</v>
      </c>
      <c r="O440" s="10">
        <v>98.01416015625</v>
      </c>
      <c r="P440" s="10">
        <v>146.96855163574219</v>
      </c>
      <c r="Q440" s="10">
        <v>352.67532348632812</v>
      </c>
      <c r="R440" s="10">
        <v>149.22720336914062</v>
      </c>
      <c r="S440" s="10">
        <v>118.84586334228516</v>
      </c>
      <c r="V440" s="11">
        <v>44833</v>
      </c>
      <c r="W440" s="12">
        <v>-4.9119104343757103E-2</v>
      </c>
      <c r="X440" s="12">
        <v>-1.1000072189954913E-2</v>
      </c>
      <c r="Y440" s="12">
        <v>-1.694601784459937E-2</v>
      </c>
      <c r="Z440" s="12">
        <v>-4.0514888325361764E-2</v>
      </c>
      <c r="AA440" s="12">
        <v>-2.4852341843437542E-2</v>
      </c>
      <c r="AB440" s="12">
        <v>-2.0888740631326286E-2</v>
      </c>
      <c r="AC440" s="12">
        <v>-2.0257204638876036E-3</v>
      </c>
    </row>
    <row r="441" spans="12:29" x14ac:dyDescent="0.2">
      <c r="L441" s="11">
        <v>44833</v>
      </c>
      <c r="M441" s="10">
        <v>12.189789772033691</v>
      </c>
      <c r="N441" s="10">
        <v>77.788665771484375</v>
      </c>
      <c r="O441" s="10">
        <v>96.353210449218764</v>
      </c>
      <c r="P441" s="10">
        <v>139.74958801269531</v>
      </c>
      <c r="Q441" s="10">
        <v>345.30838012695312</v>
      </c>
      <c r="R441" s="10">
        <v>147.585693359375</v>
      </c>
      <c r="S441" s="10">
        <v>115.89226531982422</v>
      </c>
      <c r="V441" s="11">
        <v>44834</v>
      </c>
      <c r="W441" s="12">
        <v>-3.0038993827569582E-2</v>
      </c>
      <c r="X441" s="12">
        <v>-7.1113263447646347E-3</v>
      </c>
      <c r="Y441" s="12">
        <v>-1.5636768354753694E-2</v>
      </c>
      <c r="Z441" s="12">
        <v>-6.628502867448538E-3</v>
      </c>
      <c r="AA441" s="12">
        <v>-1.9036576863116883E-2</v>
      </c>
      <c r="AB441" s="12">
        <v>-1.5463720270276871E-2</v>
      </c>
      <c r="AC441" s="12">
        <v>-1.5448930728734878E-2</v>
      </c>
    </row>
    <row r="442" spans="12:29" x14ac:dyDescent="0.2">
      <c r="L442" s="11">
        <v>44834</v>
      </c>
      <c r="M442" s="10">
        <v>12.108989715576172</v>
      </c>
      <c r="N442" s="10">
        <v>76.5869140625</v>
      </c>
      <c r="O442" s="10">
        <v>94.8465576171875</v>
      </c>
      <c r="P442" s="10">
        <v>135.55165100097656</v>
      </c>
      <c r="Q442" s="10">
        <v>339.9686279296875</v>
      </c>
      <c r="R442" s="10">
        <v>146.53616333007812</v>
      </c>
      <c r="S442" s="10">
        <v>113.68607330322266</v>
      </c>
      <c r="V442" s="11">
        <v>44837</v>
      </c>
      <c r="W442" s="12">
        <v>3.0752361143615126E-2</v>
      </c>
      <c r="X442" s="12">
        <v>-9.7934126205800887E-4</v>
      </c>
      <c r="Y442" s="12">
        <v>3.0909138295175165E-2</v>
      </c>
      <c r="Z442" s="12">
        <v>3.0727492904732756E-2</v>
      </c>
      <c r="AA442" s="12">
        <v>1.790080585536824E-2</v>
      </c>
      <c r="AB442" s="12">
        <v>2.6401307996379186E-2</v>
      </c>
      <c r="AC442" s="12">
        <v>5.2800645521198675E-2</v>
      </c>
    </row>
    <row r="443" spans="12:29" x14ac:dyDescent="0.2">
      <c r="L443" s="11">
        <v>44837</v>
      </c>
      <c r="M443" s="10">
        <v>12.48106861114502</v>
      </c>
      <c r="N443" s="10">
        <v>80.630752563476562</v>
      </c>
      <c r="O443" s="10">
        <v>97.778182983398438</v>
      </c>
      <c r="P443" s="10">
        <v>139.72018432617188</v>
      </c>
      <c r="Q443" s="10">
        <v>348.94424438476562</v>
      </c>
      <c r="R443" s="10">
        <v>146.39265441894531</v>
      </c>
      <c r="S443" s="10">
        <v>115.7211456298828</v>
      </c>
      <c r="V443" s="11">
        <v>44838</v>
      </c>
      <c r="W443" s="12">
        <v>2.5623090060154841E-2</v>
      </c>
      <c r="X443" s="12">
        <v>1.4828347207819448E-2</v>
      </c>
      <c r="Y443" s="12">
        <v>4.6783461462414744E-2</v>
      </c>
      <c r="Z443" s="12">
        <v>5.2349715744571146E-2</v>
      </c>
      <c r="AA443" s="12">
        <v>1.2372854023279034E-2</v>
      </c>
      <c r="AB443" s="12">
        <v>3.0986762962532222E-2</v>
      </c>
      <c r="AC443" s="12">
        <v>3.6444472284162366E-2</v>
      </c>
    </row>
    <row r="444" spans="12:29" x14ac:dyDescent="0.2">
      <c r="L444" s="11">
        <v>44838</v>
      </c>
      <c r="M444" s="10">
        <v>13.134449005126951</v>
      </c>
      <c r="N444" s="10">
        <v>83.569297790527344</v>
      </c>
      <c r="O444" s="10">
        <v>102.3525848388672</v>
      </c>
      <c r="P444" s="10">
        <v>143.30024719238281</v>
      </c>
      <c r="Q444" s="10">
        <v>359.75689697265625</v>
      </c>
      <c r="R444" s="10">
        <v>148.56341552734375</v>
      </c>
      <c r="S444" s="10">
        <v>117.15294647216795</v>
      </c>
      <c r="V444" s="11">
        <v>44839</v>
      </c>
      <c r="W444" s="12">
        <v>2.0532778920971939E-3</v>
      </c>
      <c r="X444" s="12">
        <v>-3.0791109350908341E-3</v>
      </c>
      <c r="Y444" s="12">
        <v>-1.2346784233648767E-2</v>
      </c>
      <c r="Z444" s="12">
        <v>3.189624401378266E-3</v>
      </c>
      <c r="AA444" s="12">
        <v>-6.9176647202808805E-3</v>
      </c>
      <c r="AB444" s="12">
        <v>-2.3284529330838133E-3</v>
      </c>
      <c r="AC444" s="12">
        <v>4.0411755227393487E-2</v>
      </c>
    </row>
    <row r="445" spans="12:29" x14ac:dyDescent="0.2">
      <c r="L445" s="11">
        <v>44839</v>
      </c>
      <c r="M445" s="10">
        <v>13.176342964172363</v>
      </c>
      <c r="N445" s="10">
        <v>86.946479797363281</v>
      </c>
      <c r="O445" s="10">
        <v>101.08885955810548</v>
      </c>
      <c r="P445" s="10">
        <v>143.594482421875</v>
      </c>
      <c r="Q445" s="10">
        <v>358.91921997070312</v>
      </c>
      <c r="R445" s="10">
        <v>148.10597229003906</v>
      </c>
      <c r="S445" s="10">
        <v>116.34252166748048</v>
      </c>
      <c r="V445" s="11">
        <v>44840</v>
      </c>
      <c r="W445" s="12">
        <v>-6.6258205633472622E-3</v>
      </c>
      <c r="X445" s="12">
        <v>-1.9381177512728054E-2</v>
      </c>
      <c r="Y445" s="12">
        <v>-2.0382313280556952E-2</v>
      </c>
      <c r="Z445" s="12">
        <v>-5.9806474871849646E-3</v>
      </c>
      <c r="AA445" s="12">
        <v>-2.1052908382951707E-2</v>
      </c>
      <c r="AB445" s="12">
        <v>-1.0315647434989916E-2</v>
      </c>
      <c r="AC445" s="12">
        <v>2.9660812079483456E-2</v>
      </c>
    </row>
    <row r="446" spans="12:29" x14ac:dyDescent="0.2">
      <c r="L446" s="11">
        <v>44840</v>
      </c>
      <c r="M446" s="10">
        <v>13.097539901733398</v>
      </c>
      <c r="N446" s="10">
        <v>89.525382995605469</v>
      </c>
      <c r="O446" s="10">
        <v>99.028434753417955</v>
      </c>
      <c r="P446" s="10">
        <v>142.64305114746094</v>
      </c>
      <c r="Q446" s="10">
        <v>355.21673583984375</v>
      </c>
      <c r="R446" s="10">
        <v>145.23550415039062</v>
      </c>
      <c r="S446" s="10">
        <v>113.89317321777344</v>
      </c>
      <c r="V446" s="11">
        <v>44841</v>
      </c>
      <c r="W446" s="12">
        <v>-3.6718510566945417E-2</v>
      </c>
      <c r="X446" s="12">
        <v>-1.0561396674186985E-2</v>
      </c>
      <c r="Y446" s="12">
        <v>-1.9973951943222601E-2</v>
      </c>
      <c r="Z446" s="12">
        <v>-8.027404864769061E-2</v>
      </c>
      <c r="AA446" s="12">
        <v>-1.7473030583849081E-2</v>
      </c>
      <c r="AB446" s="12">
        <v>-2.7893831323752671E-2</v>
      </c>
      <c r="AC446" s="12">
        <v>-1.0092062813275793E-2</v>
      </c>
    </row>
    <row r="447" spans="12:29" x14ac:dyDescent="0.2">
      <c r="L447" s="11">
        <v>44841</v>
      </c>
      <c r="M447" s="10">
        <v>12.046147346496582</v>
      </c>
      <c r="N447" s="10">
        <v>88.62188720703125</v>
      </c>
      <c r="O447" s="10">
        <v>97.050445556640625</v>
      </c>
      <c r="P447" s="10">
        <v>137.40541076660156</v>
      </c>
      <c r="Q447" s="10">
        <v>345.30838012695312</v>
      </c>
      <c r="R447" s="10">
        <v>143.70161437988281</v>
      </c>
      <c r="S447" s="10">
        <v>111.90311431884766</v>
      </c>
      <c r="V447" s="11">
        <v>44844</v>
      </c>
      <c r="W447" s="12">
        <v>2.3553578728086055E-3</v>
      </c>
      <c r="X447" s="12">
        <v>1.3110518581693764E-3</v>
      </c>
      <c r="Y447" s="12">
        <v>-9.3417006561642424E-3</v>
      </c>
      <c r="Z447" s="12">
        <v>-3.3620527291685964E-2</v>
      </c>
      <c r="AA447" s="12">
        <v>-4.1038046029399089E-3</v>
      </c>
      <c r="AB447" s="12">
        <v>-7.635484197395237E-3</v>
      </c>
      <c r="AC447" s="12">
        <v>-2.1676850454654728E-2</v>
      </c>
    </row>
    <row r="448" spans="12:29" x14ac:dyDescent="0.2">
      <c r="L448" s="11">
        <v>44844</v>
      </c>
      <c r="M448" s="10">
        <v>11.641149520874023</v>
      </c>
      <c r="N448" s="10">
        <v>86.700843811035156</v>
      </c>
      <c r="O448" s="10">
        <v>96.143829345703125</v>
      </c>
      <c r="P448" s="10">
        <v>137.72904968261719</v>
      </c>
      <c r="Q448" s="10">
        <v>342.67178344726562</v>
      </c>
      <c r="R448" s="10">
        <v>143.8900146484375</v>
      </c>
      <c r="S448" s="10">
        <v>111.44388580322266</v>
      </c>
      <c r="V448" s="11">
        <v>44845</v>
      </c>
      <c r="W448" s="12">
        <v>-1.0254579690193388E-2</v>
      </c>
      <c r="X448" s="12">
        <v>1.4462603086158543E-2</v>
      </c>
      <c r="Y448" s="12">
        <v>-2.8859689802158028E-2</v>
      </c>
      <c r="Z448" s="12">
        <v>-7.1978916375773361E-3</v>
      </c>
      <c r="AA448" s="12">
        <v>3.7975178359288542E-3</v>
      </c>
      <c r="AB448" s="12">
        <v>-6.3332528548130096E-3</v>
      </c>
      <c r="AC448" s="12">
        <v>-8.4983764155270869E-3</v>
      </c>
    </row>
    <row r="449" spans="12:29" x14ac:dyDescent="0.2">
      <c r="L449" s="11">
        <v>44845</v>
      </c>
      <c r="M449" s="10">
        <v>11.557357788085938</v>
      </c>
      <c r="N449" s="10">
        <v>85.964027404785156</v>
      </c>
      <c r="O449" s="10">
        <v>93.369148254394517</v>
      </c>
      <c r="P449" s="10">
        <v>136.31669616699219</v>
      </c>
      <c r="Q449" s="10">
        <v>340.50155639648438</v>
      </c>
      <c r="R449" s="10">
        <v>145.97103881835938</v>
      </c>
      <c r="S449" s="10">
        <v>111.86709594726562</v>
      </c>
      <c r="V449" s="11">
        <v>44846</v>
      </c>
      <c r="W449" s="12">
        <v>-4.6047243170793672E-3</v>
      </c>
      <c r="X449" s="12">
        <v>-2.456525252347852E-4</v>
      </c>
      <c r="Y449" s="12">
        <v>1.618301104560449E-2</v>
      </c>
      <c r="Z449" s="12">
        <v>-7.4230317801281531E-3</v>
      </c>
      <c r="AA449" s="12">
        <v>1.6098051620156983E-3</v>
      </c>
      <c r="AB449" s="12">
        <v>-3.2983032572996285E-3</v>
      </c>
      <c r="AC449" s="12">
        <v>4.387672590767222E-3</v>
      </c>
    </row>
    <row r="450" spans="12:29" x14ac:dyDescent="0.2">
      <c r="L450" s="11">
        <v>44846</v>
      </c>
      <c r="M450" s="10">
        <v>11.471567153930664</v>
      </c>
      <c r="N450" s="10">
        <v>86.341209411621094</v>
      </c>
      <c r="O450" s="10">
        <v>94.880142211914062</v>
      </c>
      <c r="P450" s="10">
        <v>135.68899536132812</v>
      </c>
      <c r="Q450" s="10">
        <v>339.37847900390625</v>
      </c>
      <c r="R450" s="10">
        <v>145.9351806640625</v>
      </c>
      <c r="S450" s="10">
        <v>112.04718017578124</v>
      </c>
      <c r="V450" s="11">
        <v>44847</v>
      </c>
      <c r="W450" s="12">
        <v>3.3612317056796348E-2</v>
      </c>
      <c r="X450" s="12">
        <v>1.5120543604731473E-2</v>
      </c>
      <c r="Y450" s="12">
        <v>5.5592857263473405E-2</v>
      </c>
      <c r="Z450" s="12">
        <v>3.9999966746502746E-2</v>
      </c>
      <c r="AA450" s="12">
        <v>1.5109032613367379E-2</v>
      </c>
      <c r="AB450" s="12">
        <v>2.6391106214560534E-2</v>
      </c>
      <c r="AC450" s="12">
        <v>3.4948658711318359E-2</v>
      </c>
    </row>
    <row r="451" spans="12:29" x14ac:dyDescent="0.2">
      <c r="L451" s="11">
        <v>44847</v>
      </c>
      <c r="M451" s="10">
        <v>11.930429458618164</v>
      </c>
      <c r="N451" s="10">
        <v>89.358718872070312</v>
      </c>
      <c r="O451" s="10">
        <v>100.15480041503906</v>
      </c>
      <c r="P451" s="10">
        <v>140.24981689453125</v>
      </c>
      <c r="Q451" s="10">
        <v>348.33505249023438</v>
      </c>
      <c r="R451" s="10">
        <v>148.14179992675781</v>
      </c>
      <c r="S451" s="10">
        <v>113.74010467529295</v>
      </c>
      <c r="V451" s="11">
        <v>44848</v>
      </c>
      <c r="W451" s="12">
        <v>-3.2239986630998585E-2</v>
      </c>
      <c r="X451" s="12">
        <v>-4.1777302873394762E-3</v>
      </c>
      <c r="Y451" s="12">
        <v>1.664088108236994E-2</v>
      </c>
      <c r="Z451" s="12">
        <v>-6.1287396396567662E-2</v>
      </c>
      <c r="AA451" s="12">
        <v>-9.7378996163370868E-3</v>
      </c>
      <c r="AB451" s="12">
        <v>-2.2788633464348007E-2</v>
      </c>
      <c r="AC451" s="12">
        <v>-2.6307871656990667E-2</v>
      </c>
    </row>
    <row r="452" spans="12:29" x14ac:dyDescent="0.2">
      <c r="L452" s="11">
        <v>44848</v>
      </c>
      <c r="M452" s="10">
        <v>11.199244499206545</v>
      </c>
      <c r="N452" s="10">
        <v>87.007881164550781</v>
      </c>
      <c r="O452" s="10">
        <v>101.82146453857422</v>
      </c>
      <c r="P452" s="10">
        <v>135.72816467285156</v>
      </c>
      <c r="Q452" s="10">
        <v>340.39697265625</v>
      </c>
      <c r="R452" s="10">
        <v>147.52290344238281</v>
      </c>
      <c r="S452" s="10">
        <v>112.63251495361328</v>
      </c>
      <c r="V452" s="11">
        <v>44851</v>
      </c>
      <c r="W452" s="12">
        <v>2.9122950088931177E-2</v>
      </c>
      <c r="X452" s="12">
        <v>1.2951304299797073E-2</v>
      </c>
      <c r="Y452" s="12">
        <v>4.2000104451217934E-2</v>
      </c>
      <c r="Z452" s="12">
        <v>5.8875904891478426E-2</v>
      </c>
      <c r="AA452" s="12">
        <v>1.8068181271666983E-2</v>
      </c>
      <c r="AB452" s="12">
        <v>2.569694376826237E-2</v>
      </c>
      <c r="AC452" s="12">
        <v>1.4416671189815489E-2</v>
      </c>
    </row>
    <row r="453" spans="12:29" x14ac:dyDescent="0.2">
      <c r="L453" s="11">
        <v>44851</v>
      </c>
      <c r="M453" s="10">
        <v>11.858610153198242</v>
      </c>
      <c r="N453" s="10">
        <v>88.262245178222656</v>
      </c>
      <c r="O453" s="10">
        <v>106.09797668457033</v>
      </c>
      <c r="P453" s="10">
        <v>139.68096923828125</v>
      </c>
      <c r="Q453" s="10">
        <v>349.14413452148438</v>
      </c>
      <c r="R453" s="10">
        <v>149.43351745605469</v>
      </c>
      <c r="S453" s="10">
        <v>114.66757965087891</v>
      </c>
      <c r="V453" s="11">
        <v>44852</v>
      </c>
      <c r="W453" s="12">
        <v>9.4093028153843239E-3</v>
      </c>
      <c r="X453" s="12">
        <v>-3.4814707031100012E-3</v>
      </c>
      <c r="Y453" s="12">
        <v>2.5720682323930433E-2</v>
      </c>
      <c r="Z453" s="12">
        <v>6.6453799196986019E-3</v>
      </c>
      <c r="AA453" s="12">
        <v>8.0887793635926464E-3</v>
      </c>
      <c r="AB453" s="12">
        <v>1.1749574219533487E-2</v>
      </c>
      <c r="AC453" s="12">
        <v>1.7888772204399661E-3</v>
      </c>
    </row>
    <row r="454" spans="12:29" x14ac:dyDescent="0.2">
      <c r="L454" s="11">
        <v>44852</v>
      </c>
      <c r="M454" s="10">
        <v>11.93741512298584</v>
      </c>
      <c r="N454" s="10">
        <v>88.420135498046875</v>
      </c>
      <c r="O454" s="10">
        <v>108.82688903808594</v>
      </c>
      <c r="P454" s="10">
        <v>140.99526977539062</v>
      </c>
      <c r="Q454" s="10">
        <v>353.24642944335938</v>
      </c>
      <c r="R454" s="10">
        <v>148.91326904296875</v>
      </c>
      <c r="S454" s="10">
        <v>115.59510040283205</v>
      </c>
      <c r="V454" s="11">
        <v>44853</v>
      </c>
      <c r="W454" s="12">
        <v>7.6534593268196005E-4</v>
      </c>
      <c r="X454" s="12">
        <v>-7.9511803245764234E-3</v>
      </c>
      <c r="Y454" s="12">
        <v>-1.9605994268992344E-2</v>
      </c>
      <c r="Z454" s="12">
        <v>7.0191727648332147E-3</v>
      </c>
      <c r="AA454" s="12">
        <v>9.2701072602374701E-3</v>
      </c>
      <c r="AB454" s="12">
        <v>-7.0866290707037871E-3</v>
      </c>
      <c r="AC454" s="12">
        <v>2.966261250362856E-2</v>
      </c>
    </row>
    <row r="455" spans="12:29" x14ac:dyDescent="0.2">
      <c r="L455" s="11">
        <v>44853</v>
      </c>
      <c r="M455" s="10">
        <v>12.021205902099609</v>
      </c>
      <c r="N455" s="10">
        <v>91.042907714843764</v>
      </c>
      <c r="O455" s="10">
        <v>106.69322967529295</v>
      </c>
      <c r="P455" s="10">
        <v>141.10317993164062</v>
      </c>
      <c r="Q455" s="10">
        <v>350.74310302734375</v>
      </c>
      <c r="R455" s="10">
        <v>147.72923278808594</v>
      </c>
      <c r="S455" s="10">
        <v>116.66667938232422</v>
      </c>
      <c r="V455" s="11">
        <v>44854</v>
      </c>
      <c r="W455" s="12">
        <v>-3.2673186597050874E-3</v>
      </c>
      <c r="X455" s="12">
        <v>2.5502027922499337E-3</v>
      </c>
      <c r="Y455" s="12">
        <v>-3.2616837433170343E-3</v>
      </c>
      <c r="Z455" s="12">
        <v>1.1866421560460916E-2</v>
      </c>
      <c r="AA455" s="12">
        <v>-1.2880291216137318E-2</v>
      </c>
      <c r="AB455" s="12">
        <v>-8.3850815485745356E-3</v>
      </c>
      <c r="AC455" s="12">
        <v>1.3489283992793588E-3</v>
      </c>
    </row>
    <row r="456" spans="12:29" x14ac:dyDescent="0.2">
      <c r="L456" s="11">
        <v>44854</v>
      </c>
      <c r="M456" s="10">
        <v>12.163854598999023</v>
      </c>
      <c r="N456" s="10">
        <v>91.165718078613281</v>
      </c>
      <c r="O456" s="10">
        <v>106.34523010253906</v>
      </c>
      <c r="P456" s="10">
        <v>140.64215087890625</v>
      </c>
      <c r="Q456" s="10">
        <v>347.80209350585938</v>
      </c>
      <c r="R456" s="10">
        <v>148.10597229003906</v>
      </c>
      <c r="S456" s="10">
        <v>115.16397857666016</v>
      </c>
      <c r="V456" s="11">
        <v>44855</v>
      </c>
      <c r="W456" s="12">
        <v>2.7059416798558944E-2</v>
      </c>
      <c r="X456" s="12">
        <v>2.1803528501619596E-2</v>
      </c>
      <c r="Y456" s="12">
        <v>5.2527311731313864E-2</v>
      </c>
      <c r="Z456" s="12">
        <v>2.2305849612135997E-2</v>
      </c>
      <c r="AA456" s="12">
        <v>1.252075801338659E-2</v>
      </c>
      <c r="AB456" s="12">
        <v>2.4301427622664296E-2</v>
      </c>
      <c r="AC456" s="12">
        <v>1.8570251093936951E-2</v>
      </c>
    </row>
    <row r="457" spans="12:29" x14ac:dyDescent="0.2">
      <c r="L457" s="11">
        <v>44855</v>
      </c>
      <c r="M457" s="10">
        <v>12.435179710388184</v>
      </c>
      <c r="N457" s="10">
        <v>92.858688354492202</v>
      </c>
      <c r="O457" s="10">
        <v>111.93125915527344</v>
      </c>
      <c r="P457" s="10">
        <v>144.44784545898438</v>
      </c>
      <c r="Q457" s="10">
        <v>356.25418090820312</v>
      </c>
      <c r="R457" s="10">
        <v>151.335205078125</v>
      </c>
      <c r="S457" s="10">
        <v>116.60591888427734</v>
      </c>
      <c r="V457" s="11">
        <v>44858</v>
      </c>
      <c r="W457" s="12">
        <v>1.4802355328782379E-2</v>
      </c>
      <c r="X457" s="12">
        <v>1.3455060666043961E-2</v>
      </c>
      <c r="Y457" s="12">
        <v>1.2271783608730491E-3</v>
      </c>
      <c r="Z457" s="12">
        <v>1.066918746972112E-2</v>
      </c>
      <c r="AA457" s="12">
        <v>6.1440334325868484E-3</v>
      </c>
      <c r="AB457" s="12">
        <v>1.2236355847317748E-2</v>
      </c>
      <c r="AC457" s="12">
        <v>6.9902870503697478E-3</v>
      </c>
    </row>
    <row r="458" spans="12:29" x14ac:dyDescent="0.2">
      <c r="L458" s="11">
        <v>44858</v>
      </c>
      <c r="M458" s="10">
        <v>12.567852973937988</v>
      </c>
      <c r="N458" s="10">
        <v>93.507797241210938</v>
      </c>
      <c r="O458" s="10">
        <v>112.06861877441406</v>
      </c>
      <c r="P458" s="10">
        <v>146.58601379394531</v>
      </c>
      <c r="Q458" s="10">
        <v>360.61343383789062</v>
      </c>
      <c r="R458" s="10">
        <v>153.37142944335938</v>
      </c>
      <c r="S458" s="10">
        <v>117.32234954833984</v>
      </c>
      <c r="V458" s="11">
        <v>44859</v>
      </c>
      <c r="W458" s="12">
        <v>1.9337728269999355E-2</v>
      </c>
      <c r="X458" s="12">
        <v>-1.5790913658364492E-3</v>
      </c>
      <c r="Y458" s="12">
        <v>2.6148034816120269E-3</v>
      </c>
      <c r="Z458" s="12">
        <v>5.2543759464861672E-2</v>
      </c>
      <c r="AA458" s="12">
        <v>1.1517410791943572E-2</v>
      </c>
      <c r="AB458" s="12">
        <v>1.5968493763128366E-2</v>
      </c>
      <c r="AC458" s="12">
        <v>-6.7541028441480133E-3</v>
      </c>
    </row>
    <row r="459" spans="12:29" x14ac:dyDescent="0.2">
      <c r="L459" s="11">
        <v>44859</v>
      </c>
      <c r="M459" s="10">
        <v>13.228215217590332</v>
      </c>
      <c r="N459" s="10">
        <v>92.876235961914062</v>
      </c>
      <c r="O459" s="10">
        <v>112.36165618896484</v>
      </c>
      <c r="P459" s="10">
        <v>149.420654296875</v>
      </c>
      <c r="Q459" s="10">
        <v>366.37188720703131</v>
      </c>
      <c r="R459" s="10">
        <v>153.12924194335938</v>
      </c>
      <c r="S459" s="10">
        <v>118.67359924316406</v>
      </c>
      <c r="V459" s="11">
        <v>44860</v>
      </c>
      <c r="W459" s="12">
        <v>-1.9627095700026298E-2</v>
      </c>
      <c r="X459" s="12">
        <v>8.7866268054197505E-3</v>
      </c>
      <c r="Y459" s="12">
        <v>1.1491589151074066E-2</v>
      </c>
      <c r="Z459" s="12">
        <v>-2.7524317470332793E-2</v>
      </c>
      <c r="AA459" s="12">
        <v>7.0302477964017118E-3</v>
      </c>
      <c r="AB459" s="12">
        <v>-7.5339388338826474E-3</v>
      </c>
      <c r="AC459" s="12">
        <v>1.1900300604412717E-2</v>
      </c>
    </row>
    <row r="460" spans="12:29" x14ac:dyDescent="0.2">
      <c r="L460" s="11">
        <v>44860</v>
      </c>
      <c r="M460" s="10">
        <v>12.864117622375488</v>
      </c>
      <c r="N460" s="10">
        <v>93.981491088867202</v>
      </c>
      <c r="O460" s="10">
        <v>113.65287017822266</v>
      </c>
      <c r="P460" s="10">
        <v>146.48796081542969</v>
      </c>
      <c r="Q460" s="10">
        <v>363.61166381835938</v>
      </c>
      <c r="R460" s="10">
        <v>154.4747314453125</v>
      </c>
      <c r="S460" s="10">
        <v>119.50790405273438</v>
      </c>
      <c r="V460" s="11">
        <v>44861</v>
      </c>
      <c r="W460" s="12">
        <v>-3.0465295901610734E-2</v>
      </c>
      <c r="X460" s="12">
        <v>5.8062028184280301E-4</v>
      </c>
      <c r="Y460" s="12">
        <v>3.9479189665314607E-3</v>
      </c>
      <c r="Z460" s="12">
        <v>2.1712053631828265E-2</v>
      </c>
      <c r="AA460" s="12">
        <v>7.5893090843170974E-4</v>
      </c>
      <c r="AB460" s="12">
        <v>-5.3399852133816372E-3</v>
      </c>
      <c r="AC460" s="12">
        <v>3.8266513464226826E-3</v>
      </c>
    </row>
    <row r="461" spans="12:29" x14ac:dyDescent="0.2">
      <c r="L461" s="11">
        <v>44861</v>
      </c>
      <c r="M461" s="10">
        <v>13.143424034118652</v>
      </c>
      <c r="N461" s="10">
        <v>94.341125488281236</v>
      </c>
      <c r="O461" s="10">
        <v>114.1015625</v>
      </c>
      <c r="P461" s="10">
        <v>142.02516174316406</v>
      </c>
      <c r="Q461" s="10">
        <v>361.66998291015625</v>
      </c>
      <c r="R461" s="10">
        <v>154.56442260742188</v>
      </c>
      <c r="S461" s="10">
        <v>119.59860229492188</v>
      </c>
      <c r="V461" s="11">
        <v>44862</v>
      </c>
      <c r="W461" s="12">
        <v>7.5552541583308708E-2</v>
      </c>
      <c r="X461" s="12">
        <v>1.4857149400949732E-2</v>
      </c>
      <c r="Y461" s="12">
        <v>1.1878089160390237E-2</v>
      </c>
      <c r="Z461" s="12">
        <v>4.9939416824077432E-2</v>
      </c>
      <c r="AA461" s="12">
        <v>2.5326058361212489E-2</v>
      </c>
      <c r="AB461" s="12">
        <v>2.379058259238187E-2</v>
      </c>
      <c r="AC461" s="12">
        <v>2.9288551677735475E-2</v>
      </c>
    </row>
    <row r="462" spans="12:29" x14ac:dyDescent="0.2">
      <c r="L462" s="11">
        <v>44862</v>
      </c>
      <c r="M462" s="10">
        <v>13.799798965454102</v>
      </c>
      <c r="N462" s="10">
        <v>97.104240417480483</v>
      </c>
      <c r="O462" s="10">
        <v>115.45687103271484</v>
      </c>
      <c r="P462" s="10">
        <v>152.75552368164062</v>
      </c>
      <c r="Q462" s="10">
        <v>370.27432250976562</v>
      </c>
      <c r="R462" s="10">
        <v>156.86080932617188</v>
      </c>
      <c r="S462" s="10">
        <v>122.6275634765625</v>
      </c>
      <c r="V462" s="11">
        <v>44865</v>
      </c>
      <c r="W462" s="12">
        <v>-1.5410470057594772E-2</v>
      </c>
      <c r="X462" s="12">
        <v>-5.1465803115360309E-3</v>
      </c>
      <c r="Y462" s="12">
        <v>-1.5861852541996235E-3</v>
      </c>
      <c r="Z462" s="12">
        <v>-2.4360306722714054E-2</v>
      </c>
      <c r="AA462" s="12">
        <v>-4.0673699561500909E-3</v>
      </c>
      <c r="AB462" s="12">
        <v>-7.2231866599511418E-3</v>
      </c>
      <c r="AC462" s="12">
        <v>9.9374220545223046E-4</v>
      </c>
    </row>
    <row r="463" spans="12:29" x14ac:dyDescent="0.2">
      <c r="L463" s="11">
        <v>44865</v>
      </c>
      <c r="M463" s="10">
        <v>13.463631629943848</v>
      </c>
      <c r="N463" s="10">
        <v>97.200736999511719</v>
      </c>
      <c r="O463" s="10">
        <v>115.27373504638672</v>
      </c>
      <c r="P463" s="10">
        <v>150.4014892578125</v>
      </c>
      <c r="Q463" s="10">
        <v>367.59976196289062</v>
      </c>
      <c r="R463" s="10">
        <v>156.05351257324219</v>
      </c>
      <c r="S463" s="10">
        <v>122.12879180908205</v>
      </c>
      <c r="V463" s="11">
        <v>44866</v>
      </c>
      <c r="W463" s="12">
        <v>-1.7542969704298916E-2</v>
      </c>
      <c r="X463" s="12">
        <v>-5.0586073913455598E-3</v>
      </c>
      <c r="Y463" s="12">
        <v>1.8032903088782026E-2</v>
      </c>
      <c r="Z463" s="12">
        <v>3.4082889627240487E-3</v>
      </c>
      <c r="AA463" s="12">
        <v>1.5591905502769787E-3</v>
      </c>
      <c r="AB463" s="12">
        <v>-4.3759047459098754E-3</v>
      </c>
      <c r="AC463" s="12">
        <v>9.927242658039015E-3</v>
      </c>
    </row>
    <row r="464" spans="12:29" x14ac:dyDescent="0.2">
      <c r="L464" s="11">
        <v>44866</v>
      </c>
      <c r="M464" s="10">
        <v>13.509519577026367</v>
      </c>
      <c r="N464" s="10">
        <v>98.165672302246094</v>
      </c>
      <c r="O464" s="10">
        <v>117.35245513916016</v>
      </c>
      <c r="P464" s="10">
        <v>147.76300048828125</v>
      </c>
      <c r="Q464" s="10">
        <v>365.99118041992188</v>
      </c>
      <c r="R464" s="10">
        <v>155.26409912109375</v>
      </c>
      <c r="S464" s="10">
        <v>122.3192138671875</v>
      </c>
      <c r="V464" s="11">
        <v>44867</v>
      </c>
      <c r="W464" s="12">
        <v>-3.7304689194196161E-2</v>
      </c>
      <c r="X464" s="12">
        <v>-1.5367374688807889E-2</v>
      </c>
      <c r="Y464" s="12">
        <v>-9.2078071615470103E-3</v>
      </c>
      <c r="Z464" s="12">
        <v>-2.392402863298948E-2</v>
      </c>
      <c r="AA464" s="12">
        <v>-1.4382985592377162E-2</v>
      </c>
      <c r="AB464" s="12">
        <v>-2.5096226493915186E-2</v>
      </c>
      <c r="AC464" s="12">
        <v>-2.0552398111383097E-2</v>
      </c>
    </row>
    <row r="465" spans="12:29" x14ac:dyDescent="0.2">
      <c r="L465" s="11">
        <v>44867</v>
      </c>
      <c r="M465" s="10">
        <v>13.186317443847656</v>
      </c>
      <c r="N465" s="10">
        <v>96.148132324218764</v>
      </c>
      <c r="O465" s="10">
        <v>116.27189636230467</v>
      </c>
      <c r="P465" s="10">
        <v>142.25074768066406</v>
      </c>
      <c r="Q465" s="10">
        <v>356.80618286132812</v>
      </c>
      <c r="R465" s="10">
        <v>152.87809753417969</v>
      </c>
      <c r="S465" s="10">
        <v>120.55989837646484</v>
      </c>
      <c r="V465" s="11">
        <v>44868</v>
      </c>
      <c r="W465" s="12">
        <v>-4.2405158677163768E-2</v>
      </c>
      <c r="X465" s="12">
        <v>1.7012643653036008E-3</v>
      </c>
      <c r="Y465" s="12">
        <v>1.8113528945886692E-3</v>
      </c>
      <c r="Z465" s="12">
        <v>1.5281058832174121E-2</v>
      </c>
      <c r="AA465" s="12">
        <v>-6.8451977711466716E-3</v>
      </c>
      <c r="AB465" s="12">
        <v>-1.0296767185619005E-2</v>
      </c>
      <c r="AC465" s="12">
        <v>1.3593520181350627E-2</v>
      </c>
    </row>
    <row r="466" spans="12:29" x14ac:dyDescent="0.2">
      <c r="L466" s="11">
        <v>44868</v>
      </c>
      <c r="M466" s="10">
        <v>13.387818336486816</v>
      </c>
      <c r="N466" s="10">
        <v>97.455123901367202</v>
      </c>
      <c r="O466" s="10">
        <v>116.48250579833984</v>
      </c>
      <c r="P466" s="10">
        <v>136.21858215332031</v>
      </c>
      <c r="Q466" s="10">
        <v>353.13223266601562</v>
      </c>
      <c r="R466" s="10">
        <v>153.13818359375</v>
      </c>
      <c r="S466" s="10">
        <v>119.73464202880859</v>
      </c>
      <c r="V466" s="11">
        <v>44869</v>
      </c>
      <c r="W466" s="12">
        <v>-1.9470784917277051E-3</v>
      </c>
      <c r="X466" s="12">
        <v>4.4518448666728272E-3</v>
      </c>
      <c r="Y466" s="12">
        <v>2.7358467394504427E-2</v>
      </c>
      <c r="Z466" s="12">
        <v>5.4764999221763144E-2</v>
      </c>
      <c r="AA466" s="12">
        <v>1.825350922293878E-2</v>
      </c>
      <c r="AB466" s="12">
        <v>1.4393026553227495E-2</v>
      </c>
      <c r="AC466" s="12">
        <v>1.0890945868357704E-2</v>
      </c>
    </row>
    <row r="467" spans="12:29" x14ac:dyDescent="0.2">
      <c r="L467" s="11">
        <v>44869</v>
      </c>
      <c r="M467" s="10">
        <v>14.121002197265623</v>
      </c>
      <c r="N467" s="10">
        <v>98.516502380371094</v>
      </c>
      <c r="O467" s="10">
        <v>119.66928863525391</v>
      </c>
      <c r="P467" s="10">
        <v>135.95335388183594</v>
      </c>
      <c r="Q467" s="10">
        <v>358.21487426757812</v>
      </c>
      <c r="R467" s="10">
        <v>153.81993103027344</v>
      </c>
      <c r="S467" s="10">
        <v>121.92021942138672</v>
      </c>
      <c r="V467" s="11">
        <v>44872</v>
      </c>
      <c r="W467" s="12">
        <v>3.9019784757052811E-3</v>
      </c>
      <c r="X467" s="12">
        <v>8.7472719024779266E-3</v>
      </c>
      <c r="Y467" s="12">
        <v>5.2801053827939981E-3</v>
      </c>
      <c r="Z467" s="12">
        <v>1.024303191799758E-2</v>
      </c>
      <c r="AA467" s="12">
        <v>1.5322715236052442E-2</v>
      </c>
      <c r="AB467" s="12">
        <v>9.5656111334272431E-3</v>
      </c>
      <c r="AC467" s="12">
        <v>1.1842399240131085E-2</v>
      </c>
    </row>
    <row r="468" spans="12:29" x14ac:dyDescent="0.2">
      <c r="L468" s="11">
        <v>44872</v>
      </c>
      <c r="M468" s="10">
        <v>14.265644073486328</v>
      </c>
      <c r="N468" s="10">
        <v>99.683174133300781</v>
      </c>
      <c r="O468" s="10">
        <v>120.30115509033205</v>
      </c>
      <c r="P468" s="10">
        <v>136.48384094238281</v>
      </c>
      <c r="Q468" s="10">
        <v>361.64141845703131</v>
      </c>
      <c r="R468" s="10">
        <v>155.16543579101562</v>
      </c>
      <c r="S468" s="10">
        <v>123.78836822509766</v>
      </c>
      <c r="V468" s="11">
        <v>44873</v>
      </c>
      <c r="W468" s="12">
        <v>4.1751424462008746E-3</v>
      </c>
      <c r="X468" s="12">
        <v>4.9716184272039499E-3</v>
      </c>
      <c r="Y468" s="12">
        <v>6.088236430066285E-4</v>
      </c>
      <c r="Z468" s="12">
        <v>2.1047273637420538E-2</v>
      </c>
      <c r="AA468" s="12">
        <v>2.2710983520746186E-3</v>
      </c>
      <c r="AB468" s="12">
        <v>5.395490700377259E-3</v>
      </c>
      <c r="AC468" s="12">
        <v>3.1679194787748166E-3</v>
      </c>
    </row>
    <row r="469" spans="12:29" x14ac:dyDescent="0.2">
      <c r="L469" s="11">
        <v>44873</v>
      </c>
      <c r="M469" s="10">
        <v>14.565896987915041</v>
      </c>
      <c r="N469" s="10">
        <v>99.998962402343764</v>
      </c>
      <c r="O469" s="10">
        <v>120.37439727783205</v>
      </c>
      <c r="P469" s="10">
        <v>137.05368041992188</v>
      </c>
      <c r="Q469" s="10">
        <v>363.5926513671875</v>
      </c>
      <c r="R469" s="10">
        <v>155.93685913085938</v>
      </c>
      <c r="S469" s="10">
        <v>124.06950378417967</v>
      </c>
      <c r="V469" s="11">
        <v>44874</v>
      </c>
      <c r="W469" s="12">
        <v>-3.3189897516686218E-2</v>
      </c>
      <c r="X469" s="12">
        <v>-7.9959074230601113E-3</v>
      </c>
      <c r="Y469" s="12">
        <v>-1.3008475943249942E-2</v>
      </c>
      <c r="Z469" s="12">
        <v>-5.6567376722351681E-2</v>
      </c>
      <c r="AA469" s="12">
        <v>-2.4123667648542346E-3</v>
      </c>
      <c r="AB469" s="12">
        <v>-2.0601963840807147E-2</v>
      </c>
      <c r="AC469" s="12">
        <v>-4.4736868607645586E-2</v>
      </c>
    </row>
    <row r="470" spans="12:29" x14ac:dyDescent="0.2">
      <c r="L470" s="11">
        <v>44874</v>
      </c>
      <c r="M470" s="10">
        <v>13.741942405700684</v>
      </c>
      <c r="N470" s="10">
        <v>95.525321960449219</v>
      </c>
      <c r="O470" s="10">
        <v>118.80850982666016</v>
      </c>
      <c r="P470" s="10">
        <v>132.5048828125</v>
      </c>
      <c r="Q470" s="10">
        <v>356.1019287109375</v>
      </c>
      <c r="R470" s="10">
        <v>154.69000244140625</v>
      </c>
      <c r="S470" s="10">
        <v>123.77020263671876</v>
      </c>
      <c r="V470" s="11">
        <v>44875</v>
      </c>
      <c r="W470" s="12">
        <v>8.8974578066846055E-2</v>
      </c>
      <c r="X470" s="12">
        <v>1.1713628370121798E-2</v>
      </c>
      <c r="Y470" s="12">
        <v>4.1159240708714906E-2</v>
      </c>
      <c r="Z470" s="12">
        <v>0.14329256084418374</v>
      </c>
      <c r="AA470" s="12">
        <v>3.4437441409649772E-2</v>
      </c>
      <c r="AB470" s="12">
        <v>5.4954053339741238E-2</v>
      </c>
      <c r="AC470" s="12">
        <v>1.4692475138161187E-2</v>
      </c>
    </row>
    <row r="471" spans="12:29" x14ac:dyDescent="0.2">
      <c r="L471" s="11">
        <v>44875</v>
      </c>
      <c r="M471" s="10">
        <v>15.711060523986816</v>
      </c>
      <c r="N471" s="10">
        <v>96.928825378417955</v>
      </c>
      <c r="O471" s="10">
        <v>123.69857788085938</v>
      </c>
      <c r="P471" s="10">
        <v>144.29444885253906</v>
      </c>
      <c r="Q471" s="10">
        <v>375.67117309570312</v>
      </c>
      <c r="R471" s="10">
        <v>156.50198364257812</v>
      </c>
      <c r="S471" s="10">
        <v>128.03253173828125</v>
      </c>
      <c r="V471" s="11">
        <v>44876</v>
      </c>
      <c r="W471" s="12">
        <v>1.9268901402117677E-2</v>
      </c>
      <c r="X471" s="12">
        <v>-2.9919034868962302E-2</v>
      </c>
      <c r="Y471" s="12">
        <v>1.6284658017862164E-3</v>
      </c>
      <c r="Z471" s="12">
        <v>3.6635071685548359E-2</v>
      </c>
      <c r="AA471" s="12">
        <v>-1.4875922743404768E-3</v>
      </c>
      <c r="AB471" s="12">
        <v>9.6784782899550503E-3</v>
      </c>
      <c r="AC471" s="12">
        <v>3.122162703355591E-2</v>
      </c>
    </row>
    <row r="472" spans="12:29" x14ac:dyDescent="0.2">
      <c r="L472" s="11">
        <v>44876</v>
      </c>
      <c r="M472" s="10">
        <v>16.286636352539062</v>
      </c>
      <c r="N472" s="10">
        <v>99.955101013183594</v>
      </c>
      <c r="O472" s="10">
        <v>123.90001678466795</v>
      </c>
      <c r="P472" s="10">
        <v>147.07484436035156</v>
      </c>
      <c r="Q472" s="10">
        <v>379.30709838867188</v>
      </c>
      <c r="R472" s="10">
        <v>151.81959533691406</v>
      </c>
      <c r="S472" s="10">
        <v>127.84207153320312</v>
      </c>
      <c r="V472" s="11">
        <v>44879</v>
      </c>
      <c r="W472" s="12">
        <v>-9.4857219808860416E-3</v>
      </c>
      <c r="X472" s="12">
        <v>1.5716534321964515E-2</v>
      </c>
      <c r="Y472" s="12">
        <v>-1.0273203100797268E-2</v>
      </c>
      <c r="Z472" s="12">
        <v>-1.9598570680398053E-3</v>
      </c>
      <c r="AA472" s="12">
        <v>7.1076827665050857E-5</v>
      </c>
      <c r="AB472" s="12">
        <v>-8.506706218896154E-3</v>
      </c>
      <c r="AC472" s="12">
        <v>2.91955425848478E-3</v>
      </c>
    </row>
    <row r="473" spans="12:29" x14ac:dyDescent="0.2">
      <c r="L473" s="11">
        <v>44879</v>
      </c>
      <c r="M473" s="10">
        <v>16.254716873168945</v>
      </c>
      <c r="N473" s="10">
        <v>100.24692535400391</v>
      </c>
      <c r="O473" s="10">
        <v>122.62716674804688</v>
      </c>
      <c r="P473" s="10">
        <v>145.67973327636719</v>
      </c>
      <c r="Q473" s="10">
        <v>376.0804443359375</v>
      </c>
      <c r="R473" s="10">
        <v>154.20567321777344</v>
      </c>
      <c r="S473" s="10">
        <v>127.85115814208984</v>
      </c>
      <c r="V473" s="11">
        <v>44880</v>
      </c>
      <c r="W473" s="12">
        <v>1.1869365337745297E-2</v>
      </c>
      <c r="X473" s="12">
        <v>2.7919983954123317E-3</v>
      </c>
      <c r="Y473" s="12">
        <v>-7.2438304564154121E-3</v>
      </c>
      <c r="Z473" s="12">
        <v>2.2767720786050161E-2</v>
      </c>
      <c r="AA473" s="12">
        <v>-3.4755351671920121E-3</v>
      </c>
      <c r="AB473" s="12">
        <v>8.5290557706296788E-3</v>
      </c>
      <c r="AC473" s="12">
        <v>6.7034182638465722E-3</v>
      </c>
    </row>
    <row r="474" spans="12:29" x14ac:dyDescent="0.2">
      <c r="L474" s="11">
        <v>44880</v>
      </c>
      <c r="M474" s="10">
        <v>16.624799728393555</v>
      </c>
      <c r="N474" s="10">
        <v>100.91892242431641</v>
      </c>
      <c r="O474" s="10">
        <v>121.73887634277344</v>
      </c>
      <c r="P474" s="10">
        <v>147.40885925292969</v>
      </c>
      <c r="Q474" s="10">
        <v>379.28805541992188</v>
      </c>
      <c r="R474" s="10">
        <v>154.63621520996094</v>
      </c>
      <c r="S474" s="10">
        <v>127.40680694580078</v>
      </c>
      <c r="V474" s="11">
        <v>44881</v>
      </c>
      <c r="W474" s="12">
        <v>-8.3308602261953357E-3</v>
      </c>
      <c r="X474" s="12">
        <v>6.2067807952821408E-3</v>
      </c>
      <c r="Y474" s="12">
        <v>1.3539260785440099E-3</v>
      </c>
      <c r="Z474" s="12">
        <v>-4.5362000774880507E-2</v>
      </c>
      <c r="AA474" s="12">
        <v>8.8969916102101809E-3</v>
      </c>
      <c r="AB474" s="12">
        <v>-7.628910655508081E-3</v>
      </c>
      <c r="AC474" s="12">
        <v>-1.0689355512640275E-2</v>
      </c>
    </row>
    <row r="475" spans="12:29" x14ac:dyDescent="0.2">
      <c r="L475" s="11">
        <v>44881</v>
      </c>
      <c r="M475" s="10">
        <v>15.870665550231934</v>
      </c>
      <c r="N475" s="10">
        <v>99.840164184570327</v>
      </c>
      <c r="O475" s="10">
        <v>121.90370178222656</v>
      </c>
      <c r="P475" s="10">
        <v>146.18081665039062</v>
      </c>
      <c r="Q475" s="10">
        <v>376.39450073242188</v>
      </c>
      <c r="R475" s="10">
        <v>155.59600830078125</v>
      </c>
      <c r="S475" s="10">
        <v>128.54034423828125</v>
      </c>
      <c r="V475" s="11">
        <v>44882</v>
      </c>
      <c r="W475" s="12">
        <v>1.2971046458149837E-2</v>
      </c>
      <c r="X475" s="12">
        <v>8.0712827322171332E-3</v>
      </c>
      <c r="Y475" s="12">
        <v>-4.3568841021889293E-3</v>
      </c>
      <c r="Z475" s="12">
        <v>-1.4644746577537449E-2</v>
      </c>
      <c r="AA475" s="12">
        <v>-6.137746586546533E-3</v>
      </c>
      <c r="AB475" s="12">
        <v>-3.059829191495278E-3</v>
      </c>
      <c r="AC475" s="12">
        <v>1.3283408157416243E-3</v>
      </c>
    </row>
    <row r="476" spans="12:29" x14ac:dyDescent="0.2">
      <c r="L476" s="11">
        <v>44882</v>
      </c>
      <c r="M476" s="10">
        <v>15.638243675231934</v>
      </c>
      <c r="N476" s="10">
        <v>99.972785949707045</v>
      </c>
      <c r="O476" s="10">
        <v>121.37258148193359</v>
      </c>
      <c r="P476" s="10">
        <v>148.07693481445312</v>
      </c>
      <c r="Q476" s="10">
        <v>375.2427978515625</v>
      </c>
      <c r="R476" s="10">
        <v>156.85186767578125</v>
      </c>
      <c r="S476" s="10">
        <v>127.75139617919922</v>
      </c>
      <c r="V476" s="11">
        <v>44883</v>
      </c>
      <c r="W476" s="12">
        <v>3.7818013946293583E-3</v>
      </c>
      <c r="X476" s="12">
        <v>7.6631576571650761E-3</v>
      </c>
      <c r="Y476" s="12">
        <v>9.8081867564649983E-3</v>
      </c>
      <c r="Z476" s="12">
        <v>-1.7095129390756303E-2</v>
      </c>
      <c r="AA476" s="12">
        <v>1.2067808481417197E-2</v>
      </c>
      <c r="AB476" s="12">
        <v>4.5403545686077962E-3</v>
      </c>
      <c r="AC476" s="12">
        <v>-8.6679778043236011E-3</v>
      </c>
    </row>
    <row r="477" spans="12:29" x14ac:dyDescent="0.2">
      <c r="L477" s="11">
        <v>44883</v>
      </c>
      <c r="M477" s="10">
        <v>15.370905876159668</v>
      </c>
      <c r="N477" s="10">
        <v>99.106224060058594</v>
      </c>
      <c r="O477" s="10">
        <v>122.56302642822266</v>
      </c>
      <c r="P477" s="10">
        <v>148.63693237304688</v>
      </c>
      <c r="Q477" s="10">
        <v>376.946533203125</v>
      </c>
      <c r="R477" s="10">
        <v>158.05384826660156</v>
      </c>
      <c r="S477" s="10">
        <v>129.29307556152344</v>
      </c>
      <c r="V477" s="11">
        <v>44886</v>
      </c>
      <c r="W477" s="12">
        <v>-2.168026715750937E-2</v>
      </c>
      <c r="X477" s="12">
        <v>5.1406530679942719E-3</v>
      </c>
      <c r="Y477" s="12">
        <v>-5.902488213044621E-3</v>
      </c>
      <c r="Z477" s="12">
        <v>-5.9706296789409086E-3</v>
      </c>
      <c r="AA477" s="12">
        <v>1.2695803584673815E-2</v>
      </c>
      <c r="AB477" s="12">
        <v>-3.6359929869239638E-3</v>
      </c>
      <c r="AC477" s="12">
        <v>-9.9036562674005291E-3</v>
      </c>
    </row>
    <row r="478" spans="12:29" x14ac:dyDescent="0.2">
      <c r="L478" s="11">
        <v>44886</v>
      </c>
      <c r="M478" s="10">
        <v>15.279131889343262</v>
      </c>
      <c r="N478" s="10">
        <v>98.124710083007798</v>
      </c>
      <c r="O478" s="10">
        <v>121.839599609375</v>
      </c>
      <c r="P478" s="10">
        <v>145.41444396972656</v>
      </c>
      <c r="Q478" s="10">
        <v>375.57595825195312</v>
      </c>
      <c r="R478" s="10">
        <v>158.86634826660156</v>
      </c>
      <c r="S478" s="10">
        <v>130.93455505371094</v>
      </c>
      <c r="V478" s="11">
        <v>44887</v>
      </c>
      <c r="W478" s="12">
        <v>1.4661148444560901E-2</v>
      </c>
      <c r="X478" s="12">
        <v>4.8305401785435631E-3</v>
      </c>
      <c r="Y478" s="12">
        <v>1.495683091042066E-2</v>
      </c>
      <c r="Z478" s="12">
        <v>4.7071682121791358E-2</v>
      </c>
      <c r="AA478" s="12">
        <v>8.5882329496569376E-3</v>
      </c>
      <c r="AB478" s="12">
        <v>1.3457033317886724E-2</v>
      </c>
      <c r="AC478" s="12">
        <v>2.8926784187291554E-2</v>
      </c>
    </row>
    <row r="479" spans="12:29" x14ac:dyDescent="0.2">
      <c r="L479" s="11">
        <v>44887</v>
      </c>
      <c r="M479" s="10">
        <v>15.998346328735352</v>
      </c>
      <c r="N479" s="10">
        <v>100.96314239501952</v>
      </c>
      <c r="O479" s="10">
        <v>123.66193389892578</v>
      </c>
      <c r="P479" s="10">
        <v>147.54638671875</v>
      </c>
      <c r="Q479" s="10">
        <v>380.63009643554688</v>
      </c>
      <c r="R479" s="10">
        <v>159.63375854492188</v>
      </c>
      <c r="S479" s="10">
        <v>132.05905151367188</v>
      </c>
      <c r="V479" s="11">
        <v>44888</v>
      </c>
      <c r="W479" s="12">
        <v>5.9265119549929413E-3</v>
      </c>
      <c r="X479" s="12">
        <v>1.0743892183320281E-3</v>
      </c>
      <c r="Y479" s="12">
        <v>1.0663648848017182E-2</v>
      </c>
      <c r="Z479" s="12">
        <v>2.9991388622991666E-2</v>
      </c>
      <c r="AA479" s="12">
        <v>5.6999600906890713E-3</v>
      </c>
      <c r="AB479" s="12">
        <v>6.3015499635317163E-3</v>
      </c>
      <c r="AC479" s="12">
        <v>-4.9922011969522062E-3</v>
      </c>
    </row>
    <row r="480" spans="12:29" x14ac:dyDescent="0.2">
      <c r="L480" s="11">
        <v>44888</v>
      </c>
      <c r="M480" s="10">
        <v>16.478158950805664</v>
      </c>
      <c r="N480" s="10">
        <v>100.45911407470705</v>
      </c>
      <c r="O480" s="10">
        <v>124.98062133789062</v>
      </c>
      <c r="P480" s="10">
        <v>148.42082214355469</v>
      </c>
      <c r="Q480" s="10">
        <v>383.02865600585938</v>
      </c>
      <c r="R480" s="10">
        <v>159.80526733398438</v>
      </c>
      <c r="S480" s="10">
        <v>132.81178283691406</v>
      </c>
      <c r="V480" s="11">
        <v>44890</v>
      </c>
      <c r="W480" s="12">
        <v>-1.9593587149543068E-2</v>
      </c>
      <c r="X480" s="12">
        <v>1.2995323784077417E-3</v>
      </c>
      <c r="Y480" s="12">
        <v>1.9050804995404125E-3</v>
      </c>
      <c r="Z480" s="12">
        <v>-1.5073673205737381E-2</v>
      </c>
      <c r="AA480" s="12">
        <v>1.8433003946598525E-3</v>
      </c>
      <c r="AB480" s="12">
        <v>-2.2348669035188173E-4</v>
      </c>
      <c r="AC480" s="12">
        <v>-3.5208227120709923E-3</v>
      </c>
    </row>
    <row r="481" spans="12:29" x14ac:dyDescent="0.2">
      <c r="L481" s="11">
        <v>44890</v>
      </c>
      <c r="M481" s="10">
        <v>16.229772567749023</v>
      </c>
      <c r="N481" s="10">
        <v>100.10541534423828</v>
      </c>
      <c r="O481" s="10">
        <v>125.21871948242188</v>
      </c>
      <c r="P481" s="10">
        <v>145.51272583007812</v>
      </c>
      <c r="Q481" s="10">
        <v>382.94305419921869</v>
      </c>
      <c r="R481" s="10">
        <v>160.012939453125</v>
      </c>
      <c r="S481" s="10">
        <v>133.05659484863281</v>
      </c>
      <c r="V481" s="11">
        <v>44893</v>
      </c>
      <c r="W481" s="12">
        <v>-2.6264318675480958E-2</v>
      </c>
      <c r="X481" s="12">
        <v>5.0769514794479775E-4</v>
      </c>
      <c r="Y481" s="12">
        <v>-1.7478450182505489E-2</v>
      </c>
      <c r="Z481" s="12">
        <v>-2.7227871419631344E-2</v>
      </c>
      <c r="AA481" s="12">
        <v>-8.177755107026119E-4</v>
      </c>
      <c r="AB481" s="12">
        <v>-1.5957328965775064E-2</v>
      </c>
      <c r="AC481" s="12">
        <v>-3.0032656767383203E-2</v>
      </c>
    </row>
    <row r="482" spans="12:29" x14ac:dyDescent="0.2">
      <c r="L482" s="11">
        <v>44893</v>
      </c>
      <c r="M482" s="10">
        <v>15.787870407104492</v>
      </c>
      <c r="N482" s="10">
        <v>97.098983764648438</v>
      </c>
      <c r="O482" s="10">
        <v>123.03009033203124</v>
      </c>
      <c r="P482" s="10">
        <v>141.69093322753906</v>
      </c>
      <c r="Q482" s="10">
        <v>376.83230590820312</v>
      </c>
      <c r="R482" s="10">
        <v>160.09417724609375</v>
      </c>
      <c r="S482" s="10">
        <v>132.94778442382812</v>
      </c>
      <c r="V482" s="11">
        <v>44894</v>
      </c>
      <c r="W482" s="12">
        <v>-2.1148398042313166E-2</v>
      </c>
      <c r="X482" s="12">
        <v>-6.9927063957334612E-3</v>
      </c>
      <c r="Y482" s="12">
        <v>1.6449416463059308E-2</v>
      </c>
      <c r="Z482" s="12">
        <v>-1.1878380518692389E-2</v>
      </c>
      <c r="AA482" s="12">
        <v>-7.6398512269096885E-3</v>
      </c>
      <c r="AB482" s="12">
        <v>-1.7174384179644564E-3</v>
      </c>
      <c r="AC482" s="12">
        <v>6.6480143958986826E-3</v>
      </c>
    </row>
    <row r="483" spans="12:29" x14ac:dyDescent="0.2">
      <c r="L483" s="11">
        <v>44894</v>
      </c>
      <c r="M483" s="10">
        <v>15.600336074829102</v>
      </c>
      <c r="N483" s="10">
        <v>97.744499206542955</v>
      </c>
      <c r="O483" s="10">
        <v>125.05386352539062</v>
      </c>
      <c r="P483" s="10">
        <v>138.69439697265625</v>
      </c>
      <c r="Q483" s="10">
        <v>376.18511962890625</v>
      </c>
      <c r="R483" s="10">
        <v>158.97468566894531</v>
      </c>
      <c r="S483" s="10">
        <v>131.93208312988281</v>
      </c>
      <c r="V483" s="11">
        <v>44895</v>
      </c>
      <c r="W483" s="12">
        <v>4.8593890340873358E-2</v>
      </c>
      <c r="X483" s="12">
        <v>1.0846791280757051E-2</v>
      </c>
      <c r="Y483" s="12">
        <v>1.1862930158269114E-2</v>
      </c>
      <c r="Z483" s="12">
        <v>8.2379180319911649E-2</v>
      </c>
      <c r="AA483" s="12">
        <v>2.529544136851114E-2</v>
      </c>
      <c r="AB483" s="12">
        <v>3.1500545882259701E-2</v>
      </c>
      <c r="AC483" s="12">
        <v>7.2370538279979968E-3</v>
      </c>
    </row>
    <row r="484" spans="12:29" x14ac:dyDescent="0.2">
      <c r="L484" s="11">
        <v>44895</v>
      </c>
      <c r="M484" s="10">
        <v>16.885478973388672</v>
      </c>
      <c r="N484" s="10">
        <v>98.451881408691406</v>
      </c>
      <c r="O484" s="10">
        <v>126.53736877441406</v>
      </c>
      <c r="P484" s="10">
        <v>145.43409729003906</v>
      </c>
      <c r="Q484" s="10">
        <v>388.03515625</v>
      </c>
      <c r="R484" s="10">
        <v>160.69905090332031</v>
      </c>
      <c r="S484" s="10">
        <v>135.26936340332031</v>
      </c>
      <c r="V484" s="11">
        <v>44896</v>
      </c>
      <c r="W484" s="12">
        <v>1.8913734506229574E-3</v>
      </c>
      <c r="X484" s="12">
        <v>4.1573086945321247E-3</v>
      </c>
      <c r="Y484" s="12">
        <v>-1.4039849010334837E-2</v>
      </c>
      <c r="Z484" s="12">
        <v>1.252748548660132E-2</v>
      </c>
      <c r="AA484" s="12">
        <v>6.0360881591492443E-4</v>
      </c>
      <c r="AB484" s="12">
        <v>-7.3581595981353498E-4</v>
      </c>
      <c r="AC484" s="12">
        <v>-4.849939380601076E-3</v>
      </c>
    </row>
    <row r="485" spans="12:29" x14ac:dyDescent="0.2">
      <c r="L485" s="11">
        <v>44896</v>
      </c>
      <c r="M485" s="10">
        <v>17.097011566162109</v>
      </c>
      <c r="N485" s="10">
        <v>97.974395751953125</v>
      </c>
      <c r="O485" s="10">
        <v>124.76080322265624</v>
      </c>
      <c r="P485" s="10">
        <v>145.70916748046875</v>
      </c>
      <c r="Q485" s="10">
        <v>387.7496337890625</v>
      </c>
      <c r="R485" s="10">
        <v>161.36712646484375</v>
      </c>
      <c r="S485" s="10">
        <v>135.35101318359375</v>
      </c>
      <c r="V485" s="11">
        <v>44897</v>
      </c>
      <c r="W485" s="12">
        <v>-3.3711738663653179E-3</v>
      </c>
      <c r="X485" s="12">
        <v>7.8333060371682528E-4</v>
      </c>
      <c r="Y485" s="12">
        <v>-7.9268507461299764E-3</v>
      </c>
      <c r="Z485" s="12">
        <v>-1.5115200566548137E-2</v>
      </c>
      <c r="AA485" s="12">
        <v>9.112140155691506E-3</v>
      </c>
      <c r="AB485" s="12">
        <v>-1.1535694778281869E-3</v>
      </c>
      <c r="AC485" s="12">
        <v>-8.4837677254568922E-3</v>
      </c>
    </row>
    <row r="486" spans="12:29" x14ac:dyDescent="0.2">
      <c r="L486" s="11">
        <v>44897</v>
      </c>
      <c r="M486" s="10">
        <v>16.838586807250977</v>
      </c>
      <c r="N486" s="10">
        <v>97.143203735351562</v>
      </c>
      <c r="O486" s="10">
        <v>123.77184295654295</v>
      </c>
      <c r="P486" s="10">
        <v>145.21795654296875</v>
      </c>
      <c r="Q486" s="10">
        <v>387.30233764648438</v>
      </c>
      <c r="R486" s="10">
        <v>161.4935302734375</v>
      </c>
      <c r="S486" s="10">
        <v>136.5843505859375</v>
      </c>
      <c r="V486" s="11">
        <v>44900</v>
      </c>
      <c r="W486" s="12">
        <v>-7.98307954898414E-3</v>
      </c>
      <c r="X486" s="12">
        <v>-5.5916489978868888E-4</v>
      </c>
      <c r="Y486" s="12">
        <v>-2.804101307136142E-2</v>
      </c>
      <c r="Z486" s="12">
        <v>-1.5762093339022676E-2</v>
      </c>
      <c r="AA486" s="12">
        <v>-1.0092063716206745E-2</v>
      </c>
      <c r="AB486" s="12">
        <v>-1.7989188190832284E-2</v>
      </c>
      <c r="AC486" s="12">
        <v>-2.7398707302442205E-2</v>
      </c>
    </row>
    <row r="487" spans="12:29" x14ac:dyDescent="0.2">
      <c r="L487" s="11">
        <v>44900</v>
      </c>
      <c r="M487" s="10">
        <v>16.573175430297852</v>
      </c>
      <c r="N487" s="10">
        <v>94.481605529785156</v>
      </c>
      <c r="O487" s="10">
        <v>120.30115509033205</v>
      </c>
      <c r="P487" s="10">
        <v>144.05867004394531</v>
      </c>
      <c r="Q487" s="10">
        <v>380.3350830078125</v>
      </c>
      <c r="R487" s="10">
        <v>161.40322875976562</v>
      </c>
      <c r="S487" s="10">
        <v>135.2059326171875</v>
      </c>
      <c r="V487" s="11">
        <v>44901</v>
      </c>
      <c r="W487" s="12">
        <v>-2.5370009985140385E-2</v>
      </c>
      <c r="X487" s="12">
        <v>-1.4990467701835986E-2</v>
      </c>
      <c r="Y487" s="12">
        <v>1.6745821139154682E-3</v>
      </c>
      <c r="Z487" s="12">
        <v>-3.7507666198993372E-2</v>
      </c>
      <c r="AA487" s="12">
        <v>1.2743689774441513E-3</v>
      </c>
      <c r="AB487" s="12">
        <v>-1.4414955844664346E-2</v>
      </c>
      <c r="AC487" s="12">
        <v>-2.7795782796249946E-2</v>
      </c>
    </row>
    <row r="488" spans="12:29" x14ac:dyDescent="0.2">
      <c r="L488" s="11">
        <v>44901</v>
      </c>
      <c r="M488" s="10">
        <v>15.951554298400881</v>
      </c>
      <c r="N488" s="10">
        <v>91.855415344238281</v>
      </c>
      <c r="O488" s="10">
        <v>120.50260925292967</v>
      </c>
      <c r="P488" s="10">
        <v>140.40390014648438</v>
      </c>
      <c r="Q488" s="10">
        <v>374.85256958007812</v>
      </c>
      <c r="R488" s="10">
        <v>158.98371887207031</v>
      </c>
      <c r="S488" s="10">
        <v>135.37823486328125</v>
      </c>
      <c r="V488" s="11">
        <v>44902</v>
      </c>
      <c r="W488" s="12">
        <v>-1.3784802711728883E-2</v>
      </c>
      <c r="X488" s="12">
        <v>6.0761153709461002E-3</v>
      </c>
      <c r="Y488" s="12">
        <v>-6.8390817624175426E-4</v>
      </c>
      <c r="Z488" s="12">
        <v>8.3193549461308969E-3</v>
      </c>
      <c r="AA488" s="12">
        <v>6.4310243697467406E-3</v>
      </c>
      <c r="AB488" s="12">
        <v>-1.7011896522795E-3</v>
      </c>
      <c r="AC488" s="12">
        <v>-2.2141797372735583E-3</v>
      </c>
    </row>
    <row r="489" spans="12:29" x14ac:dyDescent="0.2">
      <c r="L489" s="11">
        <v>44902</v>
      </c>
      <c r="M489" s="10">
        <v>16.084260940551758</v>
      </c>
      <c r="N489" s="10">
        <v>91.652030944824219</v>
      </c>
      <c r="O489" s="10">
        <v>120.42019653320312</v>
      </c>
      <c r="P489" s="10">
        <v>138.46846008300781</v>
      </c>
      <c r="Q489" s="10">
        <v>374.21487426757812</v>
      </c>
      <c r="R489" s="10">
        <v>159.94972229003906</v>
      </c>
      <c r="S489" s="10">
        <v>136.24885559082031</v>
      </c>
      <c r="V489" s="11">
        <v>44903</v>
      </c>
      <c r="W489" s="12">
        <v>1.2132563733178614E-2</v>
      </c>
      <c r="X489" s="12">
        <v>1.6923500340815245E-4</v>
      </c>
      <c r="Y489" s="12">
        <v>1.0494486849611295E-2</v>
      </c>
      <c r="Z489" s="12">
        <v>6.5074468280645226E-2</v>
      </c>
      <c r="AA489" s="12">
        <v>7.1879859405177271E-3</v>
      </c>
      <c r="AB489" s="12">
        <v>7.833865711520227E-3</v>
      </c>
      <c r="AC489" s="12">
        <v>7.4289426925713276E-3</v>
      </c>
    </row>
    <row r="490" spans="12:29" x14ac:dyDescent="0.2">
      <c r="L490" s="11">
        <v>44903</v>
      </c>
      <c r="M490" s="10">
        <v>17.130935668945312</v>
      </c>
      <c r="N490" s="10">
        <v>92.332908630371094</v>
      </c>
      <c r="O490" s="10">
        <v>121.68394470214844</v>
      </c>
      <c r="P490" s="10">
        <v>140.1484375</v>
      </c>
      <c r="Q490" s="10">
        <v>377.14642333984375</v>
      </c>
      <c r="R490" s="10">
        <v>159.97679138183594</v>
      </c>
      <c r="S490" s="10">
        <v>137.22821044921875</v>
      </c>
      <c r="V490" s="11">
        <v>44904</v>
      </c>
      <c r="W490" s="12">
        <v>-3.4347084215954338E-3</v>
      </c>
      <c r="X490" s="12">
        <v>-8.2392246113427436E-3</v>
      </c>
      <c r="Y490" s="12">
        <v>-5.4185253099214847E-3</v>
      </c>
      <c r="Z490" s="12">
        <v>-9.7851772479208288E-3</v>
      </c>
      <c r="AA490" s="12">
        <v>-2.6431640667565759E-3</v>
      </c>
      <c r="AB490" s="12">
        <v>-7.4700198262970252E-3</v>
      </c>
      <c r="AC490" s="12">
        <v>-8.4275175403203395E-3</v>
      </c>
    </row>
    <row r="491" spans="12:29" x14ac:dyDescent="0.2">
      <c r="L491" s="11">
        <v>44904</v>
      </c>
      <c r="M491" s="10">
        <v>16.963306427001953</v>
      </c>
      <c r="N491" s="10">
        <v>91.554771423339844</v>
      </c>
      <c r="O491" s="10">
        <v>121.02459716796876</v>
      </c>
      <c r="P491" s="10">
        <v>139.66706848144531</v>
      </c>
      <c r="Q491" s="10">
        <v>374.32913208007812</v>
      </c>
      <c r="R491" s="10">
        <v>158.65870666503906</v>
      </c>
      <c r="S491" s="10">
        <v>136.86549377441406</v>
      </c>
      <c r="V491" s="11">
        <v>44907</v>
      </c>
      <c r="W491" s="12">
        <v>1.6389749575586476E-2</v>
      </c>
      <c r="X491" s="12">
        <v>1.1949481513354065E-2</v>
      </c>
      <c r="Y491" s="12">
        <v>1.5511441261566894E-2</v>
      </c>
      <c r="Z491" s="12">
        <v>3.1410022737550669E-2</v>
      </c>
      <c r="AA491" s="12">
        <v>1.0270226699757634E-2</v>
      </c>
      <c r="AB491" s="12">
        <v>1.4417149430006715E-2</v>
      </c>
      <c r="AC491" s="12">
        <v>2.4628118691025769E-2</v>
      </c>
    </row>
    <row r="492" spans="12:29" x14ac:dyDescent="0.2">
      <c r="L492" s="11">
        <v>44907</v>
      </c>
      <c r="M492" s="10">
        <v>17.496124267578125</v>
      </c>
      <c r="N492" s="10">
        <v>93.809593200683594</v>
      </c>
      <c r="O492" s="10">
        <v>122.90186309814452</v>
      </c>
      <c r="P492" s="10">
        <v>141.9561767578125</v>
      </c>
      <c r="Q492" s="10">
        <v>379.72589111328131</v>
      </c>
      <c r="R492" s="10">
        <v>160.55459594726562</v>
      </c>
      <c r="S492" s="10">
        <v>138.27113342285156</v>
      </c>
      <c r="V492" s="11">
        <v>44908</v>
      </c>
      <c r="W492" s="12">
        <v>6.7825832720642687E-3</v>
      </c>
      <c r="X492" s="12">
        <v>7.7036859351160558E-3</v>
      </c>
      <c r="Y492" s="12">
        <v>-9.6871356266636788E-4</v>
      </c>
      <c r="Z492" s="12">
        <v>3.0624523602290621E-2</v>
      </c>
      <c r="AA492" s="12">
        <v>-1.5084304477166466E-3</v>
      </c>
      <c r="AB492" s="12">
        <v>7.5698846679757015E-3</v>
      </c>
      <c r="AC492" s="12">
        <v>1.0934130331053282E-2</v>
      </c>
    </row>
    <row r="493" spans="12:29" x14ac:dyDescent="0.2">
      <c r="L493" s="11">
        <v>44908</v>
      </c>
      <c r="M493" s="10">
        <v>18.03193473815918</v>
      </c>
      <c r="N493" s="10">
        <v>94.835319519042955</v>
      </c>
      <c r="O493" s="10">
        <v>122.78280639648438</v>
      </c>
      <c r="P493" s="10">
        <v>142.91900634765625</v>
      </c>
      <c r="Q493" s="10">
        <v>382.60037231445312</v>
      </c>
      <c r="R493" s="10">
        <v>161.79145812988281</v>
      </c>
      <c r="S493" s="10">
        <v>138.06256103515625</v>
      </c>
      <c r="V493" s="11">
        <v>44909</v>
      </c>
      <c r="W493" s="12">
        <v>-1.5535844310584523E-2</v>
      </c>
      <c r="X493" s="12">
        <v>3.0688949950321565E-3</v>
      </c>
      <c r="Y493" s="12">
        <v>-4.9968968622393639E-3</v>
      </c>
      <c r="Z493" s="12">
        <v>-2.2023123301036729E-2</v>
      </c>
      <c r="AA493" s="12">
        <v>3.941062335075296E-3</v>
      </c>
      <c r="AB493" s="12">
        <v>-6.3936098518877493E-3</v>
      </c>
      <c r="AC493" s="12">
        <v>-7.3658183198976879E-3</v>
      </c>
    </row>
    <row r="494" spans="12:29" x14ac:dyDescent="0.2">
      <c r="L494" s="11">
        <v>44909</v>
      </c>
      <c r="M494" s="10">
        <v>17.634815216064453</v>
      </c>
      <c r="N494" s="10">
        <v>94.136779785156236</v>
      </c>
      <c r="O494" s="10">
        <v>122.16927337646484</v>
      </c>
      <c r="P494" s="10">
        <v>140.69863891601562</v>
      </c>
      <c r="Q494" s="10">
        <v>380.1541748046875</v>
      </c>
      <c r="R494" s="10">
        <v>162.28797912597656</v>
      </c>
      <c r="S494" s="10">
        <v>138.60667419433594</v>
      </c>
      <c r="V494" s="11">
        <v>44910</v>
      </c>
      <c r="W494" s="12">
        <v>-4.6854262297108762E-2</v>
      </c>
      <c r="X494" s="12">
        <v>-1.2627935806794222E-2</v>
      </c>
      <c r="Y494" s="12">
        <v>-2.481076122600856E-2</v>
      </c>
      <c r="Z494" s="12">
        <v>-4.0851217460356248E-2</v>
      </c>
      <c r="AA494" s="12">
        <v>-1.131870211423136E-2</v>
      </c>
      <c r="AB494" s="12">
        <v>-2.4461639388059231E-2</v>
      </c>
      <c r="AC494" s="12">
        <v>-9.5812393789422856E-3</v>
      </c>
    </row>
    <row r="495" spans="12:29" x14ac:dyDescent="0.2">
      <c r="L495" s="11">
        <v>44910</v>
      </c>
      <c r="M495" s="10">
        <v>16.914411544799805</v>
      </c>
      <c r="N495" s="10">
        <v>93.234832763671875</v>
      </c>
      <c r="O495" s="10">
        <v>119.13816070556641</v>
      </c>
      <c r="P495" s="10">
        <v>134.10630798339844</v>
      </c>
      <c r="Q495" s="10">
        <v>370.85498046875</v>
      </c>
      <c r="R495" s="10">
        <v>160.23861694335938</v>
      </c>
      <c r="S495" s="10">
        <v>137.03782653808594</v>
      </c>
      <c r="V495" s="11">
        <v>44911</v>
      </c>
      <c r="W495" s="12">
        <v>-1.4578683234133138E-2</v>
      </c>
      <c r="X495" s="12">
        <v>-1.0254253766974641E-2</v>
      </c>
      <c r="Y495" s="12">
        <v>-6.2259868720390132E-3</v>
      </c>
      <c r="Z495" s="12">
        <v>-2.2474682350282604E-2</v>
      </c>
      <c r="AA495" s="12">
        <v>-4.4340713319617198E-3</v>
      </c>
      <c r="AB495" s="12">
        <v>-1.1806033750663247E-2</v>
      </c>
      <c r="AC495" s="12">
        <v>-7.0183027240510176E-3</v>
      </c>
    </row>
    <row r="496" spans="12:29" x14ac:dyDescent="0.2">
      <c r="L496" s="11">
        <v>44911</v>
      </c>
      <c r="M496" s="10">
        <v>16.534265518188477</v>
      </c>
      <c r="N496" s="10">
        <v>92.580482482910156</v>
      </c>
      <c r="O496" s="10">
        <v>118.39640808105467</v>
      </c>
      <c r="P496" s="10">
        <v>132.15121459960938</v>
      </c>
      <c r="Q496" s="10">
        <v>366.47665405273438</v>
      </c>
      <c r="R496" s="10">
        <v>158.59548950195312</v>
      </c>
      <c r="S496" s="10">
        <v>136.43019104003906</v>
      </c>
      <c r="V496" s="11">
        <v>44914</v>
      </c>
      <c r="W496" s="12">
        <v>-1.5909753780946501E-2</v>
      </c>
      <c r="X496" s="12">
        <v>-1.0815190797053287E-3</v>
      </c>
      <c r="Y496" s="12">
        <v>5.9554257144429634E-3</v>
      </c>
      <c r="Z496" s="12">
        <v>-1.9130166551751593E-2</v>
      </c>
      <c r="AA496" s="12">
        <v>-2.6585128500566935E-4</v>
      </c>
      <c r="AB496" s="12">
        <v>-8.4797638913165496E-3</v>
      </c>
      <c r="AC496" s="12">
        <v>4.489188821915624E-3</v>
      </c>
    </row>
    <row r="497" spans="12:29" x14ac:dyDescent="0.2">
      <c r="L497" s="11">
        <v>44914</v>
      </c>
      <c r="M497" s="10">
        <v>16.217962265014648</v>
      </c>
      <c r="N497" s="10">
        <v>92.99609375</v>
      </c>
      <c r="O497" s="10">
        <v>119.10150909423828</v>
      </c>
      <c r="P497" s="10">
        <v>130.04872131347656</v>
      </c>
      <c r="Q497" s="10">
        <v>363.3690185546875</v>
      </c>
      <c r="R497" s="10">
        <v>158.42396545410156</v>
      </c>
      <c r="S497" s="10">
        <v>136.3939208984375</v>
      </c>
      <c r="V497" s="11">
        <v>44915</v>
      </c>
      <c r="W497" s="12">
        <v>-5.285776286939603E-4</v>
      </c>
      <c r="X497" s="12">
        <v>1.0826900296296849E-3</v>
      </c>
      <c r="Y497" s="12">
        <v>4.8440596499632615E-3</v>
      </c>
      <c r="Z497" s="12">
        <v>-1.0397297010907969E-2</v>
      </c>
      <c r="AA497" s="12">
        <v>3.9882703458848923E-4</v>
      </c>
      <c r="AB497" s="12">
        <v>1.3684529846451632E-3</v>
      </c>
      <c r="AC497" s="12">
        <v>1.4452649168311904E-2</v>
      </c>
    </row>
    <row r="498" spans="12:29" x14ac:dyDescent="0.2">
      <c r="L498" s="11">
        <v>44915</v>
      </c>
      <c r="M498" s="10">
        <v>16.049339294433594</v>
      </c>
      <c r="N498" s="10">
        <v>94.340133666992202</v>
      </c>
      <c r="O498" s="10">
        <v>119.67844390869141</v>
      </c>
      <c r="P498" s="10">
        <v>129.97998046875</v>
      </c>
      <c r="Q498" s="10">
        <v>363.86627197265625</v>
      </c>
      <c r="R498" s="10">
        <v>158.59548950195312</v>
      </c>
      <c r="S498" s="10">
        <v>136.44831848144531</v>
      </c>
      <c r="V498" s="11">
        <v>44916</v>
      </c>
      <c r="W498" s="12">
        <v>2.3809255481801239E-2</v>
      </c>
      <c r="X498" s="12">
        <v>1.1442011969927224E-2</v>
      </c>
      <c r="Y498" s="12">
        <v>1.1248084578242112E-2</v>
      </c>
      <c r="Z498" s="12">
        <v>2.5862454180153316E-2</v>
      </c>
      <c r="AA498" s="12">
        <v>9.172160513480021E-3</v>
      </c>
      <c r="AB498" s="12">
        <v>1.4952315533536709E-2</v>
      </c>
      <c r="AC498" s="12">
        <v>1.2841043722984002E-2</v>
      </c>
    </row>
    <row r="499" spans="12:29" x14ac:dyDescent="0.2">
      <c r="L499" s="11">
        <v>44916</v>
      </c>
      <c r="M499" s="10">
        <v>16.464414596557617</v>
      </c>
      <c r="N499" s="10">
        <v>95.551559448242202</v>
      </c>
      <c r="O499" s="10">
        <v>121.02459716796876</v>
      </c>
      <c r="P499" s="10">
        <v>133.07470703125</v>
      </c>
      <c r="Q499" s="10">
        <v>369.30691528320312</v>
      </c>
      <c r="R499" s="10">
        <v>160.41014099121094</v>
      </c>
      <c r="S499" s="10">
        <v>137.69984436035156</v>
      </c>
      <c r="V499" s="11">
        <v>44917</v>
      </c>
      <c r="W499" s="12">
        <v>-2.37724602531032E-2</v>
      </c>
      <c r="X499" s="12">
        <v>-3.6581680394428551E-3</v>
      </c>
      <c r="Y499" s="12">
        <v>-1.1349916560213225E-2</v>
      </c>
      <c r="Z499" s="12">
        <v>-7.0419811181410719E-2</v>
      </c>
      <c r="AA499" s="12">
        <v>2.3047778680156394E-3</v>
      </c>
      <c r="AB499" s="12">
        <v>-1.4266225474321326E-2</v>
      </c>
      <c r="AC499" s="12">
        <v>-2.0173929790275325E-2</v>
      </c>
    </row>
    <row r="500" spans="12:29" x14ac:dyDescent="0.2">
      <c r="L500" s="11">
        <v>44917</v>
      </c>
      <c r="M500" s="10">
        <v>15.304993629455566</v>
      </c>
      <c r="N500" s="10">
        <v>93.623908996582045</v>
      </c>
      <c r="O500" s="10">
        <v>119.65097808837891</v>
      </c>
      <c r="P500" s="10">
        <v>129.91119384765625</v>
      </c>
      <c r="Q500" s="10">
        <v>364.03829956054688</v>
      </c>
      <c r="R500" s="10">
        <v>159.82333374023438</v>
      </c>
      <c r="S500" s="10">
        <v>138.0172119140625</v>
      </c>
      <c r="V500" s="11">
        <v>44918</v>
      </c>
      <c r="W500" s="12">
        <v>-2.7980258073306841E-3</v>
      </c>
      <c r="X500" s="12">
        <v>2.541773667862568E-3</v>
      </c>
      <c r="Y500" s="12">
        <v>4.7450428948281331E-3</v>
      </c>
      <c r="Z500" s="12">
        <v>-8.6707444439023673E-3</v>
      </c>
      <c r="AA500" s="12">
        <v>2.8255089829891666E-3</v>
      </c>
      <c r="AB500" s="12">
        <v>5.7523774171215347E-3</v>
      </c>
      <c r="AC500" s="12">
        <v>2.6444991567027065E-2</v>
      </c>
    </row>
    <row r="501" spans="12:29" x14ac:dyDescent="0.2">
      <c r="L501" s="11">
        <v>44918</v>
      </c>
      <c r="M501" s="10">
        <v>15.172287940979004</v>
      </c>
      <c r="N501" s="10">
        <v>96.099792480468764</v>
      </c>
      <c r="O501" s="10">
        <v>120.21872711181641</v>
      </c>
      <c r="P501" s="10">
        <v>129.54769897460938</v>
      </c>
      <c r="Q501" s="10">
        <v>366.13238525390625</v>
      </c>
      <c r="R501" s="10">
        <v>160.22956848144531</v>
      </c>
      <c r="S501" s="10">
        <v>138.40718078613281</v>
      </c>
      <c r="V501" s="11">
        <v>44922</v>
      </c>
      <c r="W501" s="12">
        <v>-1.3878618682272137E-2</v>
      </c>
      <c r="X501" s="12">
        <v>-2.8178792006894327E-4</v>
      </c>
      <c r="Y501" s="12">
        <v>3.5040247037105843E-3</v>
      </c>
      <c r="Z501" s="12">
        <v>-7.1353372810879057E-2</v>
      </c>
      <c r="AA501" s="12">
        <v>8.7143670913218951E-3</v>
      </c>
      <c r="AB501" s="12">
        <v>-3.9435125501087187E-3</v>
      </c>
      <c r="AC501" s="12">
        <v>1.3894022797092731E-2</v>
      </c>
    </row>
    <row r="502" spans="12:29" x14ac:dyDescent="0.2">
      <c r="L502" s="11">
        <v>44922</v>
      </c>
      <c r="M502" s="10">
        <v>14.089694023132324</v>
      </c>
      <c r="N502" s="10">
        <v>97.435005187988281</v>
      </c>
      <c r="O502" s="10">
        <v>120.63997650146484</v>
      </c>
      <c r="P502" s="10">
        <v>127.749755859375</v>
      </c>
      <c r="Q502" s="10">
        <v>364.68853759765625</v>
      </c>
      <c r="R502" s="10">
        <v>160.18441772460938</v>
      </c>
      <c r="S502" s="10">
        <v>139.61331176757812</v>
      </c>
      <c r="V502" s="11">
        <v>44923</v>
      </c>
      <c r="W502" s="12">
        <v>-3.0685035536623051E-2</v>
      </c>
      <c r="X502" s="12">
        <v>-4.3396521534037058E-3</v>
      </c>
      <c r="Y502" s="12">
        <v>5.4654149752064729E-3</v>
      </c>
      <c r="Z502" s="12">
        <v>-6.019446850115906E-3</v>
      </c>
      <c r="AA502" s="12">
        <v>-1.2926218985588322E-2</v>
      </c>
      <c r="AB502" s="12">
        <v>-1.2427747551194912E-2</v>
      </c>
      <c r="AC502" s="12">
        <v>-1.6426120395730881E-2</v>
      </c>
    </row>
    <row r="503" spans="12:29" x14ac:dyDescent="0.2">
      <c r="L503" s="11">
        <v>44923</v>
      </c>
      <c r="M503" s="10">
        <v>14.004881858825684</v>
      </c>
      <c r="N503" s="10">
        <v>95.834526062011719</v>
      </c>
      <c r="O503" s="10">
        <v>121.29932403564452</v>
      </c>
      <c r="P503" s="10">
        <v>123.82975006103516</v>
      </c>
      <c r="Q503" s="10">
        <v>360.15628051757812</v>
      </c>
      <c r="R503" s="10">
        <v>159.48927307128906</v>
      </c>
      <c r="S503" s="10">
        <v>137.80863952636719</v>
      </c>
      <c r="V503" s="11">
        <v>44924</v>
      </c>
      <c r="W503" s="12">
        <v>2.8324068844473027E-2</v>
      </c>
      <c r="X503" s="12">
        <v>5.0946735207952898E-3</v>
      </c>
      <c r="Y503" s="12">
        <v>5.7375505104269031E-3</v>
      </c>
      <c r="Z503" s="12">
        <v>4.0396091761335295E-2</v>
      </c>
      <c r="AA503" s="12">
        <v>4.1457457387410468E-3</v>
      </c>
      <c r="AB503" s="12">
        <v>1.8000184890168747E-2</v>
      </c>
      <c r="AC503" s="12">
        <v>7.5659034156148053E-3</v>
      </c>
    </row>
    <row r="504" spans="12:29" x14ac:dyDescent="0.2">
      <c r="L504" s="11">
        <v>44924</v>
      </c>
      <c r="M504" s="10">
        <v>14.570624351501465</v>
      </c>
      <c r="N504" s="10">
        <v>96.559600830078125</v>
      </c>
      <c r="O504" s="10">
        <v>121.99528503417967</v>
      </c>
      <c r="P504" s="10">
        <v>127.3371124267578</v>
      </c>
      <c r="Q504" s="10">
        <v>366.63916015625</v>
      </c>
      <c r="R504" s="10">
        <v>160.30181884765625</v>
      </c>
      <c r="S504" s="10">
        <v>138.37995910644531</v>
      </c>
      <c r="V504" s="11">
        <v>44925</v>
      </c>
      <c r="W504" s="12">
        <v>2.4687948051356212E-3</v>
      </c>
      <c r="X504" s="12">
        <v>-5.1250102326962921E-3</v>
      </c>
      <c r="Y504" s="12">
        <v>6.605622480717166E-3</v>
      </c>
      <c r="Z504" s="12">
        <v>7.533507910870707E-4</v>
      </c>
      <c r="AA504" s="12">
        <v>-6.7499045360562837E-3</v>
      </c>
      <c r="AB504" s="12">
        <v>-2.6341697774735495E-3</v>
      </c>
      <c r="AC504" s="12">
        <v>1.0073196979202281E-2</v>
      </c>
    </row>
    <row r="505" spans="12:29" x14ac:dyDescent="0.2">
      <c r="L505" s="11">
        <v>44925</v>
      </c>
      <c r="M505" s="10">
        <v>14.581601142883301</v>
      </c>
      <c r="N505" s="10">
        <v>97.532264709472656</v>
      </c>
      <c r="O505" s="10">
        <v>122.80113983154295</v>
      </c>
      <c r="P505" s="10">
        <v>127.65148162841795</v>
      </c>
      <c r="Q505" s="10">
        <v>365.67337036132812</v>
      </c>
      <c r="R505" s="10">
        <v>159.48027038574219</v>
      </c>
      <c r="S505" s="10">
        <v>137.44590759277344</v>
      </c>
      <c r="V505" s="11">
        <v>44929</v>
      </c>
      <c r="W505" s="12">
        <v>-3.7404697178113122E-2</v>
      </c>
      <c r="X505" s="12">
        <v>8.7179127527494682E-3</v>
      </c>
      <c r="Y505" s="12">
        <v>7.6063363397300687E-3</v>
      </c>
      <c r="Z505" s="12">
        <v>-2.045988869658355E-2</v>
      </c>
      <c r="AA505" s="12">
        <v>6.5832894354800331E-5</v>
      </c>
      <c r="AB505" s="12">
        <v>-4.2097629144783877E-3</v>
      </c>
      <c r="AC505" s="12">
        <v>-3.4360812309440658E-2</v>
      </c>
    </row>
    <row r="506" spans="12:29" x14ac:dyDescent="0.2">
      <c r="L506" s="11">
        <v>44929</v>
      </c>
      <c r="M506" s="10">
        <v>14.283263206481934</v>
      </c>
      <c r="N506" s="10">
        <v>94.180976867675781</v>
      </c>
      <c r="O506" s="10">
        <v>123.73520660400391</v>
      </c>
      <c r="P506" s="10">
        <v>122.87671661376952</v>
      </c>
      <c r="Q506" s="10">
        <v>364.13397216796869</v>
      </c>
      <c r="R506" s="10">
        <v>160.87060546875</v>
      </c>
      <c r="S506" s="10">
        <v>137.4549560546875</v>
      </c>
      <c r="V506" s="11">
        <v>44930</v>
      </c>
      <c r="W506" s="12">
        <v>1.0314486855179439E-2</v>
      </c>
      <c r="X506" s="12">
        <v>1.088712920722501E-2</v>
      </c>
      <c r="Y506" s="12">
        <v>9.3248205213136703E-3</v>
      </c>
      <c r="Z506" s="12">
        <v>3.0317644545965416E-2</v>
      </c>
      <c r="AA506" s="12">
        <v>4.3543428200467638E-3</v>
      </c>
      <c r="AB506" s="12">
        <v>7.720201791125092E-3</v>
      </c>
      <c r="AC506" s="12">
        <v>2.9105295488538463E-3</v>
      </c>
    </row>
    <row r="507" spans="12:29" x14ac:dyDescent="0.2">
      <c r="L507" s="11">
        <v>44930</v>
      </c>
      <c r="M507" s="10">
        <v>14.71629810333252</v>
      </c>
      <c r="N507" s="10">
        <v>94.455093383789062</v>
      </c>
      <c r="O507" s="10">
        <v>124.88901519775391</v>
      </c>
      <c r="P507" s="10">
        <v>124.14412689208984</v>
      </c>
      <c r="Q507" s="10">
        <v>366.94515991210938</v>
      </c>
      <c r="R507" s="10">
        <v>162.62202453613281</v>
      </c>
      <c r="S507" s="10">
        <v>138.05348205566406</v>
      </c>
      <c r="V507" s="11">
        <v>44931</v>
      </c>
      <c r="W507" s="12">
        <v>-1.0604591902109939E-2</v>
      </c>
      <c r="X507" s="12">
        <v>-7.383653181857075E-3</v>
      </c>
      <c r="Y507" s="12">
        <v>-2.2157124004085205E-4</v>
      </c>
      <c r="Z507" s="12">
        <v>-3.2815556215259778E-2</v>
      </c>
      <c r="AA507" s="12">
        <v>-1.2415400410700328E-2</v>
      </c>
      <c r="AB507" s="12">
        <v>-1.1413450316569484E-2</v>
      </c>
      <c r="AC507" s="12">
        <v>2.2374123393894996E-2</v>
      </c>
    </row>
    <row r="508" spans="12:29" x14ac:dyDescent="0.2">
      <c r="L508" s="11">
        <v>44931</v>
      </c>
      <c r="M508" s="10">
        <v>14.23337459564209</v>
      </c>
      <c r="N508" s="10">
        <v>96.568443298339844</v>
      </c>
      <c r="O508" s="10">
        <v>124.86134338378906</v>
      </c>
      <c r="P508" s="10">
        <v>122.82762908935548</v>
      </c>
      <c r="Q508" s="10">
        <v>362.75704956054688</v>
      </c>
      <c r="R508" s="10">
        <v>161.42127990722656</v>
      </c>
      <c r="S508" s="10">
        <v>136.33949279785156</v>
      </c>
      <c r="V508" s="11">
        <v>44932</v>
      </c>
      <c r="W508" s="12">
        <v>3.6794044547256544E-2</v>
      </c>
      <c r="X508" s="12">
        <v>8.1099130770150296E-3</v>
      </c>
      <c r="Y508" s="12">
        <v>1.9135728315820888E-2</v>
      </c>
      <c r="Z508" s="12">
        <v>4.1640292734731466E-2</v>
      </c>
      <c r="AA508" s="12">
        <v>2.3812596214163317E-2</v>
      </c>
      <c r="AB508" s="12">
        <v>2.2932199798045172E-2</v>
      </c>
      <c r="AC508" s="12">
        <v>1.2086745330940118E-2</v>
      </c>
    </row>
    <row r="509" spans="12:29" x14ac:dyDescent="0.2">
      <c r="L509" s="11">
        <v>44932</v>
      </c>
      <c r="M509" s="10">
        <v>14.826056480407717</v>
      </c>
      <c r="N509" s="10">
        <v>97.735641479492202</v>
      </c>
      <c r="O509" s="10">
        <v>127.25065612792967</v>
      </c>
      <c r="P509" s="10">
        <v>127.34695434570312</v>
      </c>
      <c r="Q509" s="10">
        <v>371.07586669921869</v>
      </c>
      <c r="R509" s="10">
        <v>162.73039245605469</v>
      </c>
      <c r="S509" s="10">
        <v>139.58609008789062</v>
      </c>
      <c r="V509" s="11">
        <v>44935</v>
      </c>
      <c r="W509" s="12">
        <v>4.0888781316612555E-3</v>
      </c>
      <c r="X509" s="12">
        <v>-2.5908748104376933E-2</v>
      </c>
      <c r="Y509" s="12">
        <v>-4.1322626215314351E-3</v>
      </c>
      <c r="Z509" s="12">
        <v>5.1753069406397456E-2</v>
      </c>
      <c r="AA509" s="12">
        <v>-1.2213932050519904E-2</v>
      </c>
      <c r="AB509" s="12">
        <v>-5.6688587130915291E-4</v>
      </c>
      <c r="AC509" s="12">
        <v>-1.8637504541230143E-2</v>
      </c>
    </row>
    <row r="510" spans="12:29" x14ac:dyDescent="0.2">
      <c r="L510" s="11">
        <v>44935</v>
      </c>
      <c r="M510" s="10">
        <v>15.593350410461426</v>
      </c>
      <c r="N510" s="10">
        <v>95.914093017578125</v>
      </c>
      <c r="O510" s="10">
        <v>126.72482299804688</v>
      </c>
      <c r="P510" s="10">
        <v>127.86766052246094</v>
      </c>
      <c r="Q510" s="10">
        <v>370.86550903320312</v>
      </c>
      <c r="R510" s="10">
        <v>158.51425170898438</v>
      </c>
      <c r="S510" s="10">
        <v>137.88119506835938</v>
      </c>
      <c r="V510" s="11">
        <v>44936</v>
      </c>
      <c r="W510" s="12">
        <v>4.4564784810383617E-3</v>
      </c>
      <c r="X510" s="12">
        <v>-2.3919972199734074E-3</v>
      </c>
      <c r="Y510" s="12">
        <v>8.9539024384959198E-3</v>
      </c>
      <c r="Z510" s="12">
        <v>1.7980757287114679E-2</v>
      </c>
      <c r="AA510" s="12">
        <v>-9.8681057995508858E-4</v>
      </c>
      <c r="AB510" s="12">
        <v>7.0127013152250228E-3</v>
      </c>
      <c r="AC510" s="12">
        <v>1.4935030018330187E-2</v>
      </c>
    </row>
    <row r="511" spans="12:29" x14ac:dyDescent="0.2">
      <c r="L511" s="11">
        <v>44936</v>
      </c>
      <c r="M511" s="10">
        <v>15.873730659484863</v>
      </c>
      <c r="N511" s="10">
        <v>97.346572875976562</v>
      </c>
      <c r="O511" s="10">
        <v>127.85950469970705</v>
      </c>
      <c r="P511" s="10">
        <v>128.4375</v>
      </c>
      <c r="Q511" s="10">
        <v>373.46627807617188</v>
      </c>
      <c r="R511" s="10">
        <v>158.13508605957031</v>
      </c>
      <c r="S511" s="10">
        <v>137.74513244628906</v>
      </c>
      <c r="V511" s="11">
        <v>44937</v>
      </c>
      <c r="W511" s="12">
        <v>2.111228330291981E-2</v>
      </c>
      <c r="X511" s="12">
        <v>-1.5985848852241302E-3</v>
      </c>
      <c r="Y511" s="12">
        <v>7.4313788916042789E-3</v>
      </c>
      <c r="Z511" s="12">
        <v>5.7827624738109318E-3</v>
      </c>
      <c r="AA511" s="12">
        <v>-8.0978014935864095E-3</v>
      </c>
      <c r="AB511" s="12">
        <v>1.2647838739545447E-2</v>
      </c>
      <c r="AC511" s="12">
        <v>1.1626713147394829E-2</v>
      </c>
    </row>
    <row r="512" spans="12:29" x14ac:dyDescent="0.2">
      <c r="L512" s="11">
        <v>44937</v>
      </c>
      <c r="M512" s="10">
        <v>15.965524673461914</v>
      </c>
      <c r="N512" s="10">
        <v>98.4783935546875</v>
      </c>
      <c r="O512" s="10">
        <v>128.80967712402344</v>
      </c>
      <c r="P512" s="10">
        <v>131.14910888671875</v>
      </c>
      <c r="Q512" s="10">
        <v>378.1898193359375</v>
      </c>
      <c r="R512" s="10">
        <v>157.88229370117188</v>
      </c>
      <c r="S512" s="10">
        <v>136.62969970703125</v>
      </c>
      <c r="V512" s="11">
        <v>44938</v>
      </c>
      <c r="W512" s="12">
        <v>-5.9965179707055505E-4</v>
      </c>
      <c r="X512" s="12">
        <v>-5.0320992398357189E-3</v>
      </c>
      <c r="Y512" s="12">
        <v>-1.002408172505187E-3</v>
      </c>
      <c r="Z512" s="12">
        <v>3.1872761268607386E-2</v>
      </c>
      <c r="AA512" s="12">
        <v>-5.6417327178729382E-3</v>
      </c>
      <c r="AB512" s="12">
        <v>3.6408240968506256E-3</v>
      </c>
      <c r="AC512" s="12">
        <v>1.6611325280296629E-2</v>
      </c>
    </row>
    <row r="513" spans="12:29" x14ac:dyDescent="0.2">
      <c r="L513" s="11">
        <v>44938</v>
      </c>
      <c r="M513" s="10">
        <v>16.474390029907227</v>
      </c>
      <c r="N513" s="10">
        <v>100.11425018310548</v>
      </c>
      <c r="O513" s="10">
        <v>128.68055725097656</v>
      </c>
      <c r="P513" s="10">
        <v>131.07046508789062</v>
      </c>
      <c r="Q513" s="10">
        <v>379.56674194335938</v>
      </c>
      <c r="R513" s="10">
        <v>157.08781433105469</v>
      </c>
      <c r="S513" s="10">
        <v>135.85887145996094</v>
      </c>
      <c r="V513" s="11">
        <v>44939</v>
      </c>
      <c r="W513" s="12">
        <v>1.0119287520573783E-2</v>
      </c>
      <c r="X513" s="12">
        <v>-3.275697390952681E-3</v>
      </c>
      <c r="Y513" s="12">
        <v>2.5234522232284284E-2</v>
      </c>
      <c r="Z513" s="12">
        <v>2.3499984080719516E-2</v>
      </c>
      <c r="AA513" s="12">
        <v>7.1422418251756437E-3</v>
      </c>
      <c r="AB513" s="12">
        <v>3.8795131842905839E-3</v>
      </c>
      <c r="AC513" s="12">
        <v>-6.1819020093878407E-4</v>
      </c>
    </row>
    <row r="514" spans="12:29" x14ac:dyDescent="0.2">
      <c r="L514" s="11">
        <v>44939</v>
      </c>
      <c r="M514" s="10">
        <v>16.861537933349609</v>
      </c>
      <c r="N514" s="10">
        <v>100.05236053466795</v>
      </c>
      <c r="O514" s="10">
        <v>131.92774963378906</v>
      </c>
      <c r="P514" s="10">
        <v>132.39680480957031</v>
      </c>
      <c r="Q514" s="10">
        <v>381.03927612304688</v>
      </c>
      <c r="R514" s="10">
        <v>156.5732421875</v>
      </c>
      <c r="S514" s="10">
        <v>136.82920837402344</v>
      </c>
      <c r="V514" s="11">
        <v>44943</v>
      </c>
      <c r="W514" s="12">
        <v>8.7567278880806843E-3</v>
      </c>
      <c r="X514" s="12">
        <v>-6.1696583941970307E-3</v>
      </c>
      <c r="Y514" s="12">
        <v>-1.5453242805328782E-2</v>
      </c>
      <c r="Z514" s="12">
        <v>4.7517607430153319E-2</v>
      </c>
      <c r="AA514" s="12">
        <v>-2.9161707410719773E-3</v>
      </c>
      <c r="AB514" s="12">
        <v>-1.8318270336247222E-3</v>
      </c>
      <c r="AC514" s="12">
        <v>-1.9443249586339473E-3</v>
      </c>
    </row>
    <row r="515" spans="12:29" x14ac:dyDescent="0.2">
      <c r="L515" s="11">
        <v>44943</v>
      </c>
      <c r="M515" s="10">
        <v>17.662757873535156</v>
      </c>
      <c r="N515" s="10">
        <v>99.857826232910156</v>
      </c>
      <c r="O515" s="10">
        <v>129.8890380859375</v>
      </c>
      <c r="P515" s="10">
        <v>133.55616760253906</v>
      </c>
      <c r="Q515" s="10">
        <v>380.34127807617188</v>
      </c>
      <c r="R515" s="10">
        <v>155.60723876953125</v>
      </c>
      <c r="S515" s="10">
        <v>136.43019104003906</v>
      </c>
      <c r="V515" s="11">
        <v>44944</v>
      </c>
      <c r="W515" s="12">
        <v>-5.3703201638527487E-3</v>
      </c>
      <c r="X515" s="12">
        <v>-1.508490591570244E-2</v>
      </c>
      <c r="Y515" s="12">
        <v>-3.0042909127475981E-2</v>
      </c>
      <c r="Z515" s="12">
        <v>-1.8359629613151629E-2</v>
      </c>
      <c r="AA515" s="12">
        <v>-2.6788347593900474E-2</v>
      </c>
      <c r="AB515" s="12">
        <v>-1.5787903143563153E-2</v>
      </c>
      <c r="AC515" s="12">
        <v>-2.0543657765385248E-2</v>
      </c>
    </row>
    <row r="516" spans="12:29" x14ac:dyDescent="0.2">
      <c r="L516" s="11">
        <v>44944</v>
      </c>
      <c r="M516" s="10">
        <v>17.338476181030273</v>
      </c>
      <c r="N516" s="10">
        <v>97.806381225585938</v>
      </c>
      <c r="O516" s="10">
        <v>125.98679351806641</v>
      </c>
      <c r="P516" s="10">
        <v>132.83892822265625</v>
      </c>
      <c r="Q516" s="10">
        <v>374.33648681640625</v>
      </c>
      <c r="R516" s="10">
        <v>153.25991821289062</v>
      </c>
      <c r="S516" s="10">
        <v>132.77545166015625</v>
      </c>
      <c r="V516" s="11">
        <v>44945</v>
      </c>
      <c r="W516" s="12">
        <v>4.4373063632097143E-4</v>
      </c>
      <c r="X516" s="12">
        <v>-1.3546339212838765E-3</v>
      </c>
      <c r="Y516" s="12">
        <v>-1.3326315976881831E-2</v>
      </c>
      <c r="Z516" s="12">
        <v>-3.5219196610033365E-2</v>
      </c>
      <c r="AA516" s="12">
        <v>-2.1147902930642837E-2</v>
      </c>
      <c r="AB516" s="12">
        <v>-7.2800523191343114E-3</v>
      </c>
      <c r="AC516" s="12">
        <v>6.418881971918422E-3</v>
      </c>
    </row>
    <row r="517" spans="12:29" x14ac:dyDescent="0.2">
      <c r="L517" s="11">
        <v>44945</v>
      </c>
      <c r="M517" s="10">
        <v>16.727828979492188</v>
      </c>
      <c r="N517" s="10">
        <v>98.434188842773438</v>
      </c>
      <c r="O517" s="10">
        <v>124.30785369873048</v>
      </c>
      <c r="P517" s="10">
        <v>132.89787292480469</v>
      </c>
      <c r="Q517" s="10">
        <v>371.61129760742188</v>
      </c>
      <c r="R517" s="10">
        <v>153.05230712890625</v>
      </c>
      <c r="S517" s="10">
        <v>129.967529296875</v>
      </c>
      <c r="V517" s="11">
        <v>44946</v>
      </c>
      <c r="W517" s="12">
        <v>1.9220755959375779E-2</v>
      </c>
      <c r="X517" s="12">
        <v>-4.6600167729498043E-3</v>
      </c>
      <c r="Y517" s="12">
        <v>2.448739753367013E-3</v>
      </c>
      <c r="Z517" s="12">
        <v>6.4062279081434914E-2</v>
      </c>
      <c r="AA517" s="12">
        <v>3.8616729313774023E-3</v>
      </c>
      <c r="AB517" s="12">
        <v>1.8629117499697534E-2</v>
      </c>
      <c r="AC517" s="12">
        <v>1.8235747947250802E-2</v>
      </c>
    </row>
    <row r="518" spans="12:29" x14ac:dyDescent="0.2">
      <c r="L518" s="11">
        <v>44946</v>
      </c>
      <c r="M518" s="10">
        <v>17.79945182800293</v>
      </c>
      <c r="N518" s="10">
        <v>100.22920989990234</v>
      </c>
      <c r="O518" s="10">
        <v>124.61225128173828</v>
      </c>
      <c r="P518" s="10">
        <v>135.4522705078125</v>
      </c>
      <c r="Q518" s="10">
        <v>378.53408813476562</v>
      </c>
      <c r="R518" s="10">
        <v>152.33908081054688</v>
      </c>
      <c r="S518" s="10">
        <v>130.46942138671875</v>
      </c>
      <c r="V518" s="11">
        <v>44949</v>
      </c>
      <c r="W518" s="12">
        <v>2.350039427734596E-2</v>
      </c>
      <c r="X518" s="12">
        <v>-2.5480548582518248E-3</v>
      </c>
      <c r="Y518" s="12">
        <v>1.6212644974091583E-2</v>
      </c>
      <c r="Z518" s="12">
        <v>7.5900990126595014E-2</v>
      </c>
      <c r="AA518" s="12">
        <v>-1.3429595001148487E-2</v>
      </c>
      <c r="AB518" s="12">
        <v>1.1998576243338333E-2</v>
      </c>
      <c r="AC518" s="12">
        <v>-5.2050494917387224E-3</v>
      </c>
    </row>
    <row r="519" spans="12:29" x14ac:dyDescent="0.2">
      <c r="L519" s="11">
        <v>44949</v>
      </c>
      <c r="M519" s="10">
        <v>19.150447845458984</v>
      </c>
      <c r="N519" s="10">
        <v>99.707511901855483</v>
      </c>
      <c r="O519" s="10">
        <v>126.63254547119141</v>
      </c>
      <c r="P519" s="10">
        <v>138.63545227050781</v>
      </c>
      <c r="Q519" s="10">
        <v>383.07595825195312</v>
      </c>
      <c r="R519" s="10">
        <v>151.95091247558594</v>
      </c>
      <c r="S519" s="10">
        <v>128.71726989746094</v>
      </c>
      <c r="V519" s="11">
        <v>44950</v>
      </c>
      <c r="W519" s="12">
        <v>1.0063162496575684E-2</v>
      </c>
      <c r="X519" s="12">
        <v>0</v>
      </c>
      <c r="Y519" s="12">
        <v>8.5965877416054326E-3</v>
      </c>
      <c r="Z519" s="12">
        <v>3.7514628474106804E-3</v>
      </c>
      <c r="AA519" s="12">
        <v>5.4593529932316365E-3</v>
      </c>
      <c r="AB519" s="12">
        <v>-1.073400297770144E-3</v>
      </c>
      <c r="AC519" s="12">
        <v>9.3118276624368779E-3</v>
      </c>
    </row>
    <row r="520" spans="12:29" x14ac:dyDescent="0.2">
      <c r="L520" s="11">
        <v>44950</v>
      </c>
      <c r="M520" s="10">
        <v>19.2222900390625</v>
      </c>
      <c r="N520" s="10">
        <v>100.63597106933594</v>
      </c>
      <c r="O520" s="10">
        <v>127.72115325927734</v>
      </c>
      <c r="P520" s="10">
        <v>140.03056335449219</v>
      </c>
      <c r="Q520" s="10">
        <v>382.66476440429688</v>
      </c>
      <c r="R520" s="10">
        <v>151.95091247558594</v>
      </c>
      <c r="S520" s="10">
        <v>129.41998291015625</v>
      </c>
      <c r="V520" s="11">
        <v>44951</v>
      </c>
      <c r="W520" s="12">
        <v>-4.7009695824679065E-3</v>
      </c>
      <c r="X520" s="12">
        <v>7.1293615196639237E-3</v>
      </c>
      <c r="Y520" s="12">
        <v>4.8392934403389543E-3</v>
      </c>
      <c r="Z520" s="12">
        <v>3.0107116321307359E-3</v>
      </c>
      <c r="AA520" s="12">
        <v>-7.0516789857844042E-4</v>
      </c>
      <c r="AB520" s="12">
        <v>3.747460256304791E-4</v>
      </c>
      <c r="AC520" s="12">
        <v>-5.2720286738437983E-3</v>
      </c>
    </row>
    <row r="521" spans="12:29" x14ac:dyDescent="0.2">
      <c r="L521" s="11">
        <v>44951</v>
      </c>
      <c r="M521" s="10">
        <v>19.280162811279297</v>
      </c>
      <c r="N521" s="10">
        <v>100.10541534423828</v>
      </c>
      <c r="O521" s="10">
        <v>128.3392333984375</v>
      </c>
      <c r="P521" s="10">
        <v>139.37228393554688</v>
      </c>
      <c r="Q521" s="10">
        <v>382.80816650390625</v>
      </c>
      <c r="R521" s="10">
        <v>153.03422546386719</v>
      </c>
      <c r="S521" s="10">
        <v>129.32872009277344</v>
      </c>
      <c r="V521" s="11">
        <v>44952</v>
      </c>
      <c r="W521" s="12">
        <v>1.4803421363618785E-2</v>
      </c>
      <c r="X521" s="12">
        <v>-3.6575014425304087E-3</v>
      </c>
      <c r="Y521" s="12">
        <v>6.1814277765359638E-3</v>
      </c>
      <c r="Z521" s="12">
        <v>2.4788793590412972E-2</v>
      </c>
      <c r="AA521" s="12">
        <v>-4.0220928403797984E-3</v>
      </c>
      <c r="AB521" s="12">
        <v>1.0990478367979062E-2</v>
      </c>
      <c r="AC521" s="12">
        <v>4.0190939467573239E-2</v>
      </c>
    </row>
    <row r="522" spans="12:29" x14ac:dyDescent="0.2">
      <c r="L522" s="11">
        <v>44952</v>
      </c>
      <c r="M522" s="10">
        <v>19.758094787597656</v>
      </c>
      <c r="N522" s="10">
        <v>104.12874603271484</v>
      </c>
      <c r="O522" s="10">
        <v>129.13255310058594</v>
      </c>
      <c r="P522" s="10">
        <v>141.43547058105469</v>
      </c>
      <c r="Q522" s="10">
        <v>387.01541137695312</v>
      </c>
      <c r="R522" s="10">
        <v>152.47450256347656</v>
      </c>
      <c r="S522" s="10">
        <v>128.80854797363281</v>
      </c>
      <c r="V522" s="11">
        <v>44953</v>
      </c>
      <c r="W522" s="12">
        <v>1.3684262197631636E-2</v>
      </c>
      <c r="X522" s="12">
        <v>-3.9078038890699718E-3</v>
      </c>
      <c r="Y522" s="12">
        <v>2.4287380901260036E-3</v>
      </c>
      <c r="Z522" s="12">
        <v>2.8431792003268397E-2</v>
      </c>
      <c r="AA522" s="12">
        <v>-4.1088196937143495E-3</v>
      </c>
      <c r="AB522" s="12">
        <v>2.2976376786716379E-3</v>
      </c>
      <c r="AC522" s="12">
        <v>-1.8257427649015501E-2</v>
      </c>
    </row>
    <row r="523" spans="12:29" x14ac:dyDescent="0.2">
      <c r="L523" s="11">
        <v>44953</v>
      </c>
      <c r="M523" s="10">
        <v>20.319852828979492</v>
      </c>
      <c r="N523" s="10">
        <v>102.22762298583984</v>
      </c>
      <c r="O523" s="10">
        <v>129.44618225097656</v>
      </c>
      <c r="P523" s="10">
        <v>143.37091064453125</v>
      </c>
      <c r="Q523" s="10">
        <v>387.90463256835938</v>
      </c>
      <c r="R523" s="10">
        <v>151.878662109375</v>
      </c>
      <c r="S523" s="10">
        <v>128.279296875</v>
      </c>
      <c r="V523" s="11">
        <v>44956</v>
      </c>
      <c r="W523" s="12">
        <v>-2.0077999513833378E-2</v>
      </c>
      <c r="X523" s="12">
        <v>-3.7032627653332706E-2</v>
      </c>
      <c r="Y523" s="12">
        <v>-8.4803412788645449E-3</v>
      </c>
      <c r="Z523" s="12">
        <v>-5.9072009972351736E-2</v>
      </c>
      <c r="AA523" s="12">
        <v>3.1296866197718654E-3</v>
      </c>
      <c r="AB523" s="12">
        <v>-1.2546831020625704E-2</v>
      </c>
      <c r="AC523" s="12">
        <v>-1.7732205831416992E-2</v>
      </c>
    </row>
    <row r="524" spans="12:29" x14ac:dyDescent="0.2">
      <c r="L524" s="11">
        <v>44956</v>
      </c>
      <c r="M524" s="10">
        <v>19.119518280029297</v>
      </c>
      <c r="N524" s="10">
        <v>100.41490173339844</v>
      </c>
      <c r="O524" s="10">
        <v>128.34843444824219</v>
      </c>
      <c r="P524" s="10">
        <v>140.4923095703125</v>
      </c>
      <c r="Q524" s="10">
        <v>383.03765869140625</v>
      </c>
      <c r="R524" s="10">
        <v>146.25419616699219</v>
      </c>
      <c r="S524" s="10">
        <v>128.68077087402344</v>
      </c>
      <c r="V524" s="11">
        <v>44957</v>
      </c>
      <c r="W524" s="12">
        <v>9.0212075109066259E-3</v>
      </c>
      <c r="X524" s="12">
        <v>8.7653359471628889E-3</v>
      </c>
      <c r="Y524" s="12">
        <v>5.9656827015293068E-3</v>
      </c>
      <c r="Z524" s="12">
        <v>1.9569969834800638E-2</v>
      </c>
      <c r="AA524" s="12">
        <v>9.7157397592830819E-3</v>
      </c>
      <c r="AB524" s="12">
        <v>1.4703564819735337E-2</v>
      </c>
      <c r="AC524" s="12">
        <v>2.1574534125152978E-2</v>
      </c>
    </row>
    <row r="525" spans="12:29" x14ac:dyDescent="0.2">
      <c r="L525" s="11">
        <v>44957</v>
      </c>
      <c r="M525" s="10">
        <v>19.493686676025391</v>
      </c>
      <c r="N525" s="10">
        <v>102.58130645751952</v>
      </c>
      <c r="O525" s="10">
        <v>129.11412048339844</v>
      </c>
      <c r="P525" s="10">
        <v>141.75971984863281</v>
      </c>
      <c r="Q525" s="10">
        <v>388.669677734375</v>
      </c>
      <c r="R525" s="10">
        <v>147.53616333007812</v>
      </c>
      <c r="S525" s="10">
        <v>129.93099975585938</v>
      </c>
      <c r="V525" s="11">
        <v>44958</v>
      </c>
      <c r="W525" s="12">
        <v>7.9005507318603563E-3</v>
      </c>
      <c r="X525" s="12">
        <v>9.178885357531863E-3</v>
      </c>
      <c r="Y525" s="12">
        <v>-2.6438190403897943E-3</v>
      </c>
      <c r="Z525" s="12">
        <v>7.1965947007848863E-2</v>
      </c>
      <c r="AA525" s="12">
        <v>5.6892661298826308E-3</v>
      </c>
      <c r="AB525" s="12">
        <v>1.0627651161344565E-2</v>
      </c>
      <c r="AC525" s="12">
        <v>-1.0947275664779932E-2</v>
      </c>
    </row>
    <row r="526" spans="12:29" x14ac:dyDescent="0.2">
      <c r="L526" s="11">
        <v>44958</v>
      </c>
      <c r="M526" s="10">
        <v>20.896568298339844</v>
      </c>
      <c r="N526" s="10">
        <v>101.45832061767578</v>
      </c>
      <c r="O526" s="10">
        <v>128.77276611328125</v>
      </c>
      <c r="P526" s="10">
        <v>142.87969970703125</v>
      </c>
      <c r="Q526" s="10">
        <v>392.80032348632812</v>
      </c>
      <c r="R526" s="10">
        <v>148.890380859375</v>
      </c>
      <c r="S526" s="10">
        <v>130.67021179199219</v>
      </c>
      <c r="V526" s="11">
        <v>44959</v>
      </c>
      <c r="W526" s="12">
        <v>3.7062553050247748E-2</v>
      </c>
      <c r="X526" s="12">
        <v>3.7593977256888955E-3</v>
      </c>
      <c r="Y526" s="12">
        <v>-4.6566923229689472E-3</v>
      </c>
      <c r="Z526" s="12">
        <v>3.6575445744818635E-2</v>
      </c>
      <c r="AA526" s="12">
        <v>-7.1234035487165448E-3</v>
      </c>
      <c r="AB526" s="12">
        <v>1.4557059239092007E-2</v>
      </c>
      <c r="AC526" s="12">
        <v>-3.1288179092962221E-2</v>
      </c>
    </row>
    <row r="527" spans="12:29" x14ac:dyDescent="0.2">
      <c r="L527" s="11">
        <v>44959</v>
      </c>
      <c r="M527" s="10">
        <v>21.660869598388672</v>
      </c>
      <c r="N527" s="10">
        <v>98.283874511718764</v>
      </c>
      <c r="O527" s="10">
        <v>128.17311096191406</v>
      </c>
      <c r="P527" s="10">
        <v>148.17518615722656</v>
      </c>
      <c r="Q527" s="10">
        <v>398.51834106445312</v>
      </c>
      <c r="R527" s="10">
        <v>149.45011901855469</v>
      </c>
      <c r="S527" s="10">
        <v>129.73939514160156</v>
      </c>
      <c r="V527" s="11">
        <v>44960</v>
      </c>
      <c r="W527" s="12">
        <v>2.439992383744749E-2</v>
      </c>
      <c r="X527" s="12">
        <v>-5.6179253311318122E-3</v>
      </c>
      <c r="Y527" s="12">
        <v>1.5474610393653387E-2</v>
      </c>
      <c r="Z527" s="12">
        <v>-2.8053101412807813E-2</v>
      </c>
      <c r="AA527" s="12">
        <v>3.0947000805987557E-3</v>
      </c>
      <c r="AB527" s="12">
        <v>-1.0629124038788351E-2</v>
      </c>
      <c r="AC527" s="12">
        <v>6.9275866416025345E-3</v>
      </c>
    </row>
    <row r="528" spans="12:29" x14ac:dyDescent="0.2">
      <c r="L528" s="11">
        <v>44960</v>
      </c>
      <c r="M528" s="10">
        <v>21.053215026855469</v>
      </c>
      <c r="N528" s="10">
        <v>98.964744567871094</v>
      </c>
      <c r="O528" s="10">
        <v>130.15653991699219</v>
      </c>
      <c r="P528" s="10">
        <v>151.7906494140625</v>
      </c>
      <c r="Q528" s="10">
        <v>394.28244018554688</v>
      </c>
      <c r="R528" s="10">
        <v>148.61051940917969</v>
      </c>
      <c r="S528" s="10">
        <v>130.14089965820312</v>
      </c>
      <c r="V528" s="11">
        <v>44963</v>
      </c>
      <c r="W528" s="12">
        <v>-1.7928774259752367E-2</v>
      </c>
      <c r="X528" s="12">
        <v>-7.5938418408066921E-3</v>
      </c>
      <c r="Y528" s="12">
        <v>5.8828087750686375E-3</v>
      </c>
      <c r="Z528" s="12">
        <v>-5.2093015839538293E-4</v>
      </c>
      <c r="AA528" s="12">
        <v>-8.4844330708457871E-3</v>
      </c>
      <c r="AB528" s="12">
        <v>-6.1112952808185517E-3</v>
      </c>
      <c r="AC528" s="12">
        <v>-1.6975668285883483E-3</v>
      </c>
    </row>
    <row r="529" spans="12:29" x14ac:dyDescent="0.2">
      <c r="L529" s="11">
        <v>44963</v>
      </c>
      <c r="M529" s="10">
        <v>21.042247772216797</v>
      </c>
      <c r="N529" s="10">
        <v>98.796745300292955</v>
      </c>
      <c r="O529" s="10">
        <v>130.92222595214844</v>
      </c>
      <c r="P529" s="10">
        <v>149.06922912597656</v>
      </c>
      <c r="Q529" s="10">
        <v>391.87286376953131</v>
      </c>
      <c r="R529" s="10">
        <v>147.48199462890625</v>
      </c>
      <c r="S529" s="10">
        <v>129.03672790527344</v>
      </c>
      <c r="V529" s="11">
        <v>44964</v>
      </c>
      <c r="W529" s="12">
        <v>1.9244680405687165E-2</v>
      </c>
      <c r="X529" s="12">
        <v>2.4489466528998527E-4</v>
      </c>
      <c r="Y529" s="12">
        <v>1.2189924172380406E-2</v>
      </c>
      <c r="Z529" s="12">
        <v>5.1401271079434929E-2</v>
      </c>
      <c r="AA529" s="12">
        <v>-9.7596526054180011E-3</v>
      </c>
      <c r="AB529" s="12">
        <v>1.3078688470970379E-2</v>
      </c>
      <c r="AC529" s="12">
        <v>2.8550783517524714E-2</v>
      </c>
    </row>
    <row r="530" spans="12:29" x14ac:dyDescent="0.2">
      <c r="L530" s="11">
        <v>44964</v>
      </c>
      <c r="M530" s="10">
        <v>22.123846054077148</v>
      </c>
      <c r="N530" s="10">
        <v>101.61746978759766</v>
      </c>
      <c r="O530" s="10">
        <v>132.51815795898438</v>
      </c>
      <c r="P530" s="10">
        <v>151.93801879882812</v>
      </c>
      <c r="Q530" s="10">
        <v>396.998046875</v>
      </c>
      <c r="R530" s="10">
        <v>147.51811218261719</v>
      </c>
      <c r="S530" s="10">
        <v>127.77737426757812</v>
      </c>
      <c r="V530" s="11">
        <v>44965</v>
      </c>
      <c r="W530" s="12">
        <v>-1.7652682775942785E-2</v>
      </c>
      <c r="X530" s="12">
        <v>1.2853046319891703E-3</v>
      </c>
      <c r="Y530" s="12">
        <v>-7.0306319957719188E-3</v>
      </c>
      <c r="Z530" s="12">
        <v>1.4429360062149232E-3</v>
      </c>
      <c r="AA530" s="12">
        <v>-1.0355721709697674E-2</v>
      </c>
      <c r="AB530" s="12">
        <v>-1.0934801833093033E-2</v>
      </c>
      <c r="AC530" s="12">
        <v>-8.7016454810927568E-3</v>
      </c>
    </row>
    <row r="531" spans="12:29" x14ac:dyDescent="0.2">
      <c r="L531" s="11">
        <v>44965</v>
      </c>
      <c r="M531" s="10">
        <v>22.155769348144531</v>
      </c>
      <c r="N531" s="10">
        <v>100.73323059082033</v>
      </c>
      <c r="O531" s="10">
        <v>131.58647155761719</v>
      </c>
      <c r="P531" s="10">
        <v>149.25590515136719</v>
      </c>
      <c r="Q531" s="10">
        <v>392.65695190429688</v>
      </c>
      <c r="R531" s="10">
        <v>147.70771789550781</v>
      </c>
      <c r="S531" s="10">
        <v>126.4541473388672</v>
      </c>
      <c r="V531" s="11">
        <v>44966</v>
      </c>
      <c r="W531" s="12">
        <v>-6.9116257149239857E-3</v>
      </c>
      <c r="X531" s="12">
        <v>-1.3507816440883835E-2</v>
      </c>
      <c r="Y531" s="12">
        <v>-1.5564057497224781E-2</v>
      </c>
      <c r="Z531" s="12">
        <v>5.944729357875822E-3</v>
      </c>
      <c r="AA531" s="12">
        <v>-1.096901415044893E-2</v>
      </c>
      <c r="AB531" s="12">
        <v>-8.6692791707013717E-3</v>
      </c>
      <c r="AC531" s="12">
        <v>3.774660679681352E-3</v>
      </c>
    </row>
    <row r="532" spans="12:29" x14ac:dyDescent="0.2">
      <c r="L532" s="11">
        <v>44966</v>
      </c>
      <c r="M532" s="10">
        <v>22.287479400634769</v>
      </c>
      <c r="N532" s="10">
        <v>101.11346435546876</v>
      </c>
      <c r="O532" s="10">
        <v>129.5384521484375</v>
      </c>
      <c r="P532" s="10">
        <v>148.22430419921875</v>
      </c>
      <c r="Q532" s="10">
        <v>389.25289916992188</v>
      </c>
      <c r="R532" s="10">
        <v>145.71250915527344</v>
      </c>
      <c r="S532" s="10">
        <v>125.06707000732422</v>
      </c>
      <c r="V532" s="11">
        <v>44967</v>
      </c>
      <c r="W532" s="12">
        <v>2.4561386893264814E-3</v>
      </c>
      <c r="X532" s="12">
        <v>4.646776792086138E-3</v>
      </c>
      <c r="Y532" s="12">
        <v>4.4153719589248297E-3</v>
      </c>
      <c r="Z532" s="12">
        <v>-4.7992230761713217E-2</v>
      </c>
      <c r="AA532" s="12">
        <v>8.8285759270645414E-3</v>
      </c>
      <c r="AB532" s="12">
        <v>2.3337443342978936E-3</v>
      </c>
      <c r="AC532" s="12">
        <v>4.2151205781812751E-2</v>
      </c>
    </row>
    <row r="533" spans="12:29" x14ac:dyDescent="0.2">
      <c r="L533" s="11">
        <v>44967</v>
      </c>
      <c r="M533" s="10">
        <v>21.217853546142575</v>
      </c>
      <c r="N533" s="10">
        <v>105.37551879882812</v>
      </c>
      <c r="O533" s="10">
        <v>130.11041259765625</v>
      </c>
      <c r="P533" s="10">
        <v>148.58836364746094</v>
      </c>
      <c r="Q533" s="10">
        <v>390.16131591796869</v>
      </c>
      <c r="R533" s="10">
        <v>146.38960266113281</v>
      </c>
      <c r="S533" s="10">
        <v>126.17123413085938</v>
      </c>
      <c r="V533" s="11">
        <v>44970</v>
      </c>
      <c r="W533" s="12">
        <v>1.8806646657534731E-2</v>
      </c>
      <c r="X533" s="12">
        <v>3.7003106905937333E-3</v>
      </c>
      <c r="Y533" s="12">
        <v>1.0848001786343486E-2</v>
      </c>
      <c r="Z533" s="12">
        <v>2.459425188142772E-2</v>
      </c>
      <c r="AA533" s="12">
        <v>1.309132520264833E-2</v>
      </c>
      <c r="AB533" s="12">
        <v>1.173901269991906E-2</v>
      </c>
      <c r="AC533" s="12">
        <v>-3.8896507184447149E-3</v>
      </c>
    </row>
    <row r="534" spans="12:29" x14ac:dyDescent="0.2">
      <c r="L534" s="11">
        <v>44970</v>
      </c>
      <c r="M534" s="10">
        <v>21.739690780639648</v>
      </c>
      <c r="N534" s="10">
        <v>104.96564483642578</v>
      </c>
      <c r="O534" s="10">
        <v>131.5218505859375</v>
      </c>
      <c r="P534" s="10">
        <v>151.3828125</v>
      </c>
      <c r="Q534" s="10">
        <v>394.74142456054688</v>
      </c>
      <c r="R534" s="10">
        <v>146.93128967285156</v>
      </c>
      <c r="S534" s="10">
        <v>127.82298278808594</v>
      </c>
      <c r="V534" s="11">
        <v>44971</v>
      </c>
      <c r="W534" s="12">
        <v>-4.2249671001702849E-3</v>
      </c>
      <c r="X534" s="12">
        <v>-4.3625235466502321E-3</v>
      </c>
      <c r="Y534" s="12">
        <v>4.418628825897164E-3</v>
      </c>
      <c r="Z534" s="12">
        <v>5.4295986640999772E-2</v>
      </c>
      <c r="AA534" s="12">
        <v>-5.6400215494628592E-3</v>
      </c>
      <c r="AB534" s="12">
        <v>-4.6015090816020621E-4</v>
      </c>
      <c r="AC534" s="12">
        <v>-1.1714808275616218E-2</v>
      </c>
    </row>
    <row r="535" spans="12:29" x14ac:dyDescent="0.2">
      <c r="L535" s="11">
        <v>44971</v>
      </c>
      <c r="M535" s="10">
        <v>22.920068740844727</v>
      </c>
      <c r="N535" s="10">
        <v>103.73599243164062</v>
      </c>
      <c r="O535" s="10">
        <v>132.10299682617188</v>
      </c>
      <c r="P535" s="10">
        <v>150.74322509765625</v>
      </c>
      <c r="Q535" s="10">
        <v>394.55978393554688</v>
      </c>
      <c r="R535" s="10">
        <v>146.29029846191406</v>
      </c>
      <c r="S535" s="10">
        <v>127.10205841064452</v>
      </c>
      <c r="V535" s="11">
        <v>44972</v>
      </c>
      <c r="W535" s="12">
        <v>1.3903481974283594E-2</v>
      </c>
      <c r="X535" s="12">
        <v>-1.6477560217542431E-2</v>
      </c>
      <c r="Y535" s="12">
        <v>4.1902387085790416E-3</v>
      </c>
      <c r="Z535" s="12">
        <v>-9.0112798695350937E-3</v>
      </c>
      <c r="AA535" s="12">
        <v>-2.2973049465228046E-3</v>
      </c>
      <c r="AB535" s="12">
        <v>3.247444588436732E-3</v>
      </c>
      <c r="AC535" s="12">
        <v>-3.0064241189377006E-3</v>
      </c>
    </row>
    <row r="536" spans="12:29" x14ac:dyDescent="0.2">
      <c r="L536" s="11">
        <v>44972</v>
      </c>
      <c r="M536" s="10">
        <v>22.713529586791992</v>
      </c>
      <c r="N536" s="10">
        <v>103.4241180419922</v>
      </c>
      <c r="O536" s="10">
        <v>132.65653991699219</v>
      </c>
      <c r="P536" s="10">
        <v>152.83908081054688</v>
      </c>
      <c r="Q536" s="10">
        <v>395.84109497070312</v>
      </c>
      <c r="R536" s="10">
        <v>143.87979125976562</v>
      </c>
      <c r="S536" s="10">
        <v>126.81006622314452</v>
      </c>
      <c r="V536" s="11">
        <v>44973</v>
      </c>
      <c r="W536" s="12">
        <v>-1.0429231399270544E-2</v>
      </c>
      <c r="X536" s="12">
        <v>-7.0901294326433106E-3</v>
      </c>
      <c r="Y536" s="12">
        <v>-1.3769041057979492E-2</v>
      </c>
      <c r="Z536" s="12">
        <v>-3.3473763252270583E-2</v>
      </c>
      <c r="AA536" s="12">
        <v>-1.3097752160502352E-2</v>
      </c>
      <c r="AB536" s="12">
        <v>-1.376879868438019E-2</v>
      </c>
      <c r="AC536" s="12">
        <v>-2.9291075852284632E-3</v>
      </c>
    </row>
    <row r="537" spans="12:29" x14ac:dyDescent="0.2">
      <c r="L537" s="11">
        <v>44973</v>
      </c>
      <c r="M537" s="10">
        <v>21.953222274780273</v>
      </c>
      <c r="N537" s="10">
        <v>103.12117767333984</v>
      </c>
      <c r="O537" s="10">
        <v>130.82998657226562</v>
      </c>
      <c r="P537" s="10">
        <v>151.24508666992188</v>
      </c>
      <c r="Q537" s="10">
        <v>390.39083862304688</v>
      </c>
      <c r="R537" s="10">
        <v>142.85966491699219</v>
      </c>
      <c r="S537" s="10">
        <v>125.14913940429688</v>
      </c>
      <c r="V537" s="11">
        <v>44974</v>
      </c>
      <c r="W537" s="12">
        <v>-7.5466116922138227E-3</v>
      </c>
      <c r="X537" s="12">
        <v>2.0877225418856726E-2</v>
      </c>
      <c r="Y537" s="12">
        <v>2.9613693560377463E-3</v>
      </c>
      <c r="Z537" s="12">
        <v>-2.7906539907562311E-2</v>
      </c>
      <c r="AA537" s="12">
        <v>2.0927911449401204E-2</v>
      </c>
      <c r="AB537" s="12">
        <v>-2.498372657296799E-3</v>
      </c>
      <c r="AC537" s="12">
        <v>-3.845172409991815E-2</v>
      </c>
    </row>
    <row r="538" spans="12:29" x14ac:dyDescent="0.2">
      <c r="L538" s="11">
        <v>44974</v>
      </c>
      <c r="M538" s="10">
        <v>21.340583801269531</v>
      </c>
      <c r="N538" s="10">
        <v>99.155990600585938</v>
      </c>
      <c r="O538" s="10">
        <v>131.21742248535156</v>
      </c>
      <c r="P538" s="10">
        <v>150.10369873046875</v>
      </c>
      <c r="Q538" s="10">
        <v>389.41549682617188</v>
      </c>
      <c r="R538" s="10">
        <v>145.84217834472656</v>
      </c>
      <c r="S538" s="10">
        <v>127.76824951171876</v>
      </c>
      <c r="V538" s="11">
        <v>44978</v>
      </c>
      <c r="W538" s="12">
        <v>-2.6679757117780256E-2</v>
      </c>
      <c r="X538" s="12">
        <v>-1.4901474830331662E-2</v>
      </c>
      <c r="Y538" s="12">
        <v>-1.8349281030854869E-2</v>
      </c>
      <c r="Z538" s="12">
        <v>-3.4271721997330862E-2</v>
      </c>
      <c r="AA538" s="12">
        <v>-7.1422429544920618E-4</v>
      </c>
      <c r="AB538" s="12">
        <v>-2.0061021755878983E-2</v>
      </c>
      <c r="AC538" s="12">
        <v>-9.8841433134611023E-4</v>
      </c>
    </row>
    <row r="539" spans="12:29" x14ac:dyDescent="0.2">
      <c r="L539" s="11">
        <v>44978</v>
      </c>
      <c r="M539" s="10">
        <v>20.60920524597168</v>
      </c>
      <c r="N539" s="10">
        <v>99.0579833984375</v>
      </c>
      <c r="O539" s="10">
        <v>128.80967712402344</v>
      </c>
      <c r="P539" s="10">
        <v>146.09896850585938</v>
      </c>
      <c r="Q539" s="10">
        <v>381.60342407226562</v>
      </c>
      <c r="R539" s="10">
        <v>143.66891479492188</v>
      </c>
      <c r="S539" s="10">
        <v>127.67699432373048</v>
      </c>
      <c r="V539" s="11">
        <v>44979</v>
      </c>
      <c r="W539" s="12">
        <v>2.8958482641099348E-3</v>
      </c>
      <c r="X539" s="12">
        <v>-1.3922807595911912E-3</v>
      </c>
      <c r="Y539" s="12">
        <v>-7.6631747434837694E-3</v>
      </c>
      <c r="Z539" s="12">
        <v>4.7931733350707884E-3</v>
      </c>
      <c r="AA539" s="12">
        <v>4.2167618899424664E-3</v>
      </c>
      <c r="AB539" s="12">
        <v>-1.3779970395975116E-3</v>
      </c>
      <c r="AC539" s="12">
        <v>-1.2953136418138111E-2</v>
      </c>
    </row>
    <row r="540" spans="12:29" x14ac:dyDescent="0.2">
      <c r="L540" s="11">
        <v>44979</v>
      </c>
      <c r="M540" s="10">
        <v>20.707988739013672</v>
      </c>
      <c r="N540" s="10">
        <v>97.774871826171875</v>
      </c>
      <c r="O540" s="10">
        <v>127.82258605957033</v>
      </c>
      <c r="P540" s="10">
        <v>146.52204895019531</v>
      </c>
      <c r="Q540" s="10">
        <v>381.07757568359375</v>
      </c>
      <c r="R540" s="10">
        <v>143.46888732910156</v>
      </c>
      <c r="S540" s="10">
        <v>128.21537780761719</v>
      </c>
      <c r="V540" s="11">
        <v>44980</v>
      </c>
      <c r="W540" s="12">
        <v>3.2907161689352815E-3</v>
      </c>
      <c r="X540" s="12">
        <v>-3.1704748703442753E-4</v>
      </c>
      <c r="Y540" s="12">
        <v>8.0110006218230279E-3</v>
      </c>
      <c r="Z540" s="12">
        <v>0.14021396432699795</v>
      </c>
      <c r="AA540" s="12">
        <v>-3.2027117875955691E-3</v>
      </c>
      <c r="AB540" s="12">
        <v>5.3192281665552787E-3</v>
      </c>
      <c r="AC540" s="12">
        <v>9.2042103856970758E-3</v>
      </c>
    </row>
    <row r="541" spans="12:29" x14ac:dyDescent="0.2">
      <c r="L541" s="11">
        <v>44980</v>
      </c>
      <c r="M541" s="10">
        <v>23.611537933349609</v>
      </c>
      <c r="N541" s="10">
        <v>98.674812316894517</v>
      </c>
      <c r="O541" s="10">
        <v>128.84657287597656</v>
      </c>
      <c r="P541" s="10">
        <v>147.00421142578125</v>
      </c>
      <c r="Q541" s="10">
        <v>383.1046142578125</v>
      </c>
      <c r="R541" s="10">
        <v>143.42340087890625</v>
      </c>
      <c r="S541" s="10">
        <v>127.80474090576172</v>
      </c>
      <c r="V541" s="11">
        <v>44981</v>
      </c>
      <c r="W541" s="12">
        <v>-1.8005478059735514E-2</v>
      </c>
      <c r="X541" s="12">
        <v>-1.1158163779885433E-2</v>
      </c>
      <c r="Y541" s="12">
        <v>9.0213402535193055E-3</v>
      </c>
      <c r="Z541" s="12">
        <v>-1.5973670771224691E-2</v>
      </c>
      <c r="AA541" s="12">
        <v>-5.6409459549084939E-3</v>
      </c>
      <c r="AB541" s="12">
        <v>-1.0682298233522736E-2</v>
      </c>
      <c r="AC541" s="12">
        <v>9.0540035357911108E-5</v>
      </c>
    </row>
    <row r="542" spans="12:29" x14ac:dyDescent="0.2">
      <c r="L542" s="11">
        <v>44981</v>
      </c>
      <c r="M542" s="10">
        <v>23.234375</v>
      </c>
      <c r="N542" s="10">
        <v>98.683746337890625</v>
      </c>
      <c r="O542" s="10">
        <v>130.00894165039062</v>
      </c>
      <c r="P542" s="10">
        <v>144.35733032226562</v>
      </c>
      <c r="Q542" s="10">
        <v>379.01217651367188</v>
      </c>
      <c r="R542" s="10">
        <v>141.82305908203125</v>
      </c>
      <c r="S542" s="10">
        <v>127.08380126953124</v>
      </c>
      <c r="V542" s="11">
        <v>44984</v>
      </c>
      <c r="W542" s="12">
        <v>8.2474667045500105E-3</v>
      </c>
      <c r="X542" s="12">
        <v>-2.1799951713461496E-3</v>
      </c>
      <c r="Y542" s="12">
        <v>8.7277791561906071E-3</v>
      </c>
      <c r="Z542" s="12">
        <v>9.2329321568174194E-3</v>
      </c>
      <c r="AA542" s="12">
        <v>-8.6155308406099529E-4</v>
      </c>
      <c r="AB542" s="12">
        <v>3.4058616506291717E-3</v>
      </c>
      <c r="AC542" s="12">
        <v>-1.8058434552208347E-3</v>
      </c>
    </row>
    <row r="543" spans="12:29" x14ac:dyDescent="0.2">
      <c r="L543" s="11">
        <v>44984</v>
      </c>
      <c r="M543" s="10">
        <v>23.448896408081055</v>
      </c>
      <c r="N543" s="10">
        <v>98.505538940429673</v>
      </c>
      <c r="O543" s="10">
        <v>131.14363098144531</v>
      </c>
      <c r="P543" s="10">
        <v>145.54791259765625</v>
      </c>
      <c r="Q543" s="10">
        <v>380.30303955078131</v>
      </c>
      <c r="R543" s="10">
        <v>141.51388549804688</v>
      </c>
      <c r="S543" s="10">
        <v>126.97431182861328</v>
      </c>
      <c r="V543" s="11">
        <v>44985</v>
      </c>
      <c r="W543" s="12">
        <v>-3.4476656391254634E-3</v>
      </c>
      <c r="X543" s="12">
        <v>-1.5228394650394494E-2</v>
      </c>
      <c r="Y543" s="12">
        <v>8.3709256094708362E-3</v>
      </c>
      <c r="Z543" s="12">
        <v>-1.2127159848625002E-2</v>
      </c>
      <c r="AA543" s="12">
        <v>-1.135525639741497E-2</v>
      </c>
      <c r="AB543" s="12">
        <v>-3.695943674133062E-3</v>
      </c>
      <c r="AC543" s="12">
        <v>-5.7893392448392644E-3</v>
      </c>
    </row>
    <row r="544" spans="12:29" x14ac:dyDescent="0.2">
      <c r="L544" s="11">
        <v>44985</v>
      </c>
      <c r="M544" s="10">
        <v>23.164527893066406</v>
      </c>
      <c r="N544" s="10">
        <v>97.935256958007798</v>
      </c>
      <c r="O544" s="10">
        <v>132.24142456054688</v>
      </c>
      <c r="P544" s="10">
        <v>145.04611206054688</v>
      </c>
      <c r="Q544" s="10">
        <v>378.8974609375</v>
      </c>
      <c r="R544" s="10">
        <v>139.35885620117188</v>
      </c>
      <c r="S544" s="10">
        <v>125.53248596191406</v>
      </c>
      <c r="V544" s="11">
        <v>44986</v>
      </c>
      <c r="W544" s="12">
        <v>-1.4245915784375396E-2</v>
      </c>
      <c r="X544" s="12">
        <v>-4.5019052839246898E-3</v>
      </c>
      <c r="Y544" s="12">
        <v>-5.5807519788095838E-3</v>
      </c>
      <c r="Z544" s="12">
        <v>-2.2312193348244413E-2</v>
      </c>
      <c r="AA544" s="12">
        <v>7.2682324818207356E-4</v>
      </c>
      <c r="AB544" s="12">
        <v>-3.8358653937848874E-3</v>
      </c>
      <c r="AC544" s="12">
        <v>8.9165563698092587E-3</v>
      </c>
    </row>
    <row r="545" spans="12:29" x14ac:dyDescent="0.2">
      <c r="L545" s="11">
        <v>44986</v>
      </c>
      <c r="M545" s="10">
        <v>22.647676467895508</v>
      </c>
      <c r="N545" s="10">
        <v>98.808502197265625</v>
      </c>
      <c r="O545" s="10">
        <v>131.50341796875</v>
      </c>
      <c r="P545" s="10">
        <v>142.97979736328125</v>
      </c>
      <c r="Q545" s="10">
        <v>377.44406127929688</v>
      </c>
      <c r="R545" s="10">
        <v>138.73147583007812</v>
      </c>
      <c r="S545" s="10">
        <v>125.62372589111328</v>
      </c>
      <c r="V545" s="11">
        <v>44987</v>
      </c>
      <c r="W545" s="12">
        <v>4.1288860449222309E-3</v>
      </c>
      <c r="X545" s="12">
        <v>-7.8685371362174905E-4</v>
      </c>
      <c r="Y545" s="12">
        <v>-1.0382320779447451E-2</v>
      </c>
      <c r="Z545" s="12">
        <v>2.713909198363984E-2</v>
      </c>
      <c r="AA545" s="12">
        <v>1.6489558661544335E-2</v>
      </c>
      <c r="AB545" s="12">
        <v>7.7771930291241631E-3</v>
      </c>
      <c r="AC545" s="12">
        <v>4.5990943730491729E-3</v>
      </c>
    </row>
    <row r="546" spans="12:29" x14ac:dyDescent="0.2">
      <c r="L546" s="11">
        <v>44987</v>
      </c>
      <c r="M546" s="10">
        <v>23.262313842773441</v>
      </c>
      <c r="N546" s="10">
        <v>99.262931823730483</v>
      </c>
      <c r="O546" s="10">
        <v>130.13810729980469</v>
      </c>
      <c r="P546" s="10">
        <v>143.57014465332031</v>
      </c>
      <c r="Q546" s="10">
        <v>380.3795166015625</v>
      </c>
      <c r="R546" s="10">
        <v>138.622314453125</v>
      </c>
      <c r="S546" s="10">
        <v>127.69520568847656</v>
      </c>
      <c r="V546" s="11">
        <v>44988</v>
      </c>
      <c r="W546" s="12">
        <v>3.5090184273313341E-2</v>
      </c>
      <c r="X546" s="12">
        <v>1.0298575018888867E-2</v>
      </c>
      <c r="Y546" s="12">
        <v>1.8359472235670138E-2</v>
      </c>
      <c r="Z546" s="12">
        <v>2.4706153219474336E-2</v>
      </c>
      <c r="AA546" s="12">
        <v>7.2896015394627867E-3</v>
      </c>
      <c r="AB546" s="12">
        <v>1.6037834848971588E-2</v>
      </c>
      <c r="AC546" s="12">
        <v>1.2656996134917886E-2</v>
      </c>
    </row>
    <row r="547" spans="12:29" x14ac:dyDescent="0.2">
      <c r="L547" s="11">
        <v>44988</v>
      </c>
      <c r="M547" s="10">
        <v>23.8370361328125</v>
      </c>
      <c r="N547" s="10">
        <v>100.51930236816406</v>
      </c>
      <c r="O547" s="10">
        <v>132.52737426757812</v>
      </c>
      <c r="P547" s="10">
        <v>148.60804748535156</v>
      </c>
      <c r="Q547" s="10">
        <v>386.47998046875</v>
      </c>
      <c r="R547" s="10">
        <v>140.0499267578125</v>
      </c>
      <c r="S547" s="10">
        <v>128.62605285644531</v>
      </c>
      <c r="V547" s="11">
        <v>44991</v>
      </c>
      <c r="W547" s="12">
        <v>1.8539554214899168E-2</v>
      </c>
      <c r="X547" s="12">
        <v>9.9986794957505065E-3</v>
      </c>
      <c r="Y547" s="12">
        <v>-5.8468812987072516E-3</v>
      </c>
      <c r="Z547" s="12">
        <v>-1.4064444393234066E-2</v>
      </c>
      <c r="AA547" s="12">
        <v>-4.2570041865385155E-3</v>
      </c>
      <c r="AB547" s="12">
        <v>6.9258355221846202E-4</v>
      </c>
      <c r="AC547" s="12">
        <v>8.8644889598432641E-3</v>
      </c>
    </row>
    <row r="548" spans="12:29" x14ac:dyDescent="0.2">
      <c r="L548" s="11">
        <v>44991</v>
      </c>
      <c r="M548" s="10">
        <v>23.501781463623047</v>
      </c>
      <c r="N548" s="10">
        <v>101.4103546142578</v>
      </c>
      <c r="O548" s="10">
        <v>131.75250244140625</v>
      </c>
      <c r="P548" s="10">
        <v>151.36317443847656</v>
      </c>
      <c r="Q548" s="10">
        <v>386.74765014648438</v>
      </c>
      <c r="R548" s="10">
        <v>141.45024108886719</v>
      </c>
      <c r="S548" s="10">
        <v>128.0784912109375</v>
      </c>
      <c r="V548" s="11">
        <v>44992</v>
      </c>
      <c r="W548" s="12">
        <v>-1.4496452879748767E-2</v>
      </c>
      <c r="X548" s="12">
        <v>-9.4497535782581688E-3</v>
      </c>
      <c r="Y548" s="12">
        <v>-2.9407731652392965E-2</v>
      </c>
      <c r="Z548" s="12">
        <v>-1.1125329926011895E-2</v>
      </c>
      <c r="AA548" s="12">
        <v>-1.9878476276163459E-2</v>
      </c>
      <c r="AB548" s="12">
        <v>-1.5328715570261608E-2</v>
      </c>
      <c r="AC548" s="12">
        <v>-1.9330490432707848E-2</v>
      </c>
    </row>
    <row r="549" spans="12:29" x14ac:dyDescent="0.2">
      <c r="L549" s="11">
        <v>44992</v>
      </c>
      <c r="M549" s="10">
        <v>23.240316390991211</v>
      </c>
      <c r="N549" s="10">
        <v>99.450042724609375</v>
      </c>
      <c r="O549" s="10">
        <v>127.87796020507812</v>
      </c>
      <c r="P549" s="10">
        <v>149.1689453125</v>
      </c>
      <c r="Q549" s="10">
        <v>380.81930541992188</v>
      </c>
      <c r="R549" s="10">
        <v>140.11357116699219</v>
      </c>
      <c r="S549" s="10">
        <v>125.53248596191406</v>
      </c>
      <c r="V549" s="11">
        <v>44993</v>
      </c>
      <c r="W549" s="12">
        <v>8.3771006684167926E-3</v>
      </c>
      <c r="X549" s="12">
        <v>-7.3334195119120205E-3</v>
      </c>
      <c r="Y549" s="12">
        <v>-5.9154405228259987E-3</v>
      </c>
      <c r="Z549" s="12">
        <v>3.8345967157446648E-2</v>
      </c>
      <c r="AA549" s="12">
        <v>1.4513369986257629E-4</v>
      </c>
      <c r="AB549" s="12">
        <v>1.6323832787856762E-3</v>
      </c>
      <c r="AC549" s="12">
        <v>-1.4604473025019549E-2</v>
      </c>
    </row>
    <row r="550" spans="12:29" x14ac:dyDescent="0.2">
      <c r="L550" s="11">
        <v>44993</v>
      </c>
      <c r="M550" s="10">
        <v>24.131488800048828</v>
      </c>
      <c r="N550" s="10">
        <v>97.997627258300781</v>
      </c>
      <c r="O550" s="10">
        <v>127.12150573730467</v>
      </c>
      <c r="P550" s="10">
        <v>150.41854858398438</v>
      </c>
      <c r="Q550" s="10">
        <v>381.44094848632812</v>
      </c>
      <c r="R550" s="10">
        <v>139.0860595703125</v>
      </c>
      <c r="S550" s="10">
        <v>125.55070495605467</v>
      </c>
      <c r="V550" s="11">
        <v>44994</v>
      </c>
      <c r="W550" s="12">
        <v>-1.4914540015398936E-2</v>
      </c>
      <c r="X550" s="12">
        <v>-1.124469344642276E-2</v>
      </c>
      <c r="Y550" s="12">
        <v>-5.4136610877279723E-2</v>
      </c>
      <c r="Z550" s="12">
        <v>-3.0809407319878135E-2</v>
      </c>
      <c r="AA550" s="12">
        <v>-7.3411925074721163E-3</v>
      </c>
      <c r="AB550" s="12">
        <v>-1.8450031870404282E-2</v>
      </c>
      <c r="AC550" s="12">
        <v>-7.7286859334303459E-3</v>
      </c>
    </row>
    <row r="551" spans="12:29" x14ac:dyDescent="0.2">
      <c r="L551" s="11">
        <v>44994</v>
      </c>
      <c r="M551" s="10">
        <v>23.388011932373047</v>
      </c>
      <c r="N551" s="10">
        <v>97.240234375</v>
      </c>
      <c r="O551" s="10">
        <v>120.23957824707033</v>
      </c>
      <c r="P551" s="10">
        <v>148.17512512207031</v>
      </c>
      <c r="Q551" s="10">
        <v>374.40335083007812</v>
      </c>
      <c r="R551" s="10">
        <v>137.52207946777344</v>
      </c>
      <c r="S551" s="10">
        <v>124.62901306152344</v>
      </c>
      <c r="V551" s="11">
        <v>44995</v>
      </c>
      <c r="W551" s="12">
        <v>-1.3878869980398112E-2</v>
      </c>
      <c r="X551" s="12">
        <v>2.4464510814636853E-3</v>
      </c>
      <c r="Y551" s="12">
        <v>2.5394983084435774E-2</v>
      </c>
      <c r="Z551" s="12">
        <v>-2.0097367047967607E-2</v>
      </c>
      <c r="AA551" s="12">
        <v>4.53984096109461E-3</v>
      </c>
      <c r="AB551" s="12">
        <v>-1.4429370819408427E-2</v>
      </c>
      <c r="AC551" s="12">
        <v>-1.2370510876333229E-2</v>
      </c>
    </row>
    <row r="552" spans="12:29" x14ac:dyDescent="0.2">
      <c r="L552" s="11">
        <v>44995</v>
      </c>
      <c r="M552" s="10">
        <v>22.917974472045898</v>
      </c>
      <c r="N552" s="10">
        <v>96.037322998046875</v>
      </c>
      <c r="O552" s="10">
        <v>123.29306030273438</v>
      </c>
      <c r="P552" s="10">
        <v>146.11862182617188</v>
      </c>
      <c r="Q552" s="10">
        <v>369.00094604492188</v>
      </c>
      <c r="R552" s="10">
        <v>137.8585205078125</v>
      </c>
      <c r="S552" s="10">
        <v>125.19480895996094</v>
      </c>
      <c r="V552" s="11">
        <v>44998</v>
      </c>
      <c r="W552" s="12">
        <v>1.3265831456250599E-2</v>
      </c>
      <c r="X552" s="12">
        <v>9.5640185347687368E-3</v>
      </c>
      <c r="Y552" s="12">
        <v>-1.7957066058557958E-2</v>
      </c>
      <c r="Z552" s="12">
        <v>4.3609904741392924E-5</v>
      </c>
      <c r="AA552" s="12">
        <v>6.9246329603265266E-3</v>
      </c>
      <c r="AB552" s="12">
        <v>-1.4252251368593871E-3</v>
      </c>
      <c r="AC552" s="12">
        <v>-1.1504945580658732E-2</v>
      </c>
    </row>
    <row r="553" spans="12:29" x14ac:dyDescent="0.2">
      <c r="L553" s="11">
        <v>44998</v>
      </c>
      <c r="M553" s="10">
        <v>22.918973922729492</v>
      </c>
      <c r="N553" s="10">
        <v>94.932418823242202</v>
      </c>
      <c r="O553" s="10">
        <v>121.07907867431641</v>
      </c>
      <c r="P553" s="10">
        <v>148.0570068359375</v>
      </c>
      <c r="Q553" s="10">
        <v>368.47503662109375</v>
      </c>
      <c r="R553" s="10">
        <v>139.177001953125</v>
      </c>
      <c r="S553" s="10">
        <v>126.06173706054688</v>
      </c>
      <c r="V553" s="11">
        <v>44999</v>
      </c>
      <c r="W553" s="12">
        <v>1.4089466997228905E-2</v>
      </c>
      <c r="X553" s="12">
        <v>5.6187277329586838E-3</v>
      </c>
      <c r="Y553" s="12">
        <v>2.5675930872925301E-2</v>
      </c>
      <c r="Z553" s="12">
        <v>4.7766242462327524E-2</v>
      </c>
      <c r="AA553" s="12">
        <v>1.2378863999655154E-2</v>
      </c>
      <c r="AB553" s="12">
        <v>1.6529970126360372E-2</v>
      </c>
      <c r="AC553" s="12">
        <v>3.754566228577616E-3</v>
      </c>
    </row>
    <row r="554" spans="12:29" x14ac:dyDescent="0.2">
      <c r="L554" s="11">
        <v>44999</v>
      </c>
      <c r="M554" s="10">
        <v>24.013727188110352</v>
      </c>
      <c r="N554" s="10">
        <v>95.288848876953125</v>
      </c>
      <c r="O554" s="10">
        <v>124.18789672851562</v>
      </c>
      <c r="P554" s="10">
        <v>150.14305114746094</v>
      </c>
      <c r="Q554" s="10">
        <v>374.56591796875</v>
      </c>
      <c r="R554" s="10">
        <v>139.95899963378906</v>
      </c>
      <c r="S554" s="10">
        <v>127.62223815917967</v>
      </c>
      <c r="V554" s="11">
        <v>45000</v>
      </c>
      <c r="W554" s="12">
        <v>2.6214014039955824E-3</v>
      </c>
      <c r="X554" s="12">
        <v>2.7937215238009738E-3</v>
      </c>
      <c r="Y554" s="12">
        <v>-4.7243885998610624E-2</v>
      </c>
      <c r="Z554" s="12">
        <v>6.8570494504853752E-3</v>
      </c>
      <c r="AA554" s="12">
        <v>1.4158071443405751E-2</v>
      </c>
      <c r="AB554" s="12">
        <v>-6.2543100020726605E-3</v>
      </c>
      <c r="AC554" s="12">
        <v>-4.9747551982833871E-2</v>
      </c>
    </row>
    <row r="555" spans="12:29" x14ac:dyDescent="0.2">
      <c r="L555" s="11">
        <v>45000</v>
      </c>
      <c r="M555" s="10">
        <v>24.178390502929688</v>
      </c>
      <c r="N555" s="10">
        <v>90.5484619140625</v>
      </c>
      <c r="O555" s="10">
        <v>118.32077789306641</v>
      </c>
      <c r="P555" s="10">
        <v>150.53663635253906</v>
      </c>
      <c r="Q555" s="10">
        <v>372.2232666015625</v>
      </c>
      <c r="R555" s="10">
        <v>140.35000610351562</v>
      </c>
      <c r="S555" s="10">
        <v>129.42912292480469</v>
      </c>
      <c r="V555" s="11">
        <v>45001</v>
      </c>
      <c r="W555" s="12">
        <v>1.8693904021146679E-2</v>
      </c>
      <c r="X555" s="12">
        <v>-2.0733904777767709E-3</v>
      </c>
      <c r="Y555" s="12">
        <v>1.9413754008194672E-2</v>
      </c>
      <c r="Z555" s="12">
        <v>5.4193448633843566E-2</v>
      </c>
      <c r="AA555" s="12">
        <v>7.4737095637287254E-3</v>
      </c>
      <c r="AB555" s="12">
        <v>1.7545198774913118E-2</v>
      </c>
      <c r="AC555" s="12">
        <v>-5.8059372611297677E-3</v>
      </c>
    </row>
    <row r="556" spans="12:29" x14ac:dyDescent="0.2">
      <c r="L556" s="11">
        <v>45001</v>
      </c>
      <c r="M556" s="10">
        <v>25.488700866699219</v>
      </c>
      <c r="N556" s="10">
        <v>90.022743225097656</v>
      </c>
      <c r="O556" s="10">
        <v>120.61782836914062</v>
      </c>
      <c r="P556" s="10">
        <v>153.35075378417969</v>
      </c>
      <c r="Q556" s="10">
        <v>378.75399780273438</v>
      </c>
      <c r="R556" s="10">
        <v>140.05900573730469</v>
      </c>
      <c r="S556" s="10">
        <v>130.39643859863281</v>
      </c>
      <c r="V556" s="11">
        <v>45002</v>
      </c>
      <c r="W556" s="12">
        <v>-5.4537340565841141E-3</v>
      </c>
      <c r="X556" s="12">
        <v>-1.0712059725629608E-2</v>
      </c>
      <c r="Y556" s="12">
        <v>-3.7782122530459317E-2</v>
      </c>
      <c r="Z556" s="12">
        <v>7.2042186805474362E-3</v>
      </c>
      <c r="AA556" s="12">
        <v>2.7967409425677658E-4</v>
      </c>
      <c r="AB556" s="12">
        <v>-1.1692601029843708E-2</v>
      </c>
      <c r="AC556" s="12">
        <v>-1.177884311834243E-2</v>
      </c>
    </row>
    <row r="557" spans="12:29" x14ac:dyDescent="0.2">
      <c r="L557" s="11">
        <v>45002</v>
      </c>
      <c r="M557" s="10">
        <v>25.672327041625977</v>
      </c>
      <c r="N557" s="10">
        <v>88.962379455566406</v>
      </c>
      <c r="O557" s="10">
        <v>116.06063079833984</v>
      </c>
      <c r="P557" s="10">
        <v>152.51441955566406</v>
      </c>
      <c r="Q557" s="10">
        <v>374.32537841796869</v>
      </c>
      <c r="R557" s="10">
        <v>138.55868530273438</v>
      </c>
      <c r="S557" s="10">
        <v>130.43290710449219</v>
      </c>
      <c r="V557" s="11">
        <v>45005</v>
      </c>
      <c r="W557" s="12">
        <v>1.5483755428238766E-2</v>
      </c>
      <c r="X557" s="12">
        <v>9.909166615091447E-3</v>
      </c>
      <c r="Y557" s="12">
        <v>1.0571577642537688E-2</v>
      </c>
      <c r="Z557" s="12">
        <v>6.8026068648072702E-3</v>
      </c>
      <c r="AA557" s="12">
        <v>1.5392163663974445E-2</v>
      </c>
      <c r="AB557" s="12">
        <v>9.6156056786405042E-3</v>
      </c>
      <c r="AC557" s="12">
        <v>2.6141812208883008E-2</v>
      </c>
    </row>
    <row r="558" spans="12:29" x14ac:dyDescent="0.2">
      <c r="L558" s="11">
        <v>45005</v>
      </c>
      <c r="M558" s="10">
        <v>25.846965789794918</v>
      </c>
      <c r="N558" s="10">
        <v>91.288017272949219</v>
      </c>
      <c r="O558" s="10">
        <v>117.28757476806641</v>
      </c>
      <c r="P558" s="10">
        <v>154.87591552734375</v>
      </c>
      <c r="Q558" s="10">
        <v>377.92474365234375</v>
      </c>
      <c r="R558" s="10">
        <v>139.93168640136719</v>
      </c>
      <c r="S558" s="10">
        <v>132.4405517578125</v>
      </c>
      <c r="V558" s="11">
        <v>45006</v>
      </c>
      <c r="W558" s="12">
        <v>1.1944199122990495E-2</v>
      </c>
      <c r="X558" s="12">
        <v>0</v>
      </c>
      <c r="Y558" s="12">
        <v>2.6820780717404347E-2</v>
      </c>
      <c r="Z558" s="12">
        <v>1.1544466659690888E-2</v>
      </c>
      <c r="AA558" s="12">
        <v>-7.23464518739525E-3</v>
      </c>
      <c r="AB558" s="12">
        <v>1.3130339721821427E-2</v>
      </c>
      <c r="AC558" s="12">
        <v>4.4802542819015967E-2</v>
      </c>
    </row>
    <row r="559" spans="12:29" x14ac:dyDescent="0.2">
      <c r="L559" s="11">
        <v>45006</v>
      </c>
      <c r="M559" s="10">
        <v>26.145355224609375</v>
      </c>
      <c r="N559" s="10">
        <v>95.377952575683594</v>
      </c>
      <c r="O559" s="10">
        <v>120.43331909179688</v>
      </c>
      <c r="P559" s="10">
        <v>156.72578430175781</v>
      </c>
      <c r="Q559" s="10">
        <v>382.88702392578131</v>
      </c>
      <c r="R559" s="10">
        <v>139.93168640136719</v>
      </c>
      <c r="S559" s="10">
        <v>131.48239135742188</v>
      </c>
      <c r="V559" s="11">
        <v>45007</v>
      </c>
      <c r="W559" s="12">
        <v>-9.103626934429454E-3</v>
      </c>
      <c r="X559" s="12">
        <v>-1.8454483110797004E-2</v>
      </c>
      <c r="Y559" s="12">
        <v>-2.5813857786379901E-2</v>
      </c>
      <c r="Z559" s="12">
        <v>1.0267735730351779E-2</v>
      </c>
      <c r="AA559" s="12">
        <v>-6.2470769412881211E-4</v>
      </c>
      <c r="AB559" s="12">
        <v>-1.7046266981507685E-2</v>
      </c>
      <c r="AC559" s="12">
        <v>-2.2888754912557929E-2</v>
      </c>
    </row>
    <row r="560" spans="12:29" x14ac:dyDescent="0.2">
      <c r="L560" s="11">
        <v>45007</v>
      </c>
      <c r="M560" s="10">
        <v>26.413808822631836</v>
      </c>
      <c r="N560" s="10">
        <v>93.194869995117202</v>
      </c>
      <c r="O560" s="10">
        <v>117.32447052001952</v>
      </c>
      <c r="P560" s="10">
        <v>155.29901123046875</v>
      </c>
      <c r="Q560" s="10">
        <v>376.3602294921875</v>
      </c>
      <c r="R560" s="10">
        <v>137.34931945800781</v>
      </c>
      <c r="S560" s="10">
        <v>131.40025329589844</v>
      </c>
      <c r="V560" s="11">
        <v>45008</v>
      </c>
      <c r="W560" s="12">
        <v>6.9695675122689593E-3</v>
      </c>
      <c r="X560" s="12">
        <v>5.2958869944141895E-4</v>
      </c>
      <c r="Y560" s="12">
        <v>-2.6735678019043085E-3</v>
      </c>
      <c r="Z560" s="12">
        <v>2.7315850597789293E-2</v>
      </c>
      <c r="AA560" s="12">
        <v>-1.388965176235768E-3</v>
      </c>
      <c r="AB560" s="12">
        <v>2.7032479518462882E-3</v>
      </c>
      <c r="AC560" s="12">
        <v>-1.1281974203040668E-2</v>
      </c>
    </row>
    <row r="561" spans="12:29" x14ac:dyDescent="0.2">
      <c r="L561" s="11">
        <v>45008</v>
      </c>
      <c r="M561" s="10">
        <v>27.135324478149418</v>
      </c>
      <c r="N561" s="10">
        <v>92.143447875976562</v>
      </c>
      <c r="O561" s="10">
        <v>117.01079559326172</v>
      </c>
      <c r="P561" s="10">
        <v>156.38137817382812</v>
      </c>
      <c r="Q561" s="10">
        <v>377.37762451171869</v>
      </c>
      <c r="R561" s="10">
        <v>137.42205810546875</v>
      </c>
      <c r="S561" s="10">
        <v>131.21774291992188</v>
      </c>
      <c r="V561" s="11">
        <v>45009</v>
      </c>
      <c r="W561" s="12">
        <v>8.3055165529763997E-3</v>
      </c>
      <c r="X561" s="12">
        <v>1.0057525506068643E-2</v>
      </c>
      <c r="Y561" s="12">
        <v>-1.5215782078693008E-2</v>
      </c>
      <c r="Z561" s="12">
        <v>-1.5152187168867126E-2</v>
      </c>
      <c r="AA561" s="12">
        <v>2.0376915550534003E-2</v>
      </c>
      <c r="AB561" s="12">
        <v>6.5620726659019191E-3</v>
      </c>
      <c r="AC561" s="12">
        <v>1.160429382883521E-3</v>
      </c>
    </row>
    <row r="562" spans="12:29" x14ac:dyDescent="0.2">
      <c r="L562" s="11">
        <v>45009</v>
      </c>
      <c r="M562" s="10">
        <v>26.724164962768555</v>
      </c>
      <c r="N562" s="10">
        <v>92.250373840332045</v>
      </c>
      <c r="O562" s="10">
        <v>115.23038482666016</v>
      </c>
      <c r="P562" s="10">
        <v>157.68020629882812</v>
      </c>
      <c r="Q562" s="10">
        <v>379.85400390625</v>
      </c>
      <c r="R562" s="10">
        <v>138.80418395996094</v>
      </c>
      <c r="S562" s="10">
        <v>133.89155578613281</v>
      </c>
      <c r="V562" s="11">
        <v>45012</v>
      </c>
      <c r="W562" s="12">
        <v>-1.229323777571123E-2</v>
      </c>
      <c r="X562" s="12">
        <v>4.2580412109001209E-3</v>
      </c>
      <c r="Y562" s="12">
        <v>2.8660619008457511E-2</v>
      </c>
      <c r="Z562" s="12">
        <v>-9.2608327405320212E-3</v>
      </c>
      <c r="AA562" s="12">
        <v>-5.2479185368599079E-3</v>
      </c>
      <c r="AB562" s="12">
        <v>1.8699200839138452E-3</v>
      </c>
      <c r="AC562" s="12">
        <v>2.1925922642305196E-2</v>
      </c>
    </row>
    <row r="563" spans="12:29" x14ac:dyDescent="0.2">
      <c r="L563" s="11">
        <v>45012</v>
      </c>
      <c r="M563" s="10">
        <v>26.476676940917969</v>
      </c>
      <c r="N563" s="10">
        <v>94.273048400878906</v>
      </c>
      <c r="O563" s="10">
        <v>118.532958984375</v>
      </c>
      <c r="P563" s="10">
        <v>155.74180603027344</v>
      </c>
      <c r="Q563" s="10">
        <v>380.56430053710938</v>
      </c>
      <c r="R563" s="10">
        <v>139.39521789550781</v>
      </c>
      <c r="S563" s="10">
        <v>133.18890380859375</v>
      </c>
      <c r="V563" s="11">
        <v>45013</v>
      </c>
      <c r="W563" s="12">
        <v>-3.9803285980427594E-3</v>
      </c>
      <c r="X563" s="12">
        <v>-9.6540875856078179E-3</v>
      </c>
      <c r="Y563" s="12">
        <v>3.0352685109091837E-3</v>
      </c>
      <c r="Z563" s="12">
        <v>-4.5608498967395494E-3</v>
      </c>
      <c r="AA563" s="12">
        <v>2.8090196579821924E-3</v>
      </c>
      <c r="AB563" s="12">
        <v>-2.2447680017475546E-3</v>
      </c>
      <c r="AC563" s="12">
        <v>1.247637185665873E-2</v>
      </c>
    </row>
    <row r="564" spans="12:29" x14ac:dyDescent="0.2">
      <c r="L564" s="11">
        <v>45013</v>
      </c>
      <c r="M564" s="10">
        <v>26.355920791625977</v>
      </c>
      <c r="N564" s="10">
        <v>95.449234008789062</v>
      </c>
      <c r="O564" s="10">
        <v>118.89273834228516</v>
      </c>
      <c r="P564" s="10">
        <v>155.12190246582031</v>
      </c>
      <c r="Q564" s="10">
        <v>379.71002197265625</v>
      </c>
      <c r="R564" s="10">
        <v>138.04948425292969</v>
      </c>
      <c r="S564" s="10">
        <v>133.56303405761719</v>
      </c>
      <c r="V564" s="11">
        <v>45014</v>
      </c>
      <c r="W564" s="12">
        <v>1.9790737206288878E-2</v>
      </c>
      <c r="X564" s="12">
        <v>9.8142952562949581E-3</v>
      </c>
      <c r="Y564" s="12">
        <v>2.0172606824302441E-3</v>
      </c>
      <c r="Z564" s="12">
        <v>2.1734258120856387E-2</v>
      </c>
      <c r="AA564" s="12">
        <v>3.0746515526287599E-3</v>
      </c>
      <c r="AB564" s="12">
        <v>1.4534969231666972E-2</v>
      </c>
      <c r="AC564" s="12">
        <v>1.717694630253952E-2</v>
      </c>
    </row>
    <row r="565" spans="12:29" x14ac:dyDescent="0.2">
      <c r="L565" s="11">
        <v>45014</v>
      </c>
      <c r="M565" s="10">
        <v>26.928747177124023</v>
      </c>
      <c r="N565" s="10">
        <v>97.088760375976562</v>
      </c>
      <c r="O565" s="10">
        <v>119.13257598876952</v>
      </c>
      <c r="P565" s="10">
        <v>158.19187927246094</v>
      </c>
      <c r="Q565" s="10">
        <v>385.22909545898438</v>
      </c>
      <c r="R565" s="10">
        <v>139.40434265136719</v>
      </c>
      <c r="S565" s="10">
        <v>133.97369384765625</v>
      </c>
      <c r="V565" s="11">
        <v>45015</v>
      </c>
      <c r="W565" s="12">
        <v>9.8899777115715182E-3</v>
      </c>
      <c r="X565" s="12">
        <v>7.8239904255728021E-4</v>
      </c>
      <c r="Y565" s="12">
        <v>-3.0199273836698515E-3</v>
      </c>
      <c r="Z565" s="12">
        <v>1.478635816092444E-2</v>
      </c>
      <c r="AA565" s="12">
        <v>4.3591758636005729E-3</v>
      </c>
      <c r="AB565" s="12">
        <v>5.8553358989295035E-3</v>
      </c>
      <c r="AC565" s="12">
        <v>4.8642038445598779E-3</v>
      </c>
    </row>
    <row r="566" spans="12:29" x14ac:dyDescent="0.2">
      <c r="L566" s="11">
        <v>45015</v>
      </c>
      <c r="M566" s="10">
        <v>27.326925277709961</v>
      </c>
      <c r="N566" s="10">
        <v>97.561019897460938</v>
      </c>
      <c r="O566" s="10">
        <v>118.77280426025391</v>
      </c>
      <c r="P566" s="10">
        <v>159.75639343261719</v>
      </c>
      <c r="Q566" s="10">
        <v>387.4847412109375</v>
      </c>
      <c r="R566" s="10">
        <v>139.51341247558594</v>
      </c>
      <c r="S566" s="10">
        <v>134.55770874023438</v>
      </c>
      <c r="V566" s="11">
        <v>45016</v>
      </c>
      <c r="W566" s="12">
        <v>1.5644241362892108E-2</v>
      </c>
      <c r="X566" s="12">
        <v>1.0232905483022137E-2</v>
      </c>
      <c r="Y566" s="12">
        <v>1.2116492586069949E-2</v>
      </c>
      <c r="Z566" s="12">
        <v>1.4388666463928557E-2</v>
      </c>
      <c r="AA566" s="12">
        <v>8.4097136274783324E-3</v>
      </c>
      <c r="AB566" s="12">
        <v>1.4094557024832532E-2</v>
      </c>
      <c r="AC566" s="12">
        <v>1.5525295839271536E-3</v>
      </c>
    </row>
    <row r="567" spans="12:29" x14ac:dyDescent="0.2">
      <c r="L567" s="11">
        <v>45016</v>
      </c>
      <c r="M567" s="10">
        <v>27.720123291015625</v>
      </c>
      <c r="N567" s="10">
        <v>97.712486267089844</v>
      </c>
      <c r="O567" s="10">
        <v>120.2119140625</v>
      </c>
      <c r="P567" s="10">
        <v>162.25566101074219</v>
      </c>
      <c r="Q567" s="10">
        <v>392.9461669921875</v>
      </c>
      <c r="R567" s="10">
        <v>140.9410400390625</v>
      </c>
      <c r="S567" s="10">
        <v>135.68930053710938</v>
      </c>
      <c r="V567" s="11">
        <v>45019</v>
      </c>
      <c r="W567" s="12">
        <v>7.7015404115281516E-3</v>
      </c>
      <c r="X567" s="12">
        <v>1.1935632506459015E-2</v>
      </c>
      <c r="Y567" s="12">
        <v>-1.1511501092632548E-3</v>
      </c>
      <c r="Z567" s="12">
        <v>6.768098813981327E-3</v>
      </c>
      <c r="AA567" s="12">
        <v>5.514850997477172E-3</v>
      </c>
      <c r="AB567" s="12">
        <v>3.8105600626279212E-3</v>
      </c>
      <c r="AC567" s="12">
        <v>5.9000555227142204E-2</v>
      </c>
    </row>
    <row r="568" spans="12:29" x14ac:dyDescent="0.2">
      <c r="L568" s="11">
        <v>45019</v>
      </c>
      <c r="M568" s="10">
        <v>27.907735824584961</v>
      </c>
      <c r="N568" s="10">
        <v>103.47757720947266</v>
      </c>
      <c r="O568" s="10">
        <v>120.0735321044922</v>
      </c>
      <c r="P568" s="10">
        <v>163.50527954101562</v>
      </c>
      <c r="Q568" s="10">
        <v>394.44351196289062</v>
      </c>
      <c r="R568" s="10">
        <v>142.62326049804688</v>
      </c>
      <c r="S568" s="10">
        <v>136.43760681152344</v>
      </c>
      <c r="V568" s="11">
        <v>45020</v>
      </c>
      <c r="W568" s="12">
        <v>-3.2495971716437477E-3</v>
      </c>
      <c r="X568" s="12">
        <v>1.0455701202466194E-2</v>
      </c>
      <c r="Y568" s="12">
        <v>-1.3368107997584255E-2</v>
      </c>
      <c r="Z568" s="12">
        <v>-1.8308546838502804E-2</v>
      </c>
      <c r="AA568" s="12">
        <v>4.8157064051914666E-3</v>
      </c>
      <c r="AB568" s="12">
        <v>-5.5481088190636463E-3</v>
      </c>
      <c r="AC568" s="12">
        <v>-9.5582744040723089E-3</v>
      </c>
    </row>
    <row r="569" spans="12:29" x14ac:dyDescent="0.2">
      <c r="L569" s="11">
        <v>45020</v>
      </c>
      <c r="M569" s="10">
        <v>27.396785736083984</v>
      </c>
      <c r="N569" s="10">
        <v>102.48851013183594</v>
      </c>
      <c r="O569" s="10">
        <v>118.46837615966795</v>
      </c>
      <c r="P569" s="10">
        <v>162.97395324707031</v>
      </c>
      <c r="Q569" s="10">
        <v>392.25509643554688</v>
      </c>
      <c r="R569" s="10">
        <v>144.11448669433594</v>
      </c>
      <c r="S569" s="10">
        <v>137.09465026855469</v>
      </c>
      <c r="V569" s="11">
        <v>45021</v>
      </c>
      <c r="W569" s="12">
        <v>-1.1290406090035066E-2</v>
      </c>
      <c r="X569" s="12">
        <v>4.492398742277004E-2</v>
      </c>
      <c r="Y569" s="12">
        <v>1.4911880798722521E-3</v>
      </c>
      <c r="Z569" s="12">
        <v>-2.0835424817071457E-2</v>
      </c>
      <c r="AA569" s="12">
        <v>6.856260716211704E-3</v>
      </c>
      <c r="AB569" s="12">
        <v>-2.6183702930310249E-3</v>
      </c>
      <c r="AC569" s="12">
        <v>1.7127566015805229E-2</v>
      </c>
    </row>
    <row r="570" spans="12:29" x14ac:dyDescent="0.2">
      <c r="L570" s="11">
        <v>45021</v>
      </c>
      <c r="M570" s="10">
        <v>26.825962066650391</v>
      </c>
      <c r="N570" s="10">
        <v>104.24388885498048</v>
      </c>
      <c r="O570" s="10">
        <v>118.64503479003906</v>
      </c>
      <c r="P570" s="10">
        <v>161.1339111328125</v>
      </c>
      <c r="Q570" s="10">
        <v>391.22802734375</v>
      </c>
      <c r="R570" s="10">
        <v>150.58868408203125</v>
      </c>
      <c r="S570" s="10">
        <v>138.03460693359375</v>
      </c>
      <c r="V570" s="11">
        <v>45022</v>
      </c>
      <c r="W570" s="12">
        <v>5.4959852546458965E-3</v>
      </c>
      <c r="X570" s="12">
        <v>-2.7776933381159497E-3</v>
      </c>
      <c r="Y570" s="12">
        <v>-1.097161206303765E-3</v>
      </c>
      <c r="Z570" s="12">
        <v>5.8031800564966041E-3</v>
      </c>
      <c r="AA570" s="12">
        <v>6.3465069892052473E-3</v>
      </c>
      <c r="AB570" s="12">
        <v>3.9009310626720861E-3</v>
      </c>
      <c r="AC570" s="12">
        <v>-1.6582555437113178E-2</v>
      </c>
    </row>
    <row r="571" spans="12:29" x14ac:dyDescent="0.2">
      <c r="L571" s="11">
        <v>45022</v>
      </c>
      <c r="M571" s="10">
        <v>26.981637954711911</v>
      </c>
      <c r="N571" s="10">
        <v>102.5152587890625</v>
      </c>
      <c r="O571" s="10">
        <v>118.51486206054688</v>
      </c>
      <c r="P571" s="10">
        <v>162.01950073242188</v>
      </c>
      <c r="Q571" s="10">
        <v>392.75418090820312</v>
      </c>
      <c r="R571" s="10">
        <v>150.17039489746094</v>
      </c>
      <c r="S571" s="10">
        <v>138.91064453125</v>
      </c>
      <c r="V571" s="11">
        <v>45026</v>
      </c>
      <c r="W571" s="12">
        <v>-1.5972239880732042E-2</v>
      </c>
      <c r="X571" s="12">
        <v>-5.025622444068123E-3</v>
      </c>
      <c r="Y571" s="12">
        <v>3.2948413735567339E-3</v>
      </c>
      <c r="Z571" s="12">
        <v>2.0046586530369614E-2</v>
      </c>
      <c r="AA571" s="12">
        <v>-8.2774509734998558E-3</v>
      </c>
      <c r="AB571" s="12">
        <v>1.0262033452193009E-3</v>
      </c>
      <c r="AC571" s="12">
        <v>-4.4327254541230987E-3</v>
      </c>
    </row>
    <row r="572" spans="12:29" x14ac:dyDescent="0.2">
      <c r="L572" s="11">
        <v>45026</v>
      </c>
      <c r="M572" s="10">
        <v>27.522527694702148</v>
      </c>
      <c r="N572" s="10">
        <v>102.0608367919922</v>
      </c>
      <c r="O572" s="10">
        <v>118.90534973144533</v>
      </c>
      <c r="P572" s="10">
        <v>159.43168640136719</v>
      </c>
      <c r="Q572" s="10">
        <v>393.1572265625</v>
      </c>
      <c r="R572" s="10">
        <v>149.41569519042969</v>
      </c>
      <c r="S572" s="10">
        <v>137.76081848144531</v>
      </c>
      <c r="V572" s="11">
        <v>45027</v>
      </c>
      <c r="W572" s="12">
        <v>-7.5912222933115503E-3</v>
      </c>
      <c r="X572" s="12">
        <v>-3.0432673989366776E-4</v>
      </c>
      <c r="Y572" s="12">
        <v>4.92615989490508E-3</v>
      </c>
      <c r="Z572" s="12">
        <v>-1.4866250798438174E-2</v>
      </c>
      <c r="AA572" s="12">
        <v>-1.9873081212583577E-3</v>
      </c>
      <c r="AB572" s="12">
        <v>2.6857148534631392E-4</v>
      </c>
      <c r="AC572" s="12">
        <v>7.0715221092896297E-3</v>
      </c>
    </row>
    <row r="573" spans="12:29" x14ac:dyDescent="0.2">
      <c r="L573" s="11">
        <v>45027</v>
      </c>
      <c r="M573" s="10">
        <v>27.113370895385746</v>
      </c>
      <c r="N573" s="10">
        <v>102.78256225585938</v>
      </c>
      <c r="O573" s="10">
        <v>119.49109649658205</v>
      </c>
      <c r="P573" s="10">
        <v>158.22140502929688</v>
      </c>
      <c r="Q573" s="10">
        <v>393.2628173828125</v>
      </c>
      <c r="R573" s="10">
        <v>149.37022399902344</v>
      </c>
      <c r="S573" s="10">
        <v>137.48704528808594</v>
      </c>
      <c r="V573" s="11">
        <v>45028</v>
      </c>
      <c r="W573" s="12">
        <v>-4.3532778523469595E-3</v>
      </c>
      <c r="X573" s="12">
        <v>-2.1306292174981811E-3</v>
      </c>
      <c r="Y573" s="12">
        <v>-1.5560016618643147E-4</v>
      </c>
      <c r="Z573" s="12">
        <v>-2.4807644485152158E-2</v>
      </c>
      <c r="AA573" s="12">
        <v>2.7215365971868799E-3</v>
      </c>
      <c r="AB573" s="12">
        <v>-4.0759912205360349E-3</v>
      </c>
      <c r="AC573" s="12">
        <v>-1.0401638490027398E-3</v>
      </c>
    </row>
    <row r="574" spans="12:29" x14ac:dyDescent="0.2">
      <c r="L574" s="11">
        <v>45028</v>
      </c>
      <c r="M574" s="10">
        <v>26.440752029418945</v>
      </c>
      <c r="N574" s="10">
        <v>102.67565155029295</v>
      </c>
      <c r="O574" s="10">
        <v>119.47250366210938</v>
      </c>
      <c r="P574" s="10">
        <v>157.53262329101562</v>
      </c>
      <c r="Q574" s="10">
        <v>391.65988159179688</v>
      </c>
      <c r="R574" s="10">
        <v>149.05197143554688</v>
      </c>
      <c r="S574" s="10">
        <v>137.86122131347656</v>
      </c>
      <c r="V574" s="11">
        <v>45029</v>
      </c>
      <c r="W574" s="12">
        <v>3.4103547267944512E-2</v>
      </c>
      <c r="X574" s="12">
        <v>1.3360093445410559E-2</v>
      </c>
      <c r="Y574" s="12">
        <v>3.8132124269611989E-3</v>
      </c>
      <c r="Z574" s="12">
        <v>-1.2077847908276151E-3</v>
      </c>
      <c r="AA574" s="12">
        <v>4.6337120621395833E-3</v>
      </c>
      <c r="AB574" s="12">
        <v>1.3282856644400987E-2</v>
      </c>
      <c r="AC574" s="12">
        <v>4.686094111393091E-3</v>
      </c>
    </row>
    <row r="575" spans="12:29" x14ac:dyDescent="0.2">
      <c r="L575" s="11">
        <v>45029</v>
      </c>
      <c r="M575" s="10">
        <v>26.408817291259769</v>
      </c>
      <c r="N575" s="10">
        <v>103.15679931640624</v>
      </c>
      <c r="O575" s="10">
        <v>119.92807769775391</v>
      </c>
      <c r="P575" s="10">
        <v>162.90504455566406</v>
      </c>
      <c r="Q575" s="10">
        <v>396.86224365234375</v>
      </c>
      <c r="R575" s="10">
        <v>151.04331970214844</v>
      </c>
      <c r="S575" s="10">
        <v>138.50003051757812</v>
      </c>
      <c r="V575" s="11">
        <v>45030</v>
      </c>
      <c r="W575" s="12">
        <v>-2.1141526271889477E-3</v>
      </c>
      <c r="X575" s="12">
        <v>-1.6253526320175737E-3</v>
      </c>
      <c r="Y575" s="12">
        <v>7.5509696318766029E-2</v>
      </c>
      <c r="Z575" s="12">
        <v>1.1147402834615905E-2</v>
      </c>
      <c r="AA575" s="12">
        <v>-5.0736288741616287E-3</v>
      </c>
      <c r="AB575" s="12">
        <v>-2.4427919758124306E-3</v>
      </c>
      <c r="AC575" s="12">
        <v>2.4186877744256652E-3</v>
      </c>
    </row>
    <row r="576" spans="12:29" x14ac:dyDescent="0.2">
      <c r="L576" s="11">
        <v>45030</v>
      </c>
      <c r="M576" s="10">
        <v>26.703207015991211</v>
      </c>
      <c r="N576" s="10">
        <v>103.40630340576172</v>
      </c>
      <c r="O576" s="10">
        <v>128.98381042480469</v>
      </c>
      <c r="P576" s="10">
        <v>162.56063842773438</v>
      </c>
      <c r="Q576" s="10">
        <v>395.89279174804688</v>
      </c>
      <c r="R576" s="10">
        <v>150.79782104492188</v>
      </c>
      <c r="S576" s="10">
        <v>137.79733276367188</v>
      </c>
      <c r="V576" s="11">
        <v>45033</v>
      </c>
      <c r="W576" s="12">
        <v>1.2117999086513898E-4</v>
      </c>
      <c r="X576" s="12">
        <v>-1.0251261650932042E-3</v>
      </c>
      <c r="Y576" s="12">
        <v>7.9291780288919256E-3</v>
      </c>
      <c r="Z576" s="12">
        <v>9.1188886192890006E-3</v>
      </c>
      <c r="AA576" s="12">
        <v>3.3109334108183397E-4</v>
      </c>
      <c r="AB576" s="12">
        <v>3.588251096636963E-3</v>
      </c>
      <c r="AC576" s="12">
        <v>-1.1633010717170378E-2</v>
      </c>
    </row>
    <row r="577" spans="12:29" x14ac:dyDescent="0.2">
      <c r="L577" s="11">
        <v>45033</v>
      </c>
      <c r="M577" s="10">
        <v>26.946710586547852</v>
      </c>
      <c r="N577" s="10">
        <v>102.20337677001952</v>
      </c>
      <c r="O577" s="10">
        <v>130.00654602050781</v>
      </c>
      <c r="P577" s="10">
        <v>162.58033752441406</v>
      </c>
      <c r="Q577" s="10">
        <v>397.3133544921875</v>
      </c>
      <c r="R577" s="10">
        <v>150.64323425292969</v>
      </c>
      <c r="S577" s="10">
        <v>137.84295654296875</v>
      </c>
      <c r="V577" s="11">
        <v>45034</v>
      </c>
      <c r="W577" s="12">
        <v>7.5046469382764602E-3</v>
      </c>
      <c r="X577" s="12">
        <v>-2.8128483457423137E-2</v>
      </c>
      <c r="Y577" s="12">
        <v>1.1227790630378154E-2</v>
      </c>
      <c r="Z577" s="12">
        <v>2.4627832271847394E-2</v>
      </c>
      <c r="AA577" s="12">
        <v>1.0593694084224392E-3</v>
      </c>
      <c r="AB577" s="12">
        <v>6.5226922404537646E-4</v>
      </c>
      <c r="AC577" s="12">
        <v>1.9529335657708646E-2</v>
      </c>
    </row>
    <row r="578" spans="12:29" x14ac:dyDescent="0.2">
      <c r="L578" s="11">
        <v>45034</v>
      </c>
      <c r="M578" s="10">
        <v>27.610349655151367</v>
      </c>
      <c r="N578" s="10">
        <v>104.1993408203125</v>
      </c>
      <c r="O578" s="10">
        <v>131.46623229980469</v>
      </c>
      <c r="P578" s="10">
        <v>163.80044555664062</v>
      </c>
      <c r="Q578" s="10">
        <v>397.572509765625</v>
      </c>
      <c r="R578" s="10">
        <v>146.40586853027344</v>
      </c>
      <c r="S578" s="10">
        <v>137.98898315429688</v>
      </c>
      <c r="V578" s="11">
        <v>45035</v>
      </c>
      <c r="W578" s="12">
        <v>6.9685340032525911E-3</v>
      </c>
      <c r="X578" s="12">
        <v>9.4406846169119429E-3</v>
      </c>
      <c r="Y578" s="12">
        <v>-1.2731304023748669E-3</v>
      </c>
      <c r="Z578" s="12">
        <v>9.5420107040899982E-3</v>
      </c>
      <c r="AA578" s="12">
        <v>1.983800949350023E-4</v>
      </c>
      <c r="AB578" s="12">
        <v>-1.6894827434810189E-4</v>
      </c>
      <c r="AC578" s="12">
        <v>-3.164022183666626E-3</v>
      </c>
    </row>
    <row r="579" spans="12:29" x14ac:dyDescent="0.2">
      <c r="L579" s="11">
        <v>45035</v>
      </c>
      <c r="M579" s="10">
        <v>27.873807907104492</v>
      </c>
      <c r="N579" s="10">
        <v>103.86965179443359</v>
      </c>
      <c r="O579" s="10">
        <v>131.29885864257812</v>
      </c>
      <c r="P579" s="10">
        <v>164.94189453125</v>
      </c>
      <c r="Q579" s="10">
        <v>397.50534057617188</v>
      </c>
      <c r="R579" s="10">
        <v>147.78804016113281</v>
      </c>
      <c r="S579" s="10">
        <v>138.016357421875</v>
      </c>
      <c r="V579" s="11">
        <v>45036</v>
      </c>
      <c r="W579" s="12">
        <v>-5.8464524971802989E-3</v>
      </c>
      <c r="X579" s="12">
        <v>6.4605241869830632E-3</v>
      </c>
      <c r="Y579" s="12">
        <v>-2.903146405925483E-3</v>
      </c>
      <c r="Z579" s="12">
        <v>-2.9608654169936632E-2</v>
      </c>
      <c r="AA579" s="12">
        <v>3.6658765467041388E-3</v>
      </c>
      <c r="AB579" s="12">
        <v>-5.4571606135831452E-3</v>
      </c>
      <c r="AC579" s="12">
        <v>-7.9780949631065301E-3</v>
      </c>
    </row>
    <row r="580" spans="12:29" x14ac:dyDescent="0.2">
      <c r="L580" s="11">
        <v>45036</v>
      </c>
      <c r="M580" s="10">
        <v>27.048501968383789</v>
      </c>
      <c r="N580" s="10">
        <v>103.0409698486328</v>
      </c>
      <c r="O580" s="10">
        <v>130.91767883300781</v>
      </c>
      <c r="P580" s="10">
        <v>163.97756958007812</v>
      </c>
      <c r="Q580" s="10">
        <v>395.33609008789062</v>
      </c>
      <c r="R580" s="10">
        <v>148.74282836914062</v>
      </c>
      <c r="S580" s="10">
        <v>138.52230834960938</v>
      </c>
      <c r="V580" s="11">
        <v>45037</v>
      </c>
      <c r="W580" s="12">
        <v>-9.7809189541386843E-3</v>
      </c>
      <c r="X580" s="12">
        <v>-5.4408027894924382E-3</v>
      </c>
      <c r="Y580" s="12">
        <v>-1.9175225217402669E-3</v>
      </c>
      <c r="Z580" s="12">
        <v>5.5340854320906629E-4</v>
      </c>
      <c r="AA580" s="12">
        <v>3.4604114164507038E-2</v>
      </c>
      <c r="AB580" s="12">
        <v>7.7688051749014164E-4</v>
      </c>
      <c r="AC580" s="12">
        <v>3.1996656840260762E-3</v>
      </c>
    </row>
    <row r="581" spans="12:29" x14ac:dyDescent="0.2">
      <c r="L581" s="11">
        <v>45037</v>
      </c>
      <c r="M581" s="10">
        <v>27.063470840454102</v>
      </c>
      <c r="N581" s="10">
        <v>103.37066650390624</v>
      </c>
      <c r="O581" s="10">
        <v>130.66664123535156</v>
      </c>
      <c r="P581" s="10">
        <v>162.37371826171875</v>
      </c>
      <c r="Q581" s="10">
        <v>395.64321899414062</v>
      </c>
      <c r="R581" s="10">
        <v>147.93354797363281</v>
      </c>
      <c r="S581" s="10">
        <v>143.31575012207031</v>
      </c>
      <c r="V581" s="11">
        <v>45040</v>
      </c>
      <c r="W581" s="12">
        <v>1.878525642109885E-3</v>
      </c>
      <c r="X581" s="12">
        <v>6.085009210443415E-3</v>
      </c>
      <c r="Y581" s="12">
        <v>1.3522715183709177E-3</v>
      </c>
      <c r="Z581" s="12">
        <v>-2.8392310607339155E-3</v>
      </c>
      <c r="AA581" s="12">
        <v>1.7940149319535248E-3</v>
      </c>
      <c r="AB581" s="12">
        <v>1.0433156488014461E-3</v>
      </c>
      <c r="AC581" s="12">
        <v>1.8877481732969326E-2</v>
      </c>
    </row>
    <row r="582" spans="12:29" x14ac:dyDescent="0.2">
      <c r="L582" s="11">
        <v>45040</v>
      </c>
      <c r="M582" s="10">
        <v>26.986631393432617</v>
      </c>
      <c r="N582" s="10">
        <v>105.32204437255859</v>
      </c>
      <c r="O582" s="10">
        <v>130.84333801269531</v>
      </c>
      <c r="P582" s="10">
        <v>162.67874145507812</v>
      </c>
      <c r="Q582" s="10">
        <v>396.05599975585938</v>
      </c>
      <c r="R582" s="10">
        <v>148.83372497558594</v>
      </c>
      <c r="S582" s="10">
        <v>143.57286071777344</v>
      </c>
      <c r="V582" s="11">
        <v>45041</v>
      </c>
      <c r="W582" s="12">
        <v>-9.4356099069964339E-3</v>
      </c>
      <c r="X582" s="12">
        <v>9.1641687940917649E-3</v>
      </c>
      <c r="Y582" s="12">
        <v>-2.1743977719284269E-2</v>
      </c>
      <c r="Z582" s="12">
        <v>-2.9620814308412902E-2</v>
      </c>
      <c r="AA582" s="12">
        <v>2.5560114573086601E-4</v>
      </c>
      <c r="AB582" s="12">
        <v>-1.5873908717415786E-2</v>
      </c>
      <c r="AC582" s="12">
        <v>-1.4213057210438307E-2</v>
      </c>
    </row>
    <row r="583" spans="12:29" x14ac:dyDescent="0.2">
      <c r="L583" s="11">
        <v>45041</v>
      </c>
      <c r="M583" s="10">
        <v>26.187265396118164</v>
      </c>
      <c r="N583" s="10">
        <v>103.82509613037109</v>
      </c>
      <c r="O583" s="10">
        <v>127.99828338623048</v>
      </c>
      <c r="P583" s="10">
        <v>161.14376831054688</v>
      </c>
      <c r="Q583" s="10">
        <v>389.76904296875</v>
      </c>
      <c r="R583" s="10">
        <v>150.19766235351562</v>
      </c>
      <c r="S583" s="10">
        <v>143.60955810546875</v>
      </c>
      <c r="V583" s="11">
        <v>45042</v>
      </c>
      <c r="W583" s="12">
        <v>-6.1170083321959723E-5</v>
      </c>
      <c r="X583" s="12">
        <v>-1.549807108430723E-2</v>
      </c>
      <c r="Y583" s="12">
        <v>-1.7723559606129702E-2</v>
      </c>
      <c r="Z583" s="12">
        <v>2.7247488632100358E-2</v>
      </c>
      <c r="AA583" s="12">
        <v>-1.1573701208594134E-2</v>
      </c>
      <c r="AB583" s="12">
        <v>-4.2356877006740623E-3</v>
      </c>
      <c r="AC583" s="12">
        <v>-9.1828946230398945E-3</v>
      </c>
    </row>
    <row r="584" spans="12:29" x14ac:dyDescent="0.2">
      <c r="L584" s="11">
        <v>45042</v>
      </c>
      <c r="M584" s="10">
        <v>26.900802612304688</v>
      </c>
      <c r="N584" s="10">
        <v>102.87168121337891</v>
      </c>
      <c r="O584" s="10">
        <v>125.72969818115234</v>
      </c>
      <c r="P584" s="10">
        <v>161.1339111328125</v>
      </c>
      <c r="Q584" s="10">
        <v>388.11810302734375</v>
      </c>
      <c r="R584" s="10">
        <v>147.86988830566406</v>
      </c>
      <c r="S584" s="10">
        <v>141.94746398925781</v>
      </c>
      <c r="V584" s="11">
        <v>45043</v>
      </c>
      <c r="W584" s="12">
        <v>2.8395355637726771E-2</v>
      </c>
      <c r="X584" s="12">
        <v>2.3366489519287548E-3</v>
      </c>
      <c r="Y584" s="12">
        <v>1.3458422612674381E-2</v>
      </c>
      <c r="Z584" s="12">
        <v>1.0016401290775523E-2</v>
      </c>
      <c r="AA584" s="12">
        <v>1.2226813616608379E-2</v>
      </c>
      <c r="AB584" s="12">
        <v>1.990807568635411E-2</v>
      </c>
      <c r="AC584" s="12">
        <v>1.1953116071327319E-2</v>
      </c>
    </row>
    <row r="585" spans="12:29" x14ac:dyDescent="0.2">
      <c r="L585" s="11">
        <v>45043</v>
      </c>
      <c r="M585" s="10">
        <v>27.170251846313477</v>
      </c>
      <c r="N585" s="10">
        <v>104.101318359375</v>
      </c>
      <c r="O585" s="10">
        <v>127.42182159423828</v>
      </c>
      <c r="P585" s="10">
        <v>165.70936584472656</v>
      </c>
      <c r="Q585" s="10">
        <v>395.84478759765625</v>
      </c>
      <c r="R585" s="10">
        <v>148.21540832519531</v>
      </c>
      <c r="S585" s="10">
        <v>143.68302917480469</v>
      </c>
      <c r="V585" s="11">
        <v>45044</v>
      </c>
      <c r="W585" s="12">
        <v>7.541025360294773E-3</v>
      </c>
      <c r="X585" s="12">
        <v>4.2945628456227958E-3</v>
      </c>
      <c r="Y585" s="12">
        <v>8.6830273785489798E-3</v>
      </c>
      <c r="Z585" s="12">
        <v>1.9209778114300358E-2</v>
      </c>
      <c r="AA585" s="12">
        <v>-5.7495366334370246E-4</v>
      </c>
      <c r="AB585" s="12">
        <v>8.535166257267468E-3</v>
      </c>
      <c r="AC585" s="12">
        <v>1.2924807515965142E-2</v>
      </c>
    </row>
    <row r="586" spans="12:29" x14ac:dyDescent="0.2">
      <c r="L586" s="11">
        <v>45044</v>
      </c>
      <c r="M586" s="10">
        <v>27.69218635559082</v>
      </c>
      <c r="N586" s="10">
        <v>105.44680786132812</v>
      </c>
      <c r="O586" s="10">
        <v>128.52822875976562</v>
      </c>
      <c r="P586" s="10">
        <v>166.958984375</v>
      </c>
      <c r="Q586" s="10">
        <v>399.223388671875</v>
      </c>
      <c r="R586" s="10">
        <v>148.8519287109375</v>
      </c>
      <c r="S586" s="10">
        <v>143.60041809082031</v>
      </c>
      <c r="V586" s="11">
        <v>45047</v>
      </c>
      <c r="W586" s="12">
        <v>-5.3044172525529287E-4</v>
      </c>
      <c r="X586" s="12">
        <v>-6.1095871313232575E-4</v>
      </c>
      <c r="Y586" s="12">
        <v>2.1411986333977007E-2</v>
      </c>
      <c r="Z586" s="12">
        <v>4.1839200131196463E-2</v>
      </c>
      <c r="AA586" s="12">
        <v>1.2148553442319354E-3</v>
      </c>
      <c r="AB586" s="12">
        <v>-1.0096506951057238E-3</v>
      </c>
      <c r="AC586" s="12">
        <v>-3.101231129971771E-2</v>
      </c>
    </row>
    <row r="587" spans="12:29" x14ac:dyDescent="0.2">
      <c r="L587" s="11">
        <v>45047</v>
      </c>
      <c r="M587" s="10">
        <v>28.850805282592773</v>
      </c>
      <c r="N587" s="10">
        <v>102.17665863037109</v>
      </c>
      <c r="O587" s="10">
        <v>131.2802734375</v>
      </c>
      <c r="P587" s="10">
        <v>166.87042236328125</v>
      </c>
      <c r="Q587" s="10">
        <v>398.8203125</v>
      </c>
      <c r="R587" s="10">
        <v>148.760986328125</v>
      </c>
      <c r="S587" s="10">
        <v>143.77487182617188</v>
      </c>
      <c r="V587" s="11">
        <v>45048</v>
      </c>
      <c r="W587" s="12">
        <v>-6.1915578062220478E-3</v>
      </c>
      <c r="X587" s="12">
        <v>8.7409223320888962E-3</v>
      </c>
      <c r="Y587" s="12">
        <v>-1.6147340457186243E-2</v>
      </c>
      <c r="Z587" s="12">
        <v>-2.4212999345305186E-2</v>
      </c>
      <c r="AA587" s="12">
        <v>-8.9414301830847975E-4</v>
      </c>
      <c r="AB587" s="12">
        <v>-1.1239354590687367E-2</v>
      </c>
      <c r="AC587" s="12">
        <v>-3.9853577737806956E-2</v>
      </c>
    </row>
    <row r="588" spans="12:29" x14ac:dyDescent="0.2">
      <c r="L588" s="11">
        <v>45048</v>
      </c>
      <c r="M588" s="10">
        <v>28.152240753173828</v>
      </c>
      <c r="N588" s="10">
        <v>98.104553222656236</v>
      </c>
      <c r="O588" s="10">
        <v>129.16044616699219</v>
      </c>
      <c r="P588" s="10">
        <v>165.83723449707031</v>
      </c>
      <c r="Q588" s="10">
        <v>394.33782958984375</v>
      </c>
      <c r="R588" s="10">
        <v>150.06129455566406</v>
      </c>
      <c r="S588" s="10">
        <v>143.64631652832031</v>
      </c>
      <c r="V588" s="11">
        <v>45049</v>
      </c>
      <c r="W588" s="12">
        <v>-6.4671514216241288E-3</v>
      </c>
      <c r="X588" s="12">
        <v>-1.3088523702015076E-2</v>
      </c>
      <c r="Y588" s="12">
        <v>-2.1163108874202807E-2</v>
      </c>
      <c r="Z588" s="12">
        <v>-1.4463123756680463E-2</v>
      </c>
      <c r="AA588" s="12">
        <v>-1.2785206721263043E-3</v>
      </c>
      <c r="AB588" s="12">
        <v>-6.8639003248962549E-3</v>
      </c>
      <c r="AC588" s="12">
        <v>-1.9709443212253652E-2</v>
      </c>
    </row>
    <row r="589" spans="12:29" x14ac:dyDescent="0.2">
      <c r="L589" s="11">
        <v>45049</v>
      </c>
      <c r="M589" s="10">
        <v>27.745071411132812</v>
      </c>
      <c r="N589" s="10">
        <v>96.170967102050781</v>
      </c>
      <c r="O589" s="10">
        <v>126.42700958251952</v>
      </c>
      <c r="P589" s="10">
        <v>164.76473999023438</v>
      </c>
      <c r="Q589" s="10">
        <v>391.63113403320312</v>
      </c>
      <c r="R589" s="10">
        <v>148.09721374511719</v>
      </c>
      <c r="S589" s="10">
        <v>143.46266174316406</v>
      </c>
      <c r="V589" s="11">
        <v>45050</v>
      </c>
      <c r="W589" s="12">
        <v>-9.9133896930382326E-3</v>
      </c>
      <c r="X589" s="12">
        <v>-4.5436191664299796E-3</v>
      </c>
      <c r="Y589" s="12">
        <v>-1.3678500946319505E-2</v>
      </c>
      <c r="Z589" s="12">
        <v>-8.6323029025446862E-3</v>
      </c>
      <c r="AA589" s="12">
        <v>-4.6085027508599996E-3</v>
      </c>
      <c r="AB589" s="12">
        <v>-7.0829283543035748E-3</v>
      </c>
      <c r="AC589" s="12">
        <v>-1.7511176430969111E-2</v>
      </c>
    </row>
    <row r="590" spans="12:29" x14ac:dyDescent="0.2">
      <c r="L590" s="11">
        <v>45050</v>
      </c>
      <c r="M590" s="10">
        <v>27.50556755065918</v>
      </c>
      <c r="N590" s="10">
        <v>94.486900329589844</v>
      </c>
      <c r="O590" s="10">
        <v>124.69767761230467</v>
      </c>
      <c r="P590" s="10">
        <v>163.13136291503906</v>
      </c>
      <c r="Q590" s="10">
        <v>388.85723876953131</v>
      </c>
      <c r="R590" s="10">
        <v>147.42431640625</v>
      </c>
      <c r="S590" s="10">
        <v>142.801513671875</v>
      </c>
      <c r="V590" s="11">
        <v>45051</v>
      </c>
      <c r="W590" s="12">
        <v>4.6926674708962501E-2</v>
      </c>
      <c r="X590" s="12">
        <v>3.3923987745301254E-3</v>
      </c>
      <c r="Y590" s="12">
        <v>1.953485645886488E-2</v>
      </c>
      <c r="Z590" s="12">
        <v>4.0562896513857583E-2</v>
      </c>
      <c r="AA590" s="12">
        <v>3.3435413692588511E-3</v>
      </c>
      <c r="AB590" s="12">
        <v>1.8512606346501981E-2</v>
      </c>
      <c r="AC590" s="12">
        <v>2.4896268240515385E-2</v>
      </c>
    </row>
    <row r="591" spans="12:29" x14ac:dyDescent="0.2">
      <c r="L591" s="11">
        <v>45051</v>
      </c>
      <c r="M591" s="10">
        <v>28.621273040771484</v>
      </c>
      <c r="N591" s="10">
        <v>96.839271545410156</v>
      </c>
      <c r="O591" s="10">
        <v>127.13362884521484</v>
      </c>
      <c r="P591" s="10">
        <v>170.78657531738281</v>
      </c>
      <c r="Q591" s="10">
        <v>396.05599975585938</v>
      </c>
      <c r="R591" s="10">
        <v>147.9244384765625</v>
      </c>
      <c r="S591" s="10">
        <v>143.27897644042969</v>
      </c>
      <c r="V591" s="11">
        <v>45054</v>
      </c>
      <c r="W591" s="12">
        <v>-4.0312100715211852E-4</v>
      </c>
      <c r="X591" s="12">
        <v>-2.2743083206180348E-3</v>
      </c>
      <c r="Y591" s="12">
        <v>2.4133955213558878E-3</v>
      </c>
      <c r="Z591" s="12">
        <v>1.6422594211967567E-2</v>
      </c>
      <c r="AA591" s="12">
        <v>-4.6784156347901007E-3</v>
      </c>
      <c r="AB591" s="12">
        <v>2.6660578397397217E-4</v>
      </c>
      <c r="AC591" s="12">
        <v>3.9565373349559341E-3</v>
      </c>
    </row>
    <row r="592" spans="12:29" x14ac:dyDescent="0.2">
      <c r="L592" s="11">
        <v>45054</v>
      </c>
      <c r="M592" s="10">
        <v>29.09130859375</v>
      </c>
      <c r="N592" s="10">
        <v>97.222419738769517</v>
      </c>
      <c r="O592" s="10">
        <v>127.44045257568359</v>
      </c>
      <c r="P592" s="10">
        <v>170.71772766113281</v>
      </c>
      <c r="Q592" s="10">
        <v>396.16159057617188</v>
      </c>
      <c r="R592" s="10">
        <v>147.5880126953125</v>
      </c>
      <c r="S592" s="10">
        <v>142.60865783691406</v>
      </c>
      <c r="V592" s="11">
        <v>45055</v>
      </c>
      <c r="W592" s="12">
        <v>-9.9710792403073789E-3</v>
      </c>
      <c r="X592" s="12">
        <v>-7.7631775928194147E-3</v>
      </c>
      <c r="Y592" s="12">
        <v>-4.8150503999820904E-3</v>
      </c>
      <c r="Z592" s="12">
        <v>-1.9896442643381085E-2</v>
      </c>
      <c r="AA592" s="12">
        <v>-1.0238068667015932E-2</v>
      </c>
      <c r="AB592" s="12">
        <v>-4.3854206122087014E-3</v>
      </c>
      <c r="AC592" s="12">
        <v>2.7497153958266907E-4</v>
      </c>
    </row>
    <row r="593" spans="12:29" x14ac:dyDescent="0.2">
      <c r="L593" s="11">
        <v>45055</v>
      </c>
      <c r="M593" s="10">
        <v>28.512495040893555</v>
      </c>
      <c r="N593" s="10">
        <v>97.249153137207045</v>
      </c>
      <c r="O593" s="10">
        <v>126.82682037353516</v>
      </c>
      <c r="P593" s="10">
        <v>169.01548767089844</v>
      </c>
      <c r="Q593" s="10">
        <v>394.42425537109375</v>
      </c>
      <c r="R593" s="10">
        <v>146.4422607421875</v>
      </c>
      <c r="S593" s="10">
        <v>141.14862060546875</v>
      </c>
      <c r="V593" s="11">
        <v>45056</v>
      </c>
      <c r="W593" s="12">
        <v>1.0420888216680968E-2</v>
      </c>
      <c r="X593" s="12">
        <v>3.7255502623672054E-3</v>
      </c>
      <c r="Y593" s="12">
        <v>5.128299218362109E-4</v>
      </c>
      <c r="Z593" s="12">
        <v>1.099027685174403E-2</v>
      </c>
      <c r="AA593" s="12">
        <v>2.0815505113556121E-3</v>
      </c>
      <c r="AB593" s="12">
        <v>4.6725233498503549E-3</v>
      </c>
      <c r="AC593" s="12">
        <v>-1.2827536289756747E-2</v>
      </c>
    </row>
    <row r="594" spans="12:29" x14ac:dyDescent="0.2">
      <c r="L594" s="11">
        <v>45056</v>
      </c>
      <c r="M594" s="10">
        <v>28.825855255126953</v>
      </c>
      <c r="N594" s="10">
        <v>96.001686096191406</v>
      </c>
      <c r="O594" s="10">
        <v>126.89186096191406</v>
      </c>
      <c r="P594" s="10">
        <v>170.77677917480469</v>
      </c>
      <c r="Q594" s="10">
        <v>396.2672119140625</v>
      </c>
      <c r="R594" s="10">
        <v>146.98783874511719</v>
      </c>
      <c r="S594" s="10">
        <v>141.44242858886719</v>
      </c>
      <c r="V594" s="11">
        <v>45057</v>
      </c>
      <c r="W594" s="12">
        <v>1.0945291679513858E-3</v>
      </c>
      <c r="X594" s="12">
        <v>-4.082842355882077E-3</v>
      </c>
      <c r="Y594" s="12">
        <v>-3.1505588333793355E-3</v>
      </c>
      <c r="Z594" s="12">
        <v>-1.0628364228266296E-2</v>
      </c>
      <c r="AA594" s="12">
        <v>2.3374328758041241E-3</v>
      </c>
      <c r="AB594" s="12">
        <v>-1.7441819272316916E-3</v>
      </c>
      <c r="AC594" s="12">
        <v>-1.8099149075194498E-2</v>
      </c>
    </row>
    <row r="595" spans="12:29" x14ac:dyDescent="0.2">
      <c r="L595" s="11">
        <v>45057</v>
      </c>
      <c r="M595" s="10">
        <v>28.51948356628418</v>
      </c>
      <c r="N595" s="10">
        <v>94.264137268066406</v>
      </c>
      <c r="O595" s="10">
        <v>126.49208068847656</v>
      </c>
      <c r="P595" s="10">
        <v>170.96369934082031</v>
      </c>
      <c r="Q595" s="10">
        <v>395.5760498046875</v>
      </c>
      <c r="R595" s="10">
        <v>146.38771057128906</v>
      </c>
      <c r="S595" s="10">
        <v>141.77304077148438</v>
      </c>
      <c r="V595" s="11">
        <v>45058</v>
      </c>
      <c r="W595" s="12">
        <v>-5.4173955178009603E-3</v>
      </c>
      <c r="X595" s="12">
        <v>-1.3045066718506693E-3</v>
      </c>
      <c r="Y595" s="12">
        <v>-1.4332820453123896E-2</v>
      </c>
      <c r="Z595" s="12">
        <v>-8.3282154337126491E-3</v>
      </c>
      <c r="AA595" s="12">
        <v>1.0169043135048295E-2</v>
      </c>
      <c r="AB595" s="12">
        <v>-1.3102677655305595E-3</v>
      </c>
      <c r="AC595" s="12">
        <v>-9.4614584777552579E-5</v>
      </c>
    </row>
    <row r="596" spans="12:29" x14ac:dyDescent="0.2">
      <c r="L596" s="11">
        <v>45058</v>
      </c>
      <c r="M596" s="10">
        <v>28.281967163085938</v>
      </c>
      <c r="N596" s="10">
        <v>94.255218505859375</v>
      </c>
      <c r="O596" s="10">
        <v>124.67909240722656</v>
      </c>
      <c r="P596" s="10">
        <v>170.03752136230469</v>
      </c>
      <c r="Q596" s="10">
        <v>395.0577392578125</v>
      </c>
      <c r="R596" s="10">
        <v>146.19674682617188</v>
      </c>
      <c r="S596" s="10">
        <v>143.21473693847656</v>
      </c>
      <c r="V596" s="11">
        <v>45061</v>
      </c>
      <c r="W596" s="12">
        <v>-2.8973635848948964E-3</v>
      </c>
      <c r="X596" s="12">
        <v>-7.6501255068546214E-3</v>
      </c>
      <c r="Y596" s="12">
        <v>8.4264791605499489E-3</v>
      </c>
      <c r="Z596" s="12">
        <v>2.1630310868109737E-2</v>
      </c>
      <c r="AA596" s="12">
        <v>3.2048683313723458E-4</v>
      </c>
      <c r="AB596" s="12">
        <v>3.4501452733404214E-3</v>
      </c>
      <c r="AC596" s="12">
        <v>1.9072025591253539E-3</v>
      </c>
    </row>
    <row r="597" spans="12:29" x14ac:dyDescent="0.2">
      <c r="L597" s="11">
        <v>45061</v>
      </c>
      <c r="M597" s="10">
        <v>28.893714904785156</v>
      </c>
      <c r="N597" s="10">
        <v>94.434982299804673</v>
      </c>
      <c r="O597" s="10">
        <v>125.72969818115234</v>
      </c>
      <c r="P597" s="10">
        <v>169.54486083984375</v>
      </c>
      <c r="Q597" s="10">
        <v>396.42074584960938</v>
      </c>
      <c r="R597" s="10">
        <v>145.07832336425781</v>
      </c>
      <c r="S597" s="10">
        <v>143.26063537597656</v>
      </c>
      <c r="V597" s="11">
        <v>45062</v>
      </c>
      <c r="W597" s="12">
        <v>0</v>
      </c>
      <c r="X597" s="12">
        <v>-1.3159648135072644E-3</v>
      </c>
      <c r="Y597" s="12">
        <v>-6.7292719872633633E-3</v>
      </c>
      <c r="Z597" s="12">
        <v>8.9800871735712384E-3</v>
      </c>
      <c r="AA597" s="12">
        <v>-1.7305856841751677E-3</v>
      </c>
      <c r="AB597" s="12">
        <v>-6.6827996949941904E-3</v>
      </c>
      <c r="AC597" s="12">
        <v>-2.4269695491486276E-2</v>
      </c>
    </row>
    <row r="598" spans="12:29" x14ac:dyDescent="0.2">
      <c r="L598" s="11">
        <v>45062</v>
      </c>
      <c r="M598" s="10">
        <v>29.153182983398441</v>
      </c>
      <c r="N598" s="10">
        <v>92.143074035644517</v>
      </c>
      <c r="O598" s="10">
        <v>124.88362884521484</v>
      </c>
      <c r="P598" s="10">
        <v>169.54486083984375</v>
      </c>
      <c r="Q598" s="10">
        <v>393.77154541015625</v>
      </c>
      <c r="R598" s="10">
        <v>144.88740539550781</v>
      </c>
      <c r="S598" s="10">
        <v>143.01271057128906</v>
      </c>
      <c r="V598" s="11">
        <v>45063</v>
      </c>
      <c r="W598" s="12">
        <v>3.6032713387426085E-3</v>
      </c>
      <c r="X598" s="12">
        <v>-2.1965509190243759E-3</v>
      </c>
      <c r="Y598" s="12">
        <v>3.0747680320307946E-2</v>
      </c>
      <c r="Z598" s="12">
        <v>3.3033307110970744E-2</v>
      </c>
      <c r="AA598" s="12">
        <v>-4.2379387058772977E-3</v>
      </c>
      <c r="AB598" s="12">
        <v>1.2139015210756332E-2</v>
      </c>
      <c r="AC598" s="12">
        <v>2.2434755493680791E-2</v>
      </c>
    </row>
    <row r="599" spans="12:29" x14ac:dyDescent="0.2">
      <c r="L599" s="11">
        <v>45063</v>
      </c>
      <c r="M599" s="10">
        <v>30.116209030151367</v>
      </c>
      <c r="N599" s="10">
        <v>94.210281372070327</v>
      </c>
      <c r="O599" s="10">
        <v>128.7235107421875</v>
      </c>
      <c r="P599" s="10">
        <v>170.15577697753906</v>
      </c>
      <c r="Q599" s="10">
        <v>398.55154418945312</v>
      </c>
      <c r="R599" s="10">
        <v>144.56915283203125</v>
      </c>
      <c r="S599" s="10">
        <v>142.40663146972656</v>
      </c>
      <c r="V599" s="11">
        <v>45064</v>
      </c>
      <c r="W599" s="12">
        <v>1.366608410531156E-2</v>
      </c>
      <c r="X599" s="12">
        <v>-3.2079847303557729E-3</v>
      </c>
      <c r="Y599" s="12">
        <v>7.5837859162088961E-3</v>
      </c>
      <c r="Z599" s="12">
        <v>4.9705036243235634E-2</v>
      </c>
      <c r="AA599" s="12">
        <v>-1.6442936875807668E-2</v>
      </c>
      <c r="AB599" s="12">
        <v>9.6332720942235994E-3</v>
      </c>
      <c r="AC599" s="12">
        <v>9.0630878831388095E-3</v>
      </c>
    </row>
    <row r="600" spans="12:29" x14ac:dyDescent="0.2">
      <c r="L600" s="11">
        <v>45064</v>
      </c>
      <c r="M600" s="10">
        <v>31.613136291503903</v>
      </c>
      <c r="N600" s="10">
        <v>95.064117431640625</v>
      </c>
      <c r="O600" s="10">
        <v>129.69972229003906</v>
      </c>
      <c r="P600" s="10">
        <v>172.48114013671875</v>
      </c>
      <c r="Q600" s="10">
        <v>402.39089965820312</v>
      </c>
      <c r="R600" s="10">
        <v>144.10537719726562</v>
      </c>
      <c r="S600" s="10">
        <v>140.06504821777344</v>
      </c>
      <c r="V600" s="11">
        <v>45065</v>
      </c>
      <c r="W600" s="12">
        <v>6.2828851801399743E-4</v>
      </c>
      <c r="X600" s="12">
        <v>2.7132312377371459E-3</v>
      </c>
      <c r="Y600" s="12">
        <v>-2.2939997301176795E-3</v>
      </c>
      <c r="Z600" s="12">
        <v>-1.3069019501654955E-2</v>
      </c>
      <c r="AA600" s="12">
        <v>4.1958523430374317E-3</v>
      </c>
      <c r="AB600" s="12">
        <v>-1.4551541100501497E-3</v>
      </c>
      <c r="AC600" s="12">
        <v>4.6327343188465875E-3</v>
      </c>
    </row>
    <row r="601" spans="12:29" x14ac:dyDescent="0.2">
      <c r="L601" s="11">
        <v>45065</v>
      </c>
      <c r="M601" s="10">
        <v>31.199983596801761</v>
      </c>
      <c r="N601" s="10">
        <v>95.504524230957045</v>
      </c>
      <c r="O601" s="10">
        <v>129.40219116210938</v>
      </c>
      <c r="P601" s="10">
        <v>172.58950805664062</v>
      </c>
      <c r="Q601" s="10">
        <v>401.80535888671869</v>
      </c>
      <c r="R601" s="10">
        <v>144.49636840820312</v>
      </c>
      <c r="S601" s="10">
        <v>140.65274047851562</v>
      </c>
      <c r="V601" s="11">
        <v>45068</v>
      </c>
      <c r="W601" s="12">
        <v>-5.4808552443472713E-3</v>
      </c>
      <c r="X601" s="12">
        <v>-5.3892863079074704E-3</v>
      </c>
      <c r="Y601" s="12">
        <v>-8.2626004922822238E-3</v>
      </c>
      <c r="Z601" s="12">
        <v>-2.8146856385193875E-3</v>
      </c>
      <c r="AA601" s="12">
        <v>-2.618005692887404E-2</v>
      </c>
      <c r="AB601" s="12">
        <v>4.0618673744119427E-4</v>
      </c>
      <c r="AC601" s="12">
        <v>-1.2139908638534092E-2</v>
      </c>
    </row>
    <row r="602" spans="12:29" x14ac:dyDescent="0.2">
      <c r="L602" s="11">
        <v>45068</v>
      </c>
      <c r="M602" s="10">
        <v>31.112165451049805</v>
      </c>
      <c r="N602" s="10">
        <v>94.345108032226562</v>
      </c>
      <c r="O602" s="10">
        <v>128.33299255371094</v>
      </c>
      <c r="P602" s="10">
        <v>171.64356994628906</v>
      </c>
      <c r="Q602" s="10">
        <v>401.96856689453131</v>
      </c>
      <c r="R602" s="10">
        <v>143.71763610839844</v>
      </c>
      <c r="S602" s="10">
        <v>136.97044372558594</v>
      </c>
      <c r="V602" s="11">
        <v>45069</v>
      </c>
      <c r="W602" s="12">
        <v>-1.5154905402187002E-2</v>
      </c>
      <c r="X602" s="12">
        <v>-3.8232537705129577E-4</v>
      </c>
      <c r="Y602" s="12">
        <v>-1.0432521234643E-2</v>
      </c>
      <c r="Z602" s="12">
        <v>-1.5653147871762307E-2</v>
      </c>
      <c r="AA602" s="12">
        <v>-1.0793968024267797E-2</v>
      </c>
      <c r="AB602" s="12">
        <v>-1.1222919794899866E-2</v>
      </c>
      <c r="AC602" s="12">
        <v>1.3622834607337042E-2</v>
      </c>
    </row>
    <row r="603" spans="12:29" x14ac:dyDescent="0.2">
      <c r="L603" s="11">
        <v>45069</v>
      </c>
      <c r="M603" s="10">
        <v>30.625162124633789</v>
      </c>
      <c r="N603" s="10">
        <v>95.630355834960938</v>
      </c>
      <c r="O603" s="10">
        <v>126.99415588378906</v>
      </c>
      <c r="P603" s="10">
        <v>169.04232788085938</v>
      </c>
      <c r="Q603" s="10">
        <v>397.45730590820312</v>
      </c>
      <c r="R603" s="10">
        <v>143.66268920898438</v>
      </c>
      <c r="S603" s="10">
        <v>135.49198913574219</v>
      </c>
      <c r="V603" s="11">
        <v>45070</v>
      </c>
      <c r="W603" s="12">
        <v>1.6320108088221374E-3</v>
      </c>
      <c r="X603" s="12">
        <v>-9.5665697087166102E-4</v>
      </c>
      <c r="Y603" s="12">
        <v>-9.1516095338899373E-3</v>
      </c>
      <c r="Z603" s="12">
        <v>-4.8879559278679485E-3</v>
      </c>
      <c r="AA603" s="12">
        <v>-8.2685002921865092E-3</v>
      </c>
      <c r="AB603" s="12">
        <v>-7.2446915017113644E-3</v>
      </c>
      <c r="AC603" s="12">
        <v>1.118428537259919E-2</v>
      </c>
    </row>
    <row r="604" spans="12:29" x14ac:dyDescent="0.2">
      <c r="L604" s="11">
        <v>45070</v>
      </c>
      <c r="M604" s="10">
        <v>30.475467681884769</v>
      </c>
      <c r="N604" s="10">
        <v>96.699913024902344</v>
      </c>
      <c r="O604" s="10">
        <v>125.83195495605467</v>
      </c>
      <c r="P604" s="10">
        <v>169.31820678710938</v>
      </c>
      <c r="Q604" s="10">
        <v>394.57785034179688</v>
      </c>
      <c r="R604" s="10">
        <v>143.52525329589844</v>
      </c>
      <c r="S604" s="10">
        <v>134.37167358398438</v>
      </c>
      <c r="V604" s="11">
        <v>45071</v>
      </c>
      <c r="W604" s="12">
        <v>6.6925079922044439E-3</v>
      </c>
      <c r="X604" s="12">
        <v>-1.4362107196511653E-2</v>
      </c>
      <c r="Y604" s="12">
        <v>2.4384216232709033E-3</v>
      </c>
      <c r="Z604" s="12">
        <v>0.24369664590927398</v>
      </c>
      <c r="AA604" s="12">
        <v>-6.423669190575465E-3</v>
      </c>
      <c r="AB604" s="12">
        <v>8.6597908802075185E-3</v>
      </c>
      <c r="AC604" s="12">
        <v>-1.7938482093116437E-2</v>
      </c>
    </row>
    <row r="605" spans="12:29" x14ac:dyDescent="0.2">
      <c r="L605" s="11">
        <v>45071</v>
      </c>
      <c r="M605" s="10">
        <v>37.902236938476562</v>
      </c>
      <c r="N605" s="10">
        <v>94.965263366699219</v>
      </c>
      <c r="O605" s="10">
        <v>126.13878631591795</v>
      </c>
      <c r="P605" s="10">
        <v>170.45137023925781</v>
      </c>
      <c r="Q605" s="10">
        <v>397.99481201171869</v>
      </c>
      <c r="R605" s="10">
        <v>141.46392822265625</v>
      </c>
      <c r="S605" s="10">
        <v>133.50851440429688</v>
      </c>
      <c r="V605" s="11">
        <v>45072</v>
      </c>
      <c r="W605" s="12">
        <v>1.4104665409986339E-2</v>
      </c>
      <c r="X605" s="12">
        <v>-3.8863205400074818E-4</v>
      </c>
      <c r="Y605" s="12">
        <v>9.3610075639638524E-3</v>
      </c>
      <c r="Z605" s="12">
        <v>2.5434276142016765E-2</v>
      </c>
      <c r="AA605" s="12">
        <v>6.8803035196740581E-5</v>
      </c>
      <c r="AB605" s="12">
        <v>1.2950740152930518E-2</v>
      </c>
      <c r="AC605" s="12">
        <v>-6.5303386995093637E-3</v>
      </c>
    </row>
    <row r="606" spans="12:29" x14ac:dyDescent="0.2">
      <c r="L606" s="11">
        <v>45072</v>
      </c>
      <c r="M606" s="10">
        <v>38.866252899169922</v>
      </c>
      <c r="N606" s="10">
        <v>94.345108032226562</v>
      </c>
      <c r="O606" s="10">
        <v>127.31957244873048</v>
      </c>
      <c r="P606" s="10">
        <v>172.85552978515625</v>
      </c>
      <c r="Q606" s="10">
        <v>403.14913940429688</v>
      </c>
      <c r="R606" s="10">
        <v>141.40895080566406</v>
      </c>
      <c r="S606" s="10">
        <v>133.5177001953125</v>
      </c>
      <c r="V606" s="11">
        <v>45076</v>
      </c>
      <c r="W606" s="12">
        <v>1.0659624690817493E-2</v>
      </c>
      <c r="X606" s="12">
        <v>1.293785717360052E-4</v>
      </c>
      <c r="Y606" s="12">
        <v>3.7974521979253772E-3</v>
      </c>
      <c r="Z606" s="12">
        <v>2.9913368480613878E-2</v>
      </c>
      <c r="AA606" s="12">
        <v>-1.5268194522283784E-2</v>
      </c>
      <c r="AB606" s="12">
        <v>3.8091226822878355E-4</v>
      </c>
      <c r="AC606" s="12">
        <v>-8.8596945075700706E-3</v>
      </c>
    </row>
    <row r="607" spans="12:29" x14ac:dyDescent="0.2">
      <c r="L607" s="11">
        <v>45076</v>
      </c>
      <c r="M607" s="10">
        <v>40.028873443603523</v>
      </c>
      <c r="N607" s="10">
        <v>93.509239196777344</v>
      </c>
      <c r="O607" s="10">
        <v>127.80306243896484</v>
      </c>
      <c r="P607" s="10">
        <v>174.69810485839844</v>
      </c>
      <c r="Q607" s="10">
        <v>403.30270385742188</v>
      </c>
      <c r="R607" s="10">
        <v>141.42724609375</v>
      </c>
      <c r="S607" s="10">
        <v>131.4791259765625</v>
      </c>
      <c r="V607" s="11">
        <v>45077</v>
      </c>
      <c r="W607" s="12">
        <v>-2.8203299585161101E-4</v>
      </c>
      <c r="X607" s="12">
        <v>4.469834416851004E-3</v>
      </c>
      <c r="Y607" s="12">
        <v>-1.2731172427766335E-2</v>
      </c>
      <c r="Z607" s="12">
        <v>-5.6767685450441863E-2</v>
      </c>
      <c r="AA607" s="12">
        <v>-4.7491962041711355E-3</v>
      </c>
      <c r="AB607" s="12">
        <v>-5.5452632882050379E-3</v>
      </c>
      <c r="AC607" s="12">
        <v>-1.7877780690531475E-2</v>
      </c>
    </row>
    <row r="608" spans="12:29" x14ac:dyDescent="0.2">
      <c r="L608" s="11">
        <v>45077</v>
      </c>
      <c r="M608" s="10">
        <v>37.756526947021491</v>
      </c>
      <c r="N608" s="10">
        <v>91.837501525878906</v>
      </c>
      <c r="O608" s="10">
        <v>126.1759796142578</v>
      </c>
      <c r="P608" s="10">
        <v>174.64883422851562</v>
      </c>
      <c r="Q608" s="10">
        <v>401.0662841796875</v>
      </c>
      <c r="R608" s="10">
        <v>142.05940246582031</v>
      </c>
      <c r="S608" s="10">
        <v>130.85470581054688</v>
      </c>
      <c r="V608" s="11">
        <v>45078</v>
      </c>
      <c r="W608" s="12">
        <v>1.6022403354387427E-2</v>
      </c>
      <c r="X608" s="12">
        <v>-3.3535964803456109E-3</v>
      </c>
      <c r="Y608" s="12">
        <v>1.3779423052341144E-2</v>
      </c>
      <c r="Z608" s="12">
        <v>5.1171051058902961E-2</v>
      </c>
      <c r="AA608" s="12">
        <v>1.024546818018468E-2</v>
      </c>
      <c r="AB608" s="12">
        <v>9.5011923476693294E-3</v>
      </c>
      <c r="AC608" s="12">
        <v>1.1548246807326246E-2</v>
      </c>
    </row>
    <row r="609" spans="12:29" x14ac:dyDescent="0.2">
      <c r="L609" s="11">
        <v>45078</v>
      </c>
      <c r="M609" s="10">
        <v>39.688568115234375</v>
      </c>
      <c r="N609" s="10">
        <v>92.898063659667955</v>
      </c>
      <c r="O609" s="10">
        <v>127.91461181640624</v>
      </c>
      <c r="P609" s="10">
        <v>177.44712829589844</v>
      </c>
      <c r="Q609" s="10">
        <v>404.87689208984375</v>
      </c>
      <c r="R609" s="10">
        <v>141.58299255371094</v>
      </c>
      <c r="S609" s="10">
        <v>132.19537353515625</v>
      </c>
      <c r="V609" s="11">
        <v>45079</v>
      </c>
      <c r="W609" s="12">
        <v>4.775489232899055E-3</v>
      </c>
      <c r="X609" s="12">
        <v>1.5724152617859533E-2</v>
      </c>
      <c r="Y609" s="12">
        <v>2.1005934382534619E-2</v>
      </c>
      <c r="Z609" s="12">
        <v>-1.1139144877221674E-2</v>
      </c>
      <c r="AA609" s="12">
        <v>1.7782882686970591E-2</v>
      </c>
      <c r="AB609" s="12">
        <v>1.4461062277351777E-2</v>
      </c>
      <c r="AC609" s="12">
        <v>2.3219712663950176E-2</v>
      </c>
    </row>
    <row r="610" spans="12:29" x14ac:dyDescent="0.2">
      <c r="L610" s="11">
        <v>45079</v>
      </c>
      <c r="M610" s="10">
        <v>39.246471405029297</v>
      </c>
      <c r="N610" s="10">
        <v>95.055130004882798</v>
      </c>
      <c r="O610" s="10">
        <v>130.60157775878906</v>
      </c>
      <c r="P610" s="10">
        <v>178.29452514648438</v>
      </c>
      <c r="Q610" s="10">
        <v>410.73184204101562</v>
      </c>
      <c r="R610" s="10">
        <v>143.80926513671875</v>
      </c>
      <c r="S610" s="10">
        <v>134.54618835449219</v>
      </c>
      <c r="V610" s="11">
        <v>45082</v>
      </c>
      <c r="W610" s="12">
        <v>-7.5711763492632977E-3</v>
      </c>
      <c r="X610" s="12">
        <v>8.6003944535435473E-3</v>
      </c>
      <c r="Y610" s="12">
        <v>-9.8241580165215892E-3</v>
      </c>
      <c r="Z610" s="12">
        <v>-3.9665726660191858E-3</v>
      </c>
      <c r="AA610" s="12">
        <v>-3.9586650319094474E-3</v>
      </c>
      <c r="AB610" s="12">
        <v>-1.9162097000630096E-3</v>
      </c>
      <c r="AC610" s="12">
        <v>-4.4439125693690462E-3</v>
      </c>
    </row>
    <row r="611" spans="12:29" x14ac:dyDescent="0.2">
      <c r="L611" s="11">
        <v>45082</v>
      </c>
      <c r="M611" s="10">
        <v>39.090797424316406</v>
      </c>
      <c r="N611" s="10">
        <v>94.632713317871094</v>
      </c>
      <c r="O611" s="10">
        <v>129.31852722167969</v>
      </c>
      <c r="P611" s="10">
        <v>176.94462585449219</v>
      </c>
      <c r="Q611" s="10">
        <v>409.94479370117188</v>
      </c>
      <c r="R611" s="10">
        <v>145.04608154296875</v>
      </c>
      <c r="S611" s="10">
        <v>134.01356506347656</v>
      </c>
      <c r="V611" s="11">
        <v>45083</v>
      </c>
      <c r="W611" s="12">
        <v>-2.0603224682338439E-3</v>
      </c>
      <c r="X611" s="12">
        <v>-8.8451819637402895E-4</v>
      </c>
      <c r="Y611" s="12">
        <v>1.7974001002238893E-3</v>
      </c>
      <c r="Z611" s="12">
        <v>-1.3198446672127551E-2</v>
      </c>
      <c r="AA611" s="12">
        <v>-9.9354265589687296E-3</v>
      </c>
      <c r="AB611" s="12">
        <v>2.1773874343402611E-3</v>
      </c>
      <c r="AC611" s="12">
        <v>8.1679666686527153E-3</v>
      </c>
    </row>
    <row r="612" spans="12:29" x14ac:dyDescent="0.2">
      <c r="L612" s="11">
        <v>45083</v>
      </c>
      <c r="M612" s="10">
        <v>38.574859619140625</v>
      </c>
      <c r="N612" s="10">
        <v>95.405670166015625</v>
      </c>
      <c r="O612" s="10">
        <v>129.55096435546875</v>
      </c>
      <c r="P612" s="10">
        <v>176.58006286621094</v>
      </c>
      <c r="Q612" s="10">
        <v>410.83740234375</v>
      </c>
      <c r="R612" s="10">
        <v>144.91778564453125</v>
      </c>
      <c r="S612" s="10">
        <v>132.68208312988281</v>
      </c>
      <c r="V612" s="11">
        <v>45084</v>
      </c>
      <c r="W612" s="12">
        <v>-7.7563323131142337E-3</v>
      </c>
      <c r="X612" s="12">
        <v>2.1496563455927209E-3</v>
      </c>
      <c r="Y612" s="12">
        <v>9.6885227906073901E-3</v>
      </c>
      <c r="Z612" s="12">
        <v>-3.0401294756970065E-2</v>
      </c>
      <c r="AA612" s="12">
        <v>2.1453741397947645E-3</v>
      </c>
      <c r="AB612" s="12">
        <v>-3.4577249686532641E-3</v>
      </c>
      <c r="AC612" s="12">
        <v>2.242093010386581E-2</v>
      </c>
    </row>
    <row r="613" spans="12:29" x14ac:dyDescent="0.2">
      <c r="L613" s="11">
        <v>45084</v>
      </c>
      <c r="M613" s="10">
        <v>37.402133941650391</v>
      </c>
      <c r="N613" s="10">
        <v>97.544754028320327</v>
      </c>
      <c r="O613" s="10">
        <v>130.80612182617188</v>
      </c>
      <c r="P613" s="10">
        <v>175.21044921875</v>
      </c>
      <c r="Q613" s="10">
        <v>409.41683959960938</v>
      </c>
      <c r="R613" s="10">
        <v>145.22930908203125</v>
      </c>
      <c r="S613" s="10">
        <v>132.96673583984375</v>
      </c>
      <c r="V613" s="11">
        <v>45085</v>
      </c>
      <c r="W613" s="12">
        <v>1.5465236420487694E-2</v>
      </c>
      <c r="X613" s="12">
        <v>1.0976546132551501E-2</v>
      </c>
      <c r="Y613" s="12">
        <v>2.8451410380392339E-4</v>
      </c>
      <c r="Z613" s="12">
        <v>2.7618464325181558E-2</v>
      </c>
      <c r="AA613" s="12">
        <v>1.1326001467964364E-2</v>
      </c>
      <c r="AB613" s="12">
        <v>6.048627395324413E-3</v>
      </c>
      <c r="AC613" s="12">
        <v>-3.1325608784906755E-3</v>
      </c>
    </row>
    <row r="614" spans="12:29" x14ac:dyDescent="0.2">
      <c r="L614" s="11">
        <v>45085</v>
      </c>
      <c r="M614" s="10">
        <v>38.435123443603523</v>
      </c>
      <c r="N614" s="10">
        <v>97.239189147949219</v>
      </c>
      <c r="O614" s="10">
        <v>130.84333801269531</v>
      </c>
      <c r="P614" s="10">
        <v>177.92012023925781</v>
      </c>
      <c r="Q614" s="10">
        <v>411.89324951171869</v>
      </c>
      <c r="R614" s="10">
        <v>146.82342529296875</v>
      </c>
      <c r="S614" s="10">
        <v>134.47271728515625</v>
      </c>
      <c r="V614" s="11">
        <v>45086</v>
      </c>
      <c r="W614" s="12">
        <v>2.1597449711938665E-3</v>
      </c>
      <c r="X614" s="12">
        <v>-1.5599310761965635E-3</v>
      </c>
      <c r="Y614" s="12">
        <v>1.9892829683301194E-3</v>
      </c>
      <c r="Z614" s="12">
        <v>6.75160043578793E-3</v>
      </c>
      <c r="AA614" s="12">
        <v>8.1937598975301285E-4</v>
      </c>
      <c r="AB614" s="12">
        <v>1.7941873841125222E-3</v>
      </c>
      <c r="AC614" s="12">
        <v>-7.394548672121859E-3</v>
      </c>
    </row>
    <row r="615" spans="12:29" x14ac:dyDescent="0.2">
      <c r="L615" s="11">
        <v>45086</v>
      </c>
      <c r="M615" s="10">
        <v>38.694622039794922</v>
      </c>
      <c r="N615" s="10">
        <v>96.520149230957045</v>
      </c>
      <c r="O615" s="10">
        <v>131.10362243652344</v>
      </c>
      <c r="P615" s="10">
        <v>178.30438232421875</v>
      </c>
      <c r="Q615" s="10">
        <v>412.63226318359375</v>
      </c>
      <c r="R615" s="10">
        <v>146.59439086914062</v>
      </c>
      <c r="S615" s="10">
        <v>134.58290100097656</v>
      </c>
      <c r="V615" s="11">
        <v>45089</v>
      </c>
      <c r="W615" s="12">
        <v>1.5638804671419537E-2</v>
      </c>
      <c r="X615" s="12">
        <v>-6.8760857730809644E-4</v>
      </c>
      <c r="Y615" s="12">
        <v>-7.0530668794810403E-5</v>
      </c>
      <c r="Z615" s="12">
        <v>1.836455296822237E-2</v>
      </c>
      <c r="AA615" s="12">
        <v>-7.8464630202295105E-3</v>
      </c>
      <c r="AB615" s="12">
        <v>9.0719461843955518E-3</v>
      </c>
      <c r="AC615" s="12">
        <v>-9.0325820962922077E-3</v>
      </c>
    </row>
    <row r="616" spans="12:29" x14ac:dyDescent="0.2">
      <c r="L616" s="11">
        <v>45089</v>
      </c>
      <c r="M616" s="10">
        <v>39.405231475830078</v>
      </c>
      <c r="N616" s="10">
        <v>95.648323059082045</v>
      </c>
      <c r="O616" s="10">
        <v>131.09437561035156</v>
      </c>
      <c r="P616" s="10">
        <v>181.09284973144531</v>
      </c>
      <c r="Q616" s="10">
        <v>416.37564086914062</v>
      </c>
      <c r="R616" s="10">
        <v>146.49359130859375</v>
      </c>
      <c r="S616" s="10">
        <v>133.52690124511719</v>
      </c>
      <c r="V616" s="11">
        <v>45090</v>
      </c>
      <c r="W616" s="12">
        <v>-2.6116225333775445E-3</v>
      </c>
      <c r="X616" s="12">
        <v>5.253419472358134E-3</v>
      </c>
      <c r="Y616" s="12">
        <v>7.2338609267568188E-3</v>
      </c>
      <c r="Z616" s="12">
        <v>3.9005231927487838E-2</v>
      </c>
      <c r="AA616" s="12">
        <v>-2.4073175322217866E-3</v>
      </c>
      <c r="AB616" s="12">
        <v>6.5928861298654162E-3</v>
      </c>
      <c r="AC616" s="12">
        <v>1.8800625389991943E-4</v>
      </c>
    </row>
    <row r="617" spans="12:29" x14ac:dyDescent="0.2">
      <c r="L617" s="11">
        <v>45090</v>
      </c>
      <c r="M617" s="10">
        <v>40.942241668701172</v>
      </c>
      <c r="N617" s="10">
        <v>95.666305541992202</v>
      </c>
      <c r="O617" s="10">
        <v>132.04269409179688</v>
      </c>
      <c r="P617" s="10">
        <v>180.61990356445312</v>
      </c>
      <c r="Q617" s="10">
        <v>419.12075805664062</v>
      </c>
      <c r="R617" s="10">
        <v>147.26318359375</v>
      </c>
      <c r="S617" s="10">
        <v>133.20545959472656</v>
      </c>
      <c r="V617" s="11">
        <v>45091</v>
      </c>
      <c r="W617" s="12">
        <v>3.4913939268601535E-3</v>
      </c>
      <c r="X617" s="12">
        <v>5.1014191216698368E-3</v>
      </c>
      <c r="Y617" s="12">
        <v>-3.7317632647873022E-3</v>
      </c>
      <c r="Z617" s="12">
        <v>4.8145104853242415E-2</v>
      </c>
      <c r="AA617" s="12">
        <v>9.3757520974533382E-3</v>
      </c>
      <c r="AB617" s="12">
        <v>1.1908620144434057E-3</v>
      </c>
      <c r="AC617" s="12">
        <v>-1.2025353504146463E-2</v>
      </c>
    </row>
    <row r="618" spans="12:29" x14ac:dyDescent="0.2">
      <c r="L618" s="11">
        <v>45091</v>
      </c>
      <c r="M618" s="10">
        <v>42.913410186767578</v>
      </c>
      <c r="N618" s="10">
        <v>94.515884399414062</v>
      </c>
      <c r="O618" s="10">
        <v>131.54994201660156</v>
      </c>
      <c r="P618" s="10">
        <v>181.25051879882812</v>
      </c>
      <c r="Q618" s="10">
        <v>419.619873046875</v>
      </c>
      <c r="R618" s="10">
        <v>148.01443481445312</v>
      </c>
      <c r="S618" s="10">
        <v>134.45436096191406</v>
      </c>
      <c r="V618" s="11">
        <v>45092</v>
      </c>
      <c r="W618" s="12">
        <v>1.1198445855741701E-2</v>
      </c>
      <c r="X618" s="12">
        <v>1.3431373175644357E-2</v>
      </c>
      <c r="Y618" s="12">
        <v>1.1308095791599859E-2</v>
      </c>
      <c r="Z618" s="12">
        <v>-8.0007161211620437E-3</v>
      </c>
      <c r="AA618" s="12">
        <v>1.3863882397761706E-2</v>
      </c>
      <c r="AB618" s="12">
        <v>1.2397651683216271E-2</v>
      </c>
      <c r="AC618" s="12">
        <v>6.9415014998726043E-3</v>
      </c>
    </row>
    <row r="619" spans="12:29" x14ac:dyDescent="0.2">
      <c r="L619" s="11">
        <v>45092</v>
      </c>
      <c r="M619" s="10">
        <v>42.570072174072266</v>
      </c>
      <c r="N619" s="10">
        <v>95.171966552734375</v>
      </c>
      <c r="O619" s="10">
        <v>133.03752136230469</v>
      </c>
      <c r="P619" s="10">
        <v>183.28024291992188</v>
      </c>
      <c r="Q619" s="10">
        <v>424.82217407226562</v>
      </c>
      <c r="R619" s="10">
        <v>150.00247192382812</v>
      </c>
      <c r="S619" s="10">
        <v>136.31842041015625</v>
      </c>
      <c r="V619" s="11">
        <v>45093</v>
      </c>
      <c r="W619" s="12">
        <v>-5.8599067190366894E-3</v>
      </c>
      <c r="X619" s="12">
        <v>3.0538437171749866E-3</v>
      </c>
      <c r="Y619" s="12">
        <v>1.1879000503167703E-3</v>
      </c>
      <c r="Z619" s="12">
        <v>9.1419956594784857E-4</v>
      </c>
      <c r="AA619" s="12">
        <v>7.3425937824191934E-3</v>
      </c>
      <c r="AB619" s="12">
        <v>-3.406109791601386E-3</v>
      </c>
      <c r="AC619" s="12">
        <v>-7.1771102050762758E-3</v>
      </c>
    </row>
    <row r="620" spans="12:29" x14ac:dyDescent="0.2">
      <c r="L620" s="11">
        <v>45093</v>
      </c>
      <c r="M620" s="10">
        <v>42.608989715576172</v>
      </c>
      <c r="N620" s="10">
        <v>94.488906860351562</v>
      </c>
      <c r="O620" s="10">
        <v>133.195556640625</v>
      </c>
      <c r="P620" s="10">
        <v>182.20623779296875</v>
      </c>
      <c r="Q620" s="10">
        <v>423.37518310546869</v>
      </c>
      <c r="R620" s="10">
        <v>150.46055603027344</v>
      </c>
      <c r="S620" s="10">
        <v>137.31935119628906</v>
      </c>
      <c r="V620" s="11">
        <v>45097</v>
      </c>
      <c r="W620" s="12">
        <v>4.8680737769846161E-4</v>
      </c>
      <c r="X620" s="12">
        <v>-6.0878753315096734E-4</v>
      </c>
      <c r="Y620" s="12">
        <v>-5.0954828811754505E-3</v>
      </c>
      <c r="Z620" s="12">
        <v>2.6140741046462246E-2</v>
      </c>
      <c r="AA620" s="12">
        <v>-9.2282107585194284E-3</v>
      </c>
      <c r="AB620" s="12">
        <v>-5.1884365477562477E-3</v>
      </c>
      <c r="AC620" s="12">
        <v>-2.2924056407627069E-2</v>
      </c>
    </row>
    <row r="621" spans="12:29" x14ac:dyDescent="0.2">
      <c r="L621" s="11">
        <v>45097</v>
      </c>
      <c r="M621" s="10">
        <v>43.722820281982422</v>
      </c>
      <c r="N621" s="10">
        <v>92.322837829589844</v>
      </c>
      <c r="O621" s="10">
        <v>132.51686096191406</v>
      </c>
      <c r="P621" s="10">
        <v>182.29493713378903</v>
      </c>
      <c r="Q621" s="10">
        <v>421.17852783203131</v>
      </c>
      <c r="R621" s="10">
        <v>150.36895751953125</v>
      </c>
      <c r="S621" s="10">
        <v>136.05213928222656</v>
      </c>
      <c r="V621" s="11">
        <v>45098</v>
      </c>
      <c r="W621" s="12">
        <v>-5.6751213977939141E-3</v>
      </c>
      <c r="X621" s="12">
        <v>-1.5231496420953228E-3</v>
      </c>
      <c r="Y621" s="12">
        <v>-1.4735236121306006E-3</v>
      </c>
      <c r="Z621" s="12">
        <v>-1.7416826074722946E-2</v>
      </c>
      <c r="AA621" s="12">
        <v>8.6395576288091913E-3</v>
      </c>
      <c r="AB621" s="12">
        <v>-5.1236206068787649E-3</v>
      </c>
      <c r="AC621" s="12">
        <v>1.119549482895521E-2</v>
      </c>
    </row>
    <row r="622" spans="12:29" x14ac:dyDescent="0.2">
      <c r="L622" s="11">
        <v>45098</v>
      </c>
      <c r="M622" s="10">
        <v>42.961307525634766</v>
      </c>
      <c r="N622" s="10">
        <v>93.356437683105483</v>
      </c>
      <c r="O622" s="10">
        <v>132.32159423828125</v>
      </c>
      <c r="P622" s="10">
        <v>181.26039123535156</v>
      </c>
      <c r="Q622" s="10">
        <v>419.02056884765625</v>
      </c>
      <c r="R622" s="10">
        <v>150.13992309570312</v>
      </c>
      <c r="S622" s="10">
        <v>137.22756958007812</v>
      </c>
      <c r="V622" s="11">
        <v>45099</v>
      </c>
      <c r="W622" s="12">
        <v>1.6525268242551627E-2</v>
      </c>
      <c r="X622" s="12">
        <v>1.0617232257100762E-2</v>
      </c>
      <c r="Y622" s="12">
        <v>-1.925234218206362E-2</v>
      </c>
      <c r="Z622" s="12">
        <v>-4.6465789662253343E-4</v>
      </c>
      <c r="AA622" s="12">
        <v>3.4124117986786828E-3</v>
      </c>
      <c r="AB622" s="12">
        <v>3.6097099690570733E-3</v>
      </c>
      <c r="AC622" s="12">
        <v>-5.4878001440783475E-3</v>
      </c>
    </row>
    <row r="623" spans="12:29" x14ac:dyDescent="0.2">
      <c r="L623" s="11">
        <v>45099</v>
      </c>
      <c r="M623" s="10">
        <v>42.94134521484375</v>
      </c>
      <c r="N623" s="10">
        <v>92.8441162109375</v>
      </c>
      <c r="O623" s="10">
        <v>129.77409362792969</v>
      </c>
      <c r="P623" s="10">
        <v>184.2557678222656</v>
      </c>
      <c r="Q623" s="10">
        <v>420.53311157226562</v>
      </c>
      <c r="R623" s="10">
        <v>151.73399353027344</v>
      </c>
      <c r="S623" s="10">
        <v>137.69584655761719</v>
      </c>
      <c r="V623" s="11">
        <v>45100</v>
      </c>
      <c r="W623" s="12">
        <v>-1.7114152707000674E-3</v>
      </c>
      <c r="X623" s="12">
        <v>-8.4502886603721183E-4</v>
      </c>
      <c r="Y623" s="12">
        <v>-5.2297064918649383E-3</v>
      </c>
      <c r="Z623" s="12">
        <v>-1.8965664891386735E-2</v>
      </c>
      <c r="AA623" s="12">
        <v>-9.936574935713316E-3</v>
      </c>
      <c r="AB623" s="12">
        <v>-7.5599260349887842E-3</v>
      </c>
      <c r="AC623" s="12">
        <v>-8.7123592683994167E-3</v>
      </c>
    </row>
    <row r="624" spans="12:29" x14ac:dyDescent="0.2">
      <c r="L624" s="11">
        <v>45100</v>
      </c>
      <c r="M624" s="10">
        <v>42.126934051513672</v>
      </c>
      <c r="N624" s="10">
        <v>92.035224914550781</v>
      </c>
      <c r="O624" s="10">
        <v>129.09541320800781</v>
      </c>
      <c r="P624" s="10">
        <v>183.9404296875</v>
      </c>
      <c r="Q624" s="10">
        <v>417.35391235351562</v>
      </c>
      <c r="R624" s="10">
        <v>151.60577392578125</v>
      </c>
      <c r="S624" s="10">
        <v>136.32762145996094</v>
      </c>
      <c r="V624" s="11">
        <v>45103</v>
      </c>
      <c r="W624" s="12">
        <v>-7.5530580552681803E-3</v>
      </c>
      <c r="X624" s="12">
        <v>-1.1179556094848886E-2</v>
      </c>
      <c r="Y624" s="12">
        <v>2.4483484640260844E-3</v>
      </c>
      <c r="Z624" s="12">
        <v>-3.7361670939082381E-2</v>
      </c>
      <c r="AA624" s="12">
        <v>1.0101443112868758E-3</v>
      </c>
      <c r="AB624" s="12">
        <v>-4.0858146106133031E-3</v>
      </c>
      <c r="AC624" s="12">
        <v>1.8457063072850888E-2</v>
      </c>
    </row>
    <row r="625" spans="12:29" x14ac:dyDescent="0.2">
      <c r="L625" s="11">
        <v>45103</v>
      </c>
      <c r="M625" s="10">
        <v>40.553001403808594</v>
      </c>
      <c r="N625" s="10">
        <v>93.733924865722656</v>
      </c>
      <c r="O625" s="10">
        <v>129.41148376464844</v>
      </c>
      <c r="P625" s="10">
        <v>182.55111694335935</v>
      </c>
      <c r="Q625" s="10">
        <v>415.648681640625</v>
      </c>
      <c r="R625" s="10">
        <v>149.910888671875</v>
      </c>
      <c r="S625" s="10">
        <v>136.46533203125</v>
      </c>
      <c r="V625" s="11">
        <v>45104</v>
      </c>
      <c r="W625" s="12">
        <v>1.5059174985602386E-2</v>
      </c>
      <c r="X625" s="12">
        <v>-2.0780574397224472E-3</v>
      </c>
      <c r="Y625" s="12">
        <v>7.1924539131629217E-5</v>
      </c>
      <c r="Z625" s="12">
        <v>3.061615923503247E-2</v>
      </c>
      <c r="AA625" s="12">
        <v>9.4882344416973297E-3</v>
      </c>
      <c r="AB625" s="12">
        <v>1.0963235177506858E-2</v>
      </c>
      <c r="AC625" s="12">
        <v>2.493103268927932E-3</v>
      </c>
    </row>
    <row r="626" spans="12:29" x14ac:dyDescent="0.2">
      <c r="L626" s="11">
        <v>45104</v>
      </c>
      <c r="M626" s="10">
        <v>41.794578552246094</v>
      </c>
      <c r="N626" s="10">
        <v>93.967613220214844</v>
      </c>
      <c r="O626" s="10">
        <v>129.42079162597656</v>
      </c>
      <c r="P626" s="10">
        <v>185.30018615722656</v>
      </c>
      <c r="Q626" s="10">
        <v>420.20553588867188</v>
      </c>
      <c r="R626" s="10">
        <v>149.599365234375</v>
      </c>
      <c r="S626" s="10">
        <v>137.76014709472656</v>
      </c>
      <c r="V626" s="11">
        <v>45105</v>
      </c>
      <c r="W626" s="12">
        <v>6.3279032246246203E-3</v>
      </c>
      <c r="X626" s="12">
        <v>-2.0208801502711315E-3</v>
      </c>
      <c r="Y626" s="12">
        <v>-4.3824832248078316E-3</v>
      </c>
      <c r="Z626" s="12">
        <v>-1.8124900627024099E-2</v>
      </c>
      <c r="AA626" s="12">
        <v>-1.998172624614325E-4</v>
      </c>
      <c r="AB626" s="12">
        <v>5.0438312201173119E-4</v>
      </c>
      <c r="AC626" s="12">
        <v>8.1301354286433813E-3</v>
      </c>
    </row>
    <row r="627" spans="12:29" x14ac:dyDescent="0.2">
      <c r="L627" s="11">
        <v>45105</v>
      </c>
      <c r="M627" s="10">
        <v>41.037055969238281</v>
      </c>
      <c r="N627" s="10">
        <v>94.731582641601562</v>
      </c>
      <c r="O627" s="10">
        <v>128.85360717773438</v>
      </c>
      <c r="P627" s="10">
        <v>186.4727478027344</v>
      </c>
      <c r="Q627" s="10">
        <v>420.41748046875</v>
      </c>
      <c r="R627" s="10">
        <v>149.29704284667969</v>
      </c>
      <c r="S627" s="10">
        <v>137.73262023925781</v>
      </c>
      <c r="V627" s="11">
        <v>45106</v>
      </c>
      <c r="W627" s="12">
        <v>1.7964633386133855E-3</v>
      </c>
      <c r="X627" s="12">
        <v>6.9955728194395217E-3</v>
      </c>
      <c r="Y627" s="12">
        <v>3.4923589770917252E-2</v>
      </c>
      <c r="Z627" s="12">
        <v>-7.1747295730337779E-3</v>
      </c>
      <c r="AA627" s="12">
        <v>-4.0670496524378708E-3</v>
      </c>
      <c r="AB627" s="12">
        <v>3.9414963734663022E-3</v>
      </c>
      <c r="AC627" s="12">
        <v>1.2333914649175215E-2</v>
      </c>
    </row>
    <row r="628" spans="12:29" x14ac:dyDescent="0.2">
      <c r="L628" s="11">
        <v>45106</v>
      </c>
      <c r="M628" s="10">
        <v>40.742626190185547</v>
      </c>
      <c r="N628" s="10">
        <v>95.899993896484375</v>
      </c>
      <c r="O628" s="10">
        <v>133.3536376953125</v>
      </c>
      <c r="P628" s="10">
        <v>186.8077392578125</v>
      </c>
      <c r="Q628" s="10">
        <v>422.07455444335938</v>
      </c>
      <c r="R628" s="10">
        <v>150.34146118164062</v>
      </c>
      <c r="S628" s="10">
        <v>137.17245483398438</v>
      </c>
      <c r="V628" s="11">
        <v>45107</v>
      </c>
      <c r="W628" s="12">
        <v>2.3102466855166481E-2</v>
      </c>
      <c r="X628" s="12">
        <v>8.6531940534944063E-3</v>
      </c>
      <c r="Y628" s="12">
        <v>1.4013788488630441E-2</v>
      </c>
      <c r="Z628" s="12">
        <v>3.6255171254728769E-2</v>
      </c>
      <c r="AA628" s="12">
        <v>1.579857646511007E-2</v>
      </c>
      <c r="AB628" s="12">
        <v>1.1800696993804705E-2</v>
      </c>
      <c r="AC628" s="12">
        <v>5.1545752026045388E-3</v>
      </c>
    </row>
    <row r="629" spans="12:29" x14ac:dyDescent="0.2">
      <c r="L629" s="11">
        <v>45107</v>
      </c>
      <c r="M629" s="10">
        <v>42.219757080078125</v>
      </c>
      <c r="N629" s="10">
        <v>96.394317626953125</v>
      </c>
      <c r="O629" s="10">
        <v>135.22242736816406</v>
      </c>
      <c r="P629" s="10">
        <v>191.12345886230469</v>
      </c>
      <c r="Q629" s="10">
        <v>427.05532836914062</v>
      </c>
      <c r="R629" s="10">
        <v>151.64239501953125</v>
      </c>
      <c r="S629" s="10">
        <v>139.33958435058594</v>
      </c>
      <c r="V629" s="11">
        <v>45110</v>
      </c>
      <c r="W629" s="12">
        <v>-7.7846199267460614E-3</v>
      </c>
      <c r="X629" s="12">
        <v>-1.3109934397500633E-2</v>
      </c>
      <c r="Y629" s="12">
        <v>8.0445166784643973E-3</v>
      </c>
      <c r="Z629" s="12">
        <v>2.6236811118813819E-3</v>
      </c>
      <c r="AA629" s="12">
        <v>5.0085640674486509E-3</v>
      </c>
      <c r="AB629" s="12">
        <v>1.1505137043690272E-3</v>
      </c>
      <c r="AC629" s="12">
        <v>1.9581156374131048E-3</v>
      </c>
    </row>
    <row r="630" spans="12:29" x14ac:dyDescent="0.2">
      <c r="L630" s="11">
        <v>45110</v>
      </c>
      <c r="M630" s="10">
        <v>42.330528259277344</v>
      </c>
      <c r="N630" s="10">
        <v>96.583068847656236</v>
      </c>
      <c r="O630" s="10">
        <v>136.31022644042969</v>
      </c>
      <c r="P630" s="10">
        <v>189.63563537597656</v>
      </c>
      <c r="Q630" s="10">
        <v>427.54666137695312</v>
      </c>
      <c r="R630" s="10">
        <v>149.65437316894531</v>
      </c>
      <c r="S630" s="10">
        <v>140.0374755859375</v>
      </c>
      <c r="V630" s="11">
        <v>45112</v>
      </c>
      <c r="W630" s="12">
        <v>-5.8714378006176071E-3</v>
      </c>
      <c r="X630" s="12">
        <v>-3.3060593210532119E-3</v>
      </c>
      <c r="Y630" s="12">
        <v>-6.6618703409193625E-3</v>
      </c>
      <c r="Z630" s="12">
        <v>-2.2632867050312866E-3</v>
      </c>
      <c r="AA630" s="12">
        <v>-1.7050402419135358E-3</v>
      </c>
      <c r="AB630" s="12">
        <v>-1.4871680629821027E-3</v>
      </c>
      <c r="AC630" s="12">
        <v>-5.1181199393078858E-3</v>
      </c>
    </row>
    <row r="631" spans="12:29" x14ac:dyDescent="0.2">
      <c r="L631" s="11">
        <v>45112</v>
      </c>
      <c r="M631" s="10">
        <v>42.234722137451172</v>
      </c>
      <c r="N631" s="10">
        <v>96.0887451171875</v>
      </c>
      <c r="O631" s="10">
        <v>135.40214538574219</v>
      </c>
      <c r="P631" s="10">
        <v>188.52220153808591</v>
      </c>
      <c r="Q631" s="10">
        <v>426.91082763671869</v>
      </c>
      <c r="R631" s="10">
        <v>149.15960693359375</v>
      </c>
      <c r="S631" s="10">
        <v>139.7987060546875</v>
      </c>
      <c r="V631" s="11">
        <v>45113</v>
      </c>
      <c r="W631" s="12">
        <v>2.508540880361787E-3</v>
      </c>
      <c r="X631" s="12">
        <v>-7.4317741284074534E-3</v>
      </c>
      <c r="Y631" s="12">
        <v>-9.8865018766097768E-3</v>
      </c>
      <c r="Z631" s="12">
        <v>-5.0569119364094473E-3</v>
      </c>
      <c r="AA631" s="12">
        <v>-1.6421359533578261E-3</v>
      </c>
      <c r="AB631" s="12">
        <v>-7.8306448188555366E-3</v>
      </c>
      <c r="AC631" s="12">
        <v>-3.732124005442361E-2</v>
      </c>
    </row>
    <row r="632" spans="12:29" x14ac:dyDescent="0.2">
      <c r="L632" s="11">
        <v>45113</v>
      </c>
      <c r="M632" s="10">
        <v>42.021144866943359</v>
      </c>
      <c r="N632" s="10">
        <v>92.502593994140625</v>
      </c>
      <c r="O632" s="10">
        <v>134.06349182128906</v>
      </c>
      <c r="P632" s="10">
        <v>188.9951171875</v>
      </c>
      <c r="Q632" s="10">
        <v>423.56784057617188</v>
      </c>
      <c r="R632" s="10">
        <v>148.05108642578125</v>
      </c>
      <c r="S632" s="10">
        <v>139.56913757324219</v>
      </c>
      <c r="V632" s="11">
        <v>45114</v>
      </c>
      <c r="W632" s="12">
        <v>-5.8910943208064781E-3</v>
      </c>
      <c r="X632" s="12">
        <v>-1.4542173726093677E-2</v>
      </c>
      <c r="Y632" s="12">
        <v>7.8906349145826393E-3</v>
      </c>
      <c r="Z632" s="12">
        <v>9.5002619469077842E-3</v>
      </c>
      <c r="AA632" s="12">
        <v>-2.0987988918095168E-2</v>
      </c>
      <c r="AB632" s="12">
        <v>-2.5246639443247121E-3</v>
      </c>
      <c r="AC632" s="12">
        <v>2.3319724524724084E-3</v>
      </c>
    </row>
    <row r="633" spans="12:29" x14ac:dyDescent="0.2">
      <c r="L633" s="11">
        <v>45114</v>
      </c>
      <c r="M633" s="10">
        <v>42.420356750488281</v>
      </c>
      <c r="N633" s="10">
        <v>92.718307495117202</v>
      </c>
      <c r="O633" s="10">
        <v>135.121337890625</v>
      </c>
      <c r="P633" s="10">
        <v>187.88172912597656</v>
      </c>
      <c r="Q633" s="10">
        <v>422.49847412109375</v>
      </c>
      <c r="R633" s="10">
        <v>145.89810180664062</v>
      </c>
      <c r="S633" s="10">
        <v>136.63986206054688</v>
      </c>
      <c r="V633" s="11">
        <v>45117</v>
      </c>
      <c r="W633" s="12">
        <v>-1.0855828429376824E-2</v>
      </c>
      <c r="X633" s="12">
        <v>1.6324711255819579E-3</v>
      </c>
      <c r="Y633" s="12">
        <v>5.6116599844251436E-3</v>
      </c>
      <c r="Z633" s="12">
        <v>-7.5992950513127377E-3</v>
      </c>
      <c r="AA633" s="12">
        <v>4.0302272628300884E-4</v>
      </c>
      <c r="AB633" s="12">
        <v>2.5310540051124431E-3</v>
      </c>
      <c r="AC633" s="12">
        <v>1.4831264038975611E-2</v>
      </c>
    </row>
    <row r="634" spans="12:29" x14ac:dyDescent="0.2">
      <c r="L634" s="11">
        <v>45117</v>
      </c>
      <c r="M634" s="10">
        <v>42.097991943359375</v>
      </c>
      <c r="N634" s="10">
        <v>94.093437194824219</v>
      </c>
      <c r="O634" s="10">
        <v>135.87959289550781</v>
      </c>
      <c r="P634" s="10">
        <v>185.84211730957031</v>
      </c>
      <c r="Q634" s="10">
        <v>423.56784057617188</v>
      </c>
      <c r="R634" s="10">
        <v>146.13627624511719</v>
      </c>
      <c r="S634" s="10">
        <v>136.69493103027344</v>
      </c>
      <c r="V634" s="11">
        <v>45118</v>
      </c>
      <c r="W634" s="12">
        <v>-2.809920300337776E-3</v>
      </c>
      <c r="X634" s="12">
        <v>-5.5166511836930443E-3</v>
      </c>
      <c r="Y634" s="12">
        <v>1.5639070387944765E-2</v>
      </c>
      <c r="Z634" s="12">
        <v>5.3339441972877211E-3</v>
      </c>
      <c r="AA634" s="12">
        <v>-5.239975401964525E-3</v>
      </c>
      <c r="AB634" s="12">
        <v>6.3684703833450929E-3</v>
      </c>
      <c r="AC634" s="12">
        <v>1.2226693959263235E-2</v>
      </c>
    </row>
    <row r="635" spans="12:29" x14ac:dyDescent="0.2">
      <c r="L635" s="11">
        <v>45118</v>
      </c>
      <c r="M635" s="10">
        <v>42.322540283203125</v>
      </c>
      <c r="N635" s="10">
        <v>95.243888854980483</v>
      </c>
      <c r="O635" s="10">
        <v>138.00462341308594</v>
      </c>
      <c r="P635" s="10">
        <v>185.3199157714844</v>
      </c>
      <c r="Q635" s="10">
        <v>426.26531982421869</v>
      </c>
      <c r="R635" s="10">
        <v>145.33009338378906</v>
      </c>
      <c r="S635" s="10">
        <v>135.97865295410156</v>
      </c>
      <c r="V635" s="11">
        <v>45119</v>
      </c>
      <c r="W635" s="12">
        <v>8.9854152192407888E-3</v>
      </c>
      <c r="X635" s="12">
        <v>-3.4673221372621965E-3</v>
      </c>
      <c r="Y635" s="12">
        <v>4.9516428687286229E-3</v>
      </c>
      <c r="Z635" s="12">
        <v>3.5302759901213232E-2</v>
      </c>
      <c r="AA635" s="12">
        <v>5.2002486226501166E-3</v>
      </c>
      <c r="AB635" s="12">
        <v>8.0460416919927447E-3</v>
      </c>
      <c r="AC635" s="12">
        <v>4.9069967198305253E-3</v>
      </c>
    </row>
    <row r="636" spans="12:29" x14ac:dyDescent="0.2">
      <c r="L636" s="11">
        <v>45119</v>
      </c>
      <c r="M636" s="10">
        <v>43.816642761230469</v>
      </c>
      <c r="N636" s="10">
        <v>95.711250305175781</v>
      </c>
      <c r="O636" s="10">
        <v>138.68797302246094</v>
      </c>
      <c r="P636" s="10">
        <v>186.98509216308591</v>
      </c>
      <c r="Q636" s="10">
        <v>429.695068359375</v>
      </c>
      <c r="R636" s="10">
        <v>144.82618713378906</v>
      </c>
      <c r="S636" s="10">
        <v>136.68577575683594</v>
      </c>
      <c r="V636" s="11">
        <v>45120</v>
      </c>
      <c r="W636" s="12">
        <v>4.0575294050924082E-3</v>
      </c>
      <c r="X636" s="12">
        <v>4.6178991372018974E-3</v>
      </c>
      <c r="Y636" s="12">
        <v>4.8599111788849569E-3</v>
      </c>
      <c r="Z636" s="12">
        <v>4.7264168437621601E-2</v>
      </c>
      <c r="AA636" s="12">
        <v>6.7147891360841427E-4</v>
      </c>
      <c r="AB636" s="12">
        <v>7.9368630438896304E-3</v>
      </c>
      <c r="AC636" s="12">
        <v>-1.8311583080677374E-2</v>
      </c>
    </row>
    <row r="637" spans="12:29" x14ac:dyDescent="0.2">
      <c r="L637" s="11">
        <v>45120</v>
      </c>
      <c r="M637" s="10">
        <v>45.887599945068359</v>
      </c>
      <c r="N637" s="10">
        <v>93.958625793457045</v>
      </c>
      <c r="O637" s="10">
        <v>139.36198425292969</v>
      </c>
      <c r="P637" s="10">
        <v>187.74378967285156</v>
      </c>
      <c r="Q637" s="10">
        <v>433.10549926757812</v>
      </c>
      <c r="R637" s="10">
        <v>145.49497985839844</v>
      </c>
      <c r="S637" s="10">
        <v>136.77755737304688</v>
      </c>
      <c r="V637" s="11">
        <v>45121</v>
      </c>
      <c r="W637" s="12">
        <v>7.8722513866869015E-4</v>
      </c>
      <c r="X637" s="12">
        <v>6.6746658340988141E-3</v>
      </c>
      <c r="Y637" s="12">
        <v>6.0457273206939721E-3</v>
      </c>
      <c r="Z637" s="12">
        <v>-1.1048902088666379E-2</v>
      </c>
      <c r="AA637" s="12">
        <v>7.3852162250747089E-3</v>
      </c>
      <c r="AB637" s="12">
        <v>-6.2295655137001305E-4</v>
      </c>
      <c r="AC637" s="12">
        <v>-3.4436550498585627E-2</v>
      </c>
    </row>
    <row r="638" spans="12:29" x14ac:dyDescent="0.2">
      <c r="L638" s="11">
        <v>45121</v>
      </c>
      <c r="M638" s="10">
        <v>45.380592346191406</v>
      </c>
      <c r="N638" s="10">
        <v>90.723014831542955</v>
      </c>
      <c r="O638" s="10">
        <v>140.20452880859375</v>
      </c>
      <c r="P638" s="10">
        <v>187.89158630371097</v>
      </c>
      <c r="Q638" s="10">
        <v>432.835693359375</v>
      </c>
      <c r="R638" s="10">
        <v>146.46611022949219</v>
      </c>
      <c r="S638" s="10">
        <v>137.78768920898438</v>
      </c>
      <c r="V638" s="11">
        <v>45124</v>
      </c>
      <c r="W638" s="12">
        <v>1.7305654702422624E-2</v>
      </c>
      <c r="X638" s="12">
        <v>-5.0039572642547325E-3</v>
      </c>
      <c r="Y638" s="12">
        <v>2.4103645840362065E-2</v>
      </c>
      <c r="Z638" s="12">
        <v>2.181704318587796E-2</v>
      </c>
      <c r="AA638" s="12">
        <v>-7.06407735767689E-3</v>
      </c>
      <c r="AB638" s="12">
        <v>3.4723573590087486E-3</v>
      </c>
      <c r="AC638" s="12">
        <v>4.3590886641244886E-3</v>
      </c>
    </row>
    <row r="639" spans="12:29" x14ac:dyDescent="0.2">
      <c r="L639" s="11">
        <v>45124</v>
      </c>
      <c r="M639" s="10">
        <v>46.370662689208984</v>
      </c>
      <c r="N639" s="10">
        <v>91.118484497070327</v>
      </c>
      <c r="O639" s="10">
        <v>143.58396911621094</v>
      </c>
      <c r="P639" s="10">
        <v>191.14317321777344</v>
      </c>
      <c r="Q639" s="10">
        <v>434.33865356445312</v>
      </c>
      <c r="R639" s="10">
        <v>145.73320007324219</v>
      </c>
      <c r="S639" s="10">
        <v>136.81434631347656</v>
      </c>
      <c r="V639" s="11">
        <v>45125</v>
      </c>
      <c r="W639" s="12">
        <v>-1.3403307272055187E-3</v>
      </c>
      <c r="X639" s="12">
        <v>-6.2717449722082819E-5</v>
      </c>
      <c r="Y639" s="12">
        <v>1.8254142251383776E-3</v>
      </c>
      <c r="Z639" s="12">
        <v>2.2233682694939416E-2</v>
      </c>
      <c r="AA639" s="12">
        <v>1.8792663388824682E-3</v>
      </c>
      <c r="AB639" s="12">
        <v>7.430365442701925E-3</v>
      </c>
      <c r="AC639" s="12">
        <v>-4.5375222241632596E-3</v>
      </c>
    </row>
    <row r="640" spans="12:29" x14ac:dyDescent="0.2">
      <c r="L640" s="11">
        <v>45125</v>
      </c>
      <c r="M640" s="10">
        <v>47.401653289794922</v>
      </c>
      <c r="N640" s="10">
        <v>90.705032348632798</v>
      </c>
      <c r="O640" s="10">
        <v>143.8460693359375</v>
      </c>
      <c r="P640" s="10">
        <v>190.88697814941409</v>
      </c>
      <c r="Q640" s="10">
        <v>437.56594848632812</v>
      </c>
      <c r="R640" s="10">
        <v>145.72406005859375</v>
      </c>
      <c r="S640" s="10">
        <v>137.07145690917969</v>
      </c>
      <c r="V640" s="11">
        <v>45126</v>
      </c>
      <c r="W640" s="12">
        <v>7.0718800342350896E-3</v>
      </c>
      <c r="X640" s="12">
        <v>-2.0120056476469195E-3</v>
      </c>
      <c r="Y640" s="12">
        <v>3.839888763199184E-3</v>
      </c>
      <c r="Z640" s="12">
        <v>-8.7800162545501603E-3</v>
      </c>
      <c r="AA640" s="12">
        <v>6.8330417678055255E-3</v>
      </c>
      <c r="AB640" s="12">
        <v>2.2239253695086614E-3</v>
      </c>
      <c r="AC640" s="12">
        <v>6.9363077629620573E-3</v>
      </c>
    </row>
    <row r="641" spans="12:29" x14ac:dyDescent="0.2">
      <c r="L641" s="11">
        <v>45126</v>
      </c>
      <c r="M641" s="10">
        <v>46.985466003417969</v>
      </c>
      <c r="N641" s="10">
        <v>91.334190368652344</v>
      </c>
      <c r="O641" s="10">
        <v>144.39842224121094</v>
      </c>
      <c r="P641" s="10">
        <v>192.2369079589844</v>
      </c>
      <c r="Q641" s="10">
        <v>438.5390625</v>
      </c>
      <c r="R641" s="10">
        <v>145.43086242675781</v>
      </c>
      <c r="S641" s="10">
        <v>138.00807189941406</v>
      </c>
      <c r="V641" s="11">
        <v>45127</v>
      </c>
      <c r="W641" s="12">
        <v>-1.0097521613393834E-2</v>
      </c>
      <c r="X641" s="12">
        <v>6.0728319307284728E-2</v>
      </c>
      <c r="Y641" s="12">
        <v>1.2317591282951623E-2</v>
      </c>
      <c r="Z641" s="12">
        <v>-3.3073507273468028E-2</v>
      </c>
      <c r="AA641" s="12">
        <v>8.1083558322811999E-3</v>
      </c>
      <c r="AB641" s="12">
        <v>-6.634633370744436E-3</v>
      </c>
      <c r="AC641" s="12">
        <v>1.7614630925237851E-2</v>
      </c>
    </row>
    <row r="642" spans="12:29" x14ac:dyDescent="0.2">
      <c r="L642" s="11">
        <v>45127</v>
      </c>
      <c r="M642" s="10">
        <v>45.431491851806641</v>
      </c>
      <c r="N642" s="10">
        <v>92.943008422851562</v>
      </c>
      <c r="O642" s="10">
        <v>146.17706298828125</v>
      </c>
      <c r="P642" s="10">
        <v>190.29579162597656</v>
      </c>
      <c r="Q642" s="10">
        <v>435.6295166015625</v>
      </c>
      <c r="R642" s="10">
        <v>154.26263427734375</v>
      </c>
      <c r="S642" s="10">
        <v>139.12709045410156</v>
      </c>
      <c r="V642" s="11">
        <v>45128</v>
      </c>
      <c r="W642" s="12">
        <v>-6.161624058582893E-3</v>
      </c>
      <c r="X642" s="12">
        <v>1.0749418680332079E-2</v>
      </c>
      <c r="Y642" s="12">
        <v>-7.6848722215147047E-3</v>
      </c>
      <c r="Z642" s="12">
        <v>-2.6603763873375041E-2</v>
      </c>
      <c r="AA642" s="12">
        <v>1.5741240270577439E-2</v>
      </c>
      <c r="AB642" s="12">
        <v>0</v>
      </c>
      <c r="AC642" s="12">
        <v>4.6416804285194235E-3</v>
      </c>
    </row>
    <row r="643" spans="12:29" x14ac:dyDescent="0.2">
      <c r="L643" s="11">
        <v>45128</v>
      </c>
      <c r="M643" s="10">
        <v>44.222843170166016</v>
      </c>
      <c r="N643" s="10">
        <v>93.374420166015625</v>
      </c>
      <c r="O643" s="10">
        <v>145.0537109375</v>
      </c>
      <c r="P643" s="10">
        <v>189.12326049804688</v>
      </c>
      <c r="Q643" s="10">
        <v>435.6295166015625</v>
      </c>
      <c r="R643" s="10">
        <v>155.92086791992188</v>
      </c>
      <c r="S643" s="10">
        <v>141.31712341308594</v>
      </c>
      <c r="V643" s="11">
        <v>45131</v>
      </c>
      <c r="W643" s="12">
        <v>4.2200571194273007E-3</v>
      </c>
      <c r="X643" s="12">
        <v>5.2294726293569127E-3</v>
      </c>
      <c r="Y643" s="12">
        <v>1.968359730029956E-2</v>
      </c>
      <c r="Z643" s="12">
        <v>6.8384964296228645E-3</v>
      </c>
      <c r="AA643" s="12">
        <v>3.2042813587076502E-3</v>
      </c>
      <c r="AB643" s="12">
        <v>4.4673418188307945E-3</v>
      </c>
      <c r="AC643" s="12">
        <v>1.5689564279814938E-2</v>
      </c>
    </row>
    <row r="644" spans="12:29" x14ac:dyDescent="0.2">
      <c r="L644" s="11">
        <v>45131</v>
      </c>
      <c r="M644" s="10">
        <v>44.525260925292969</v>
      </c>
      <c r="N644" s="10">
        <v>94.839424133300781</v>
      </c>
      <c r="O644" s="10">
        <v>147.90888977050781</v>
      </c>
      <c r="P644" s="10">
        <v>189.92137145996097</v>
      </c>
      <c r="Q644" s="10">
        <v>437.57562255859375</v>
      </c>
      <c r="R644" s="10">
        <v>156.73625183105469</v>
      </c>
      <c r="S644" s="10">
        <v>141.76994323730469</v>
      </c>
      <c r="V644" s="11">
        <v>45132</v>
      </c>
      <c r="W644" s="12">
        <v>4.5136509016414639E-3</v>
      </c>
      <c r="X644" s="12">
        <v>7.6572253125941625E-3</v>
      </c>
      <c r="Y644" s="12">
        <v>-7.4682073506628921E-3</v>
      </c>
      <c r="Z644" s="12">
        <v>2.3917519060523418E-2</v>
      </c>
      <c r="AA644" s="12">
        <v>2.3465631116448282E-3</v>
      </c>
      <c r="AB644" s="12">
        <v>2.730136350594492E-3</v>
      </c>
      <c r="AC644" s="12">
        <v>1.5163151699173483E-3</v>
      </c>
    </row>
    <row r="645" spans="12:29" x14ac:dyDescent="0.2">
      <c r="L645" s="11">
        <v>45132</v>
      </c>
      <c r="M645" s="10">
        <v>45.590194702148438</v>
      </c>
      <c r="N645" s="10">
        <v>94.983230590820327</v>
      </c>
      <c r="O645" s="10">
        <v>146.80427551269531</v>
      </c>
      <c r="P645" s="10">
        <v>190.77861022949219</v>
      </c>
      <c r="Q645" s="10">
        <v>438.770263671875</v>
      </c>
      <c r="R645" s="10">
        <v>157.93641662597656</v>
      </c>
      <c r="S645" s="10">
        <v>142.10261535644531</v>
      </c>
      <c r="V645" s="11">
        <v>45133</v>
      </c>
      <c r="W645" s="12">
        <v>4.5449575685321264E-3</v>
      </c>
      <c r="X645" s="12">
        <v>1.9143963864234337E-3</v>
      </c>
      <c r="Y645" s="12">
        <v>5.9938893863558107E-3</v>
      </c>
      <c r="Z645" s="12">
        <v>-4.969628144329663E-3</v>
      </c>
      <c r="AA645" s="12">
        <v>1.0403918805836909E-3</v>
      </c>
      <c r="AB645" s="12">
        <v>1.5364151962793393E-4</v>
      </c>
      <c r="AC645" s="12">
        <v>-5.5828914598509138E-3</v>
      </c>
    </row>
    <row r="646" spans="12:29" x14ac:dyDescent="0.2">
      <c r="L646" s="11">
        <v>45133</v>
      </c>
      <c r="M646" s="10">
        <v>45.363628387451172</v>
      </c>
      <c r="N646" s="10">
        <v>94.452949523925781</v>
      </c>
      <c r="O646" s="10">
        <v>147.6842041015625</v>
      </c>
      <c r="P646" s="10">
        <v>191.64569091796875</v>
      </c>
      <c r="Q646" s="10">
        <v>438.83767700195312</v>
      </c>
      <c r="R646" s="10">
        <v>158.23876953125</v>
      </c>
      <c r="S646" s="10">
        <v>142.25045776367188</v>
      </c>
      <c r="V646" s="11">
        <v>45134</v>
      </c>
      <c r="W646" s="12">
        <v>-6.5810531022576502E-3</v>
      </c>
      <c r="X646" s="12">
        <v>5.6158257553082791E-3</v>
      </c>
      <c r="Y646" s="12">
        <v>-1.1029244628786405E-2</v>
      </c>
      <c r="Z646" s="12">
        <v>9.856705497055307E-3</v>
      </c>
      <c r="AA646" s="12">
        <v>-1.1887657915891081E-2</v>
      </c>
      <c r="AB646" s="12">
        <v>-6.629910097008751E-3</v>
      </c>
      <c r="AC646" s="12">
        <v>3.1401914211450777E-3</v>
      </c>
    </row>
    <row r="647" spans="12:29" x14ac:dyDescent="0.2">
      <c r="L647" s="11">
        <v>45134</v>
      </c>
      <c r="M647" s="10">
        <v>45.810764312744141</v>
      </c>
      <c r="N647" s="10">
        <v>94.749549865722656</v>
      </c>
      <c r="O647" s="10">
        <v>146.05535888671875</v>
      </c>
      <c r="P647" s="10">
        <v>190.38446044921875</v>
      </c>
      <c r="Q647" s="10">
        <v>435.92822265625</v>
      </c>
      <c r="R647" s="10">
        <v>159.12741088867188</v>
      </c>
      <c r="S647" s="10">
        <v>140.55943298339844</v>
      </c>
      <c r="V647" s="11">
        <v>45135</v>
      </c>
      <c r="W647" s="12">
        <v>1.3508015846071197E-2</v>
      </c>
      <c r="X647" s="12">
        <v>4.548368741498221E-3</v>
      </c>
      <c r="Y647" s="12">
        <v>5.704415139172081E-3</v>
      </c>
      <c r="Z647" s="12">
        <v>1.8518335014431342E-2</v>
      </c>
      <c r="AA647" s="12">
        <v>2.8268822822446582E-2</v>
      </c>
      <c r="AB647" s="12">
        <v>9.7902649137917575E-3</v>
      </c>
      <c r="AC647" s="12">
        <v>-1.1952318594078193E-2</v>
      </c>
    </row>
    <row r="648" spans="12:29" x14ac:dyDescent="0.2">
      <c r="L648" s="11">
        <v>45135</v>
      </c>
      <c r="M648" s="10">
        <v>46.659103393554688</v>
      </c>
      <c r="N648" s="10">
        <v>93.617073059082045</v>
      </c>
      <c r="O648" s="10">
        <v>146.88851928710938</v>
      </c>
      <c r="P648" s="10">
        <v>192.9561767578125</v>
      </c>
      <c r="Q648" s="10">
        <v>440.19607543945312</v>
      </c>
      <c r="R648" s="10">
        <v>159.85118103027344</v>
      </c>
      <c r="S648" s="10">
        <v>144.53288269042969</v>
      </c>
      <c r="V648" s="11">
        <v>45138</v>
      </c>
      <c r="W648" s="12">
        <v>3.1660084127445032E-3</v>
      </c>
      <c r="X648" s="12">
        <v>-3.9832638523437436E-2</v>
      </c>
      <c r="Y648" s="12">
        <v>6.6916422046425783E-3</v>
      </c>
      <c r="Z648" s="12">
        <v>-4.4908990006375937E-4</v>
      </c>
      <c r="AA648" s="12">
        <v>-7.0311705727144069E-4</v>
      </c>
      <c r="AB648" s="12">
        <v>1.9040725939374337E-3</v>
      </c>
      <c r="AC648" s="12">
        <v>2.9570247593083687E-2</v>
      </c>
    </row>
    <row r="649" spans="12:29" x14ac:dyDescent="0.2">
      <c r="L649" s="11">
        <v>45138</v>
      </c>
      <c r="M649" s="10">
        <v>46.638149261474609</v>
      </c>
      <c r="N649" s="10">
        <v>96.385353088378906</v>
      </c>
      <c r="O649" s="10">
        <v>147.87144470214844</v>
      </c>
      <c r="P649" s="10">
        <v>193.56707763671875</v>
      </c>
      <c r="Q649" s="10">
        <v>441.03424072265625</v>
      </c>
      <c r="R649" s="10">
        <v>153.48388671875</v>
      </c>
      <c r="S649" s="10">
        <v>144.43125915527344</v>
      </c>
      <c r="V649" s="11">
        <v>45139</v>
      </c>
      <c r="W649" s="12">
        <v>-4.2759466393895718E-3</v>
      </c>
      <c r="X649" s="12">
        <v>8.1179315061956636E-3</v>
      </c>
      <c r="Y649" s="12">
        <v>-4.9380331224035956E-3</v>
      </c>
      <c r="Z649" s="12">
        <v>-4.7508934099061984E-3</v>
      </c>
      <c r="AA649" s="12">
        <v>-3.2000601767667725E-4</v>
      </c>
      <c r="AB649" s="12">
        <v>-2.8616484717141066E-3</v>
      </c>
      <c r="AC649" s="12">
        <v>-5.7815693785554512E-3</v>
      </c>
    </row>
    <row r="650" spans="12:29" x14ac:dyDescent="0.2">
      <c r="L650" s="11">
        <v>45139</v>
      </c>
      <c r="M650" s="10">
        <v>46.416576385498047</v>
      </c>
      <c r="N650" s="10">
        <v>95.828094482421875</v>
      </c>
      <c r="O650" s="10">
        <v>147.14125061035156</v>
      </c>
      <c r="P650" s="10">
        <v>192.73939514160156</v>
      </c>
      <c r="Q650" s="10">
        <v>439.77215576171869</v>
      </c>
      <c r="R650" s="10">
        <v>154.7298583984375</v>
      </c>
      <c r="S650" s="10">
        <v>144.38504028320312</v>
      </c>
      <c r="V650" s="11">
        <v>45140</v>
      </c>
      <c r="W650" s="12">
        <v>-1.5490007456832267E-2</v>
      </c>
      <c r="X650" s="12">
        <v>6.039716870459344E-3</v>
      </c>
      <c r="Y650" s="12">
        <v>-1.1324633940986928E-2</v>
      </c>
      <c r="Z650" s="12">
        <v>-4.8121821587371549E-2</v>
      </c>
      <c r="AA650" s="12">
        <v>2.1760822656533563E-3</v>
      </c>
      <c r="AB650" s="12">
        <v>-1.3910665132410016E-2</v>
      </c>
      <c r="AC650" s="12">
        <v>-1.2474224505946485E-2</v>
      </c>
    </row>
    <row r="651" spans="12:29" x14ac:dyDescent="0.2">
      <c r="L651" s="11">
        <v>45140</v>
      </c>
      <c r="M651" s="10">
        <v>44.182926177978509</v>
      </c>
      <c r="N651" s="10">
        <v>94.632713317871094</v>
      </c>
      <c r="O651" s="10">
        <v>145.47492980957031</v>
      </c>
      <c r="P651" s="10">
        <v>189.75386047363281</v>
      </c>
      <c r="Q651" s="10">
        <v>433.65463256835938</v>
      </c>
      <c r="R651" s="10">
        <v>155.66438293457031</v>
      </c>
      <c r="S651" s="10">
        <v>144.69923400878906</v>
      </c>
      <c r="V651" s="11">
        <v>45141</v>
      </c>
      <c r="W651" s="12">
        <v>-7.3217377473210332E-3</v>
      </c>
      <c r="X651" s="12">
        <v>4.2960819657973381E-3</v>
      </c>
      <c r="Y651" s="12">
        <v>6.1134830700519949E-3</v>
      </c>
      <c r="Z651" s="12">
        <v>5.557018996849683E-3</v>
      </c>
      <c r="AA651" s="12">
        <v>2.6182617774590522E-3</v>
      </c>
      <c r="AB651" s="12">
        <v>-2.865940487663865E-3</v>
      </c>
      <c r="AC651" s="12">
        <v>1.7380541078915179E-2</v>
      </c>
    </row>
    <row r="652" spans="12:29" x14ac:dyDescent="0.2">
      <c r="L652" s="11">
        <v>45141</v>
      </c>
      <c r="M652" s="10">
        <v>44.428451538085938</v>
      </c>
      <c r="N652" s="10">
        <v>96.277481079101562</v>
      </c>
      <c r="O652" s="10">
        <v>146.36428833007812</v>
      </c>
      <c r="P652" s="10">
        <v>188.36453247070312</v>
      </c>
      <c r="Q652" s="10">
        <v>432.41180419921869</v>
      </c>
      <c r="R652" s="10">
        <v>156.3331298828125</v>
      </c>
      <c r="S652" s="10">
        <v>145.07809448242188</v>
      </c>
      <c r="V652" s="11">
        <v>45142</v>
      </c>
      <c r="W652" s="12">
        <v>-4.8020042353542736E-2</v>
      </c>
      <c r="X652" s="12">
        <v>-9.3765543488191216E-3</v>
      </c>
      <c r="Y652" s="12">
        <v>-2.1106886583063256E-3</v>
      </c>
      <c r="Z652" s="12">
        <v>3.7065587604059314E-3</v>
      </c>
      <c r="AA652" s="12">
        <v>-1.0955487462028679E-2</v>
      </c>
      <c r="AB652" s="12">
        <v>-4.5227453496191616E-3</v>
      </c>
      <c r="AC652" s="12">
        <v>2.8005555308139307E-3</v>
      </c>
    </row>
    <row r="653" spans="12:29" x14ac:dyDescent="0.2">
      <c r="L653" s="11">
        <v>45142</v>
      </c>
      <c r="M653" s="10">
        <v>44.593128204345703</v>
      </c>
      <c r="N653" s="10">
        <v>96.547111511230483</v>
      </c>
      <c r="O653" s="10">
        <v>146.05535888671875</v>
      </c>
      <c r="P653" s="10">
        <v>179.31925964355469</v>
      </c>
      <c r="Q653" s="10">
        <v>430.45611572265625</v>
      </c>
      <c r="R653" s="10">
        <v>154.86726379394531</v>
      </c>
      <c r="S653" s="10">
        <v>143.48869323730469</v>
      </c>
      <c r="V653" s="11">
        <v>45145</v>
      </c>
      <c r="W653" s="12">
        <v>-1.725359893878986E-2</v>
      </c>
      <c r="X653" s="12">
        <v>2.4018213524549026E-2</v>
      </c>
      <c r="Y653" s="12">
        <v>4.7428489522021167E-3</v>
      </c>
      <c r="Z653" s="12">
        <v>1.6495119985156181E-2</v>
      </c>
      <c r="AA653" s="12">
        <v>1.0561615538605906E-2</v>
      </c>
      <c r="AB653" s="12">
        <v>8.7284917760035441E-3</v>
      </c>
      <c r="AC653" s="12">
        <v>-2.0479472205534588E-3</v>
      </c>
    </row>
    <row r="654" spans="12:29" x14ac:dyDescent="0.2">
      <c r="L654" s="11">
        <v>45145</v>
      </c>
      <c r="M654" s="10">
        <v>45.328697204589837</v>
      </c>
      <c r="N654" s="10">
        <v>96.349388122558594</v>
      </c>
      <c r="O654" s="10">
        <v>146.74807739257812</v>
      </c>
      <c r="P654" s="10">
        <v>176.22535705566406</v>
      </c>
      <c r="Q654" s="10">
        <v>434.21334838867188</v>
      </c>
      <c r="R654" s="10">
        <v>158.58689880371094</v>
      </c>
      <c r="S654" s="10">
        <v>145.00416564941406</v>
      </c>
      <c r="V654" s="11">
        <v>45146</v>
      </c>
      <c r="W654" s="12">
        <v>5.311667007962928E-3</v>
      </c>
      <c r="X654" s="12">
        <v>4.6213126317518061E-4</v>
      </c>
      <c r="Y654" s="12">
        <v>-5.6135402913214394E-3</v>
      </c>
      <c r="Z654" s="12">
        <v>-1.6579724751540903E-2</v>
      </c>
      <c r="AA654" s="12">
        <v>1.0835533605044745E-3</v>
      </c>
      <c r="AB654" s="12">
        <v>-4.3485860541485621E-3</v>
      </c>
      <c r="AC654" s="12">
        <v>4.9440532589755115E-3</v>
      </c>
    </row>
    <row r="655" spans="12:29" x14ac:dyDescent="0.2">
      <c r="L655" s="11">
        <v>45146</v>
      </c>
      <c r="M655" s="10">
        <v>44.577159881591797</v>
      </c>
      <c r="N655" s="10">
        <v>96.825744628906236</v>
      </c>
      <c r="O655" s="10">
        <v>145.92430114746094</v>
      </c>
      <c r="P655" s="10">
        <v>177.16140747070312</v>
      </c>
      <c r="Q655" s="10">
        <v>432.32513427734375</v>
      </c>
      <c r="R655" s="10">
        <v>158.66018676757812</v>
      </c>
      <c r="S655" s="10">
        <v>145.16128540039062</v>
      </c>
      <c r="V655" s="11">
        <v>45147</v>
      </c>
      <c r="W655" s="12">
        <v>-8.9544332906993374E-3</v>
      </c>
      <c r="X655" s="12">
        <v>-6.3512494861972524E-4</v>
      </c>
      <c r="Y655" s="12">
        <v>-1.3407826486582342E-2</v>
      </c>
      <c r="Z655" s="12">
        <v>-4.724159192033639E-2</v>
      </c>
      <c r="AA655" s="12">
        <v>-1.2733765080219506E-3</v>
      </c>
      <c r="AB655" s="12">
        <v>-6.685311684030526E-3</v>
      </c>
      <c r="AC655" s="12">
        <v>1.6986805917575509E-2</v>
      </c>
    </row>
    <row r="656" spans="12:29" x14ac:dyDescent="0.2">
      <c r="L656" s="11">
        <v>45147</v>
      </c>
      <c r="M656" s="10">
        <v>42.471263885498047</v>
      </c>
      <c r="N656" s="10">
        <v>98.470504760742202</v>
      </c>
      <c r="O656" s="10">
        <v>143.9677734375</v>
      </c>
      <c r="P656" s="10">
        <v>175.57502746582031</v>
      </c>
      <c r="Q656" s="10">
        <v>429.43490600585938</v>
      </c>
      <c r="R656" s="10">
        <v>158.55941772460938</v>
      </c>
      <c r="S656" s="10">
        <v>144.9764404296875</v>
      </c>
      <c r="V656" s="11">
        <v>45148</v>
      </c>
      <c r="W656" s="12">
        <v>-1.2346950437079895E-3</v>
      </c>
      <c r="X656" s="12">
        <v>-5.2002867769828098E-3</v>
      </c>
      <c r="Y656" s="12">
        <v>-1.4953780956838969E-3</v>
      </c>
      <c r="Z656" s="12">
        <v>-3.9007195075585477E-3</v>
      </c>
      <c r="AA656" s="12">
        <v>-4.971700345304586E-3</v>
      </c>
      <c r="AB656" s="12">
        <v>3.5880467516302694E-4</v>
      </c>
      <c r="AC656" s="12">
        <v>5.1114434442938173E-3</v>
      </c>
    </row>
    <row r="657" spans="12:29" x14ac:dyDescent="0.2">
      <c r="L657" s="11">
        <v>45148</v>
      </c>
      <c r="M657" s="10">
        <v>42.305595397949219</v>
      </c>
      <c r="N657" s="10">
        <v>98.973831176757798</v>
      </c>
      <c r="O657" s="10">
        <v>143.75248718261719</v>
      </c>
      <c r="P657" s="10">
        <v>175.35824584960938</v>
      </c>
      <c r="Q657" s="10">
        <v>429.5889892578125</v>
      </c>
      <c r="R657" s="10">
        <v>157.73486328125</v>
      </c>
      <c r="S657" s="10">
        <v>144.25566101074219</v>
      </c>
      <c r="V657" s="11">
        <v>45149</v>
      </c>
      <c r="W657" s="12">
        <v>3.3770502245067391E-4</v>
      </c>
      <c r="X657" s="12">
        <v>9.7578558139679306E-3</v>
      </c>
      <c r="Y657" s="12">
        <v>5.7955858652667391E-3</v>
      </c>
      <c r="Z657" s="12">
        <v>-3.6166121348316205E-2</v>
      </c>
      <c r="AA657" s="12">
        <v>5.8294220007131248E-3</v>
      </c>
      <c r="AB657" s="12">
        <v>-5.8294614702869563E-4</v>
      </c>
      <c r="AC657" s="12">
        <v>1.5528458305281045E-2</v>
      </c>
    </row>
    <row r="658" spans="12:29" x14ac:dyDescent="0.2">
      <c r="L658" s="11">
        <v>45149</v>
      </c>
      <c r="M658" s="10">
        <v>40.775566101074219</v>
      </c>
      <c r="N658" s="10">
        <v>100.5107421875</v>
      </c>
      <c r="O658" s="10">
        <v>144.58561706542969</v>
      </c>
      <c r="P658" s="10">
        <v>175.41746520996094</v>
      </c>
      <c r="Q658" s="10">
        <v>429.33856201171869</v>
      </c>
      <c r="R658" s="10">
        <v>159.27401733398438</v>
      </c>
      <c r="S658" s="10">
        <v>145.09658813476562</v>
      </c>
      <c r="V658" s="11">
        <v>45152</v>
      </c>
      <c r="W658" s="12">
        <v>9.3931373078608438E-3</v>
      </c>
      <c r="X658" s="12">
        <v>-2.358360871653753E-3</v>
      </c>
      <c r="Y658" s="12">
        <v>2.0719613177602181E-3</v>
      </c>
      <c r="Z658" s="12">
        <v>7.0933579815643411E-2</v>
      </c>
      <c r="AA658" s="12">
        <v>-7.8335901062671631E-3</v>
      </c>
      <c r="AB658" s="12">
        <v>5.5199655743165543E-3</v>
      </c>
      <c r="AC658" s="12">
        <v>8.0468226246810381E-4</v>
      </c>
    </row>
    <row r="659" spans="12:29" x14ac:dyDescent="0.2">
      <c r="L659" s="11">
        <v>45152</v>
      </c>
      <c r="M659" s="10">
        <v>43.667922973632812</v>
      </c>
      <c r="N659" s="10">
        <v>100.59162139892578</v>
      </c>
      <c r="O659" s="10">
        <v>144.88519287109375</v>
      </c>
      <c r="P659" s="10">
        <v>177.065185546875</v>
      </c>
      <c r="Q659" s="10">
        <v>431.70849609375</v>
      </c>
      <c r="R659" s="10">
        <v>158.89839172363281</v>
      </c>
      <c r="S659" s="10">
        <v>143.9599609375</v>
      </c>
      <c r="V659" s="11">
        <v>45153</v>
      </c>
      <c r="W659" s="12">
        <v>-1.1200395307055855E-2</v>
      </c>
      <c r="X659" s="12">
        <v>-2.8829704332762329E-3</v>
      </c>
      <c r="Y659" s="12">
        <v>-2.5457083771625144E-2</v>
      </c>
      <c r="Z659" s="12">
        <v>4.2741142789852749E-3</v>
      </c>
      <c r="AA659" s="12">
        <v>-6.4189532951192119E-3</v>
      </c>
      <c r="AB659" s="12">
        <v>-1.1648762242136179E-2</v>
      </c>
      <c r="AC659" s="12">
        <v>-2.5673154846756585E-2</v>
      </c>
    </row>
    <row r="660" spans="12:29" x14ac:dyDescent="0.2">
      <c r="L660" s="11">
        <v>45153</v>
      </c>
      <c r="M660" s="10">
        <v>43.854564666748047</v>
      </c>
      <c r="N660" s="10">
        <v>98.009117126464844</v>
      </c>
      <c r="O660" s="10">
        <v>141.19683837890625</v>
      </c>
      <c r="P660" s="10">
        <v>175.08198547363281</v>
      </c>
      <c r="Q660" s="10">
        <v>426.67962646484375</v>
      </c>
      <c r="R660" s="10">
        <v>158.44029235839844</v>
      </c>
      <c r="S660" s="10">
        <v>143.035888671875</v>
      </c>
      <c r="V660" s="11">
        <v>45154</v>
      </c>
      <c r="W660" s="12">
        <v>-4.9590502078015186E-3</v>
      </c>
      <c r="X660" s="12">
        <v>-3.1802247075011225E-3</v>
      </c>
      <c r="Y660" s="12">
        <v>-4.2432703126911164E-3</v>
      </c>
      <c r="Z660" s="12">
        <v>-1.0332186839646762E-2</v>
      </c>
      <c r="AA660" s="12">
        <v>-1.0207382120759556E-2</v>
      </c>
      <c r="AB660" s="12">
        <v>-7.3380863971216348E-3</v>
      </c>
      <c r="AC660" s="12">
        <v>-1.6827088307709293E-2</v>
      </c>
    </row>
    <row r="661" spans="12:29" x14ac:dyDescent="0.2">
      <c r="L661" s="11">
        <v>45154</v>
      </c>
      <c r="M661" s="10">
        <v>43.401451110839837</v>
      </c>
      <c r="N661" s="10">
        <v>96.359909057617202</v>
      </c>
      <c r="O661" s="10">
        <v>140.59770202636719</v>
      </c>
      <c r="P661" s="10">
        <v>174.2137451171875</v>
      </c>
      <c r="Q661" s="10">
        <v>423.54861450195312</v>
      </c>
      <c r="R661" s="10">
        <v>157.93641662597656</v>
      </c>
      <c r="S661" s="10">
        <v>141.57586669921875</v>
      </c>
      <c r="V661" s="11">
        <v>45155</v>
      </c>
      <c r="W661" s="12">
        <v>-1.4555228254174879E-2</v>
      </c>
      <c r="X661" s="12">
        <v>9.3972081212143621E-3</v>
      </c>
      <c r="Y661" s="12">
        <v>-1.038678189592146E-2</v>
      </c>
      <c r="Z661" s="12">
        <v>-3.2654123119191247E-3</v>
      </c>
      <c r="AA661" s="12">
        <v>-7.1794278185826066E-3</v>
      </c>
      <c r="AB661" s="12">
        <v>-7.6200166858313434E-3</v>
      </c>
      <c r="AC661" s="12">
        <v>1.9371918766031948E-2</v>
      </c>
    </row>
    <row r="662" spans="12:29" x14ac:dyDescent="0.2">
      <c r="L662" s="11">
        <v>45155</v>
      </c>
      <c r="M662" s="10">
        <v>43.259727478027344</v>
      </c>
      <c r="N662" s="10">
        <v>98.226585388183594</v>
      </c>
      <c r="O662" s="10">
        <v>139.13734436035156</v>
      </c>
      <c r="P662" s="10">
        <v>171.67802429199219</v>
      </c>
      <c r="Q662" s="10">
        <v>420.3211669921875</v>
      </c>
      <c r="R662" s="10">
        <v>159.42057800292969</v>
      </c>
      <c r="S662" s="10">
        <v>140.55943298339844</v>
      </c>
      <c r="V662" s="11">
        <v>45156</v>
      </c>
      <c r="W662" s="12">
        <v>2.8160824581366928E-3</v>
      </c>
      <c r="X662" s="12">
        <v>-8.7348641391712389E-3</v>
      </c>
      <c r="Y662" s="12">
        <v>2.2874363725193803E-3</v>
      </c>
      <c r="Z662" s="12">
        <v>-1.0382461523430475E-3</v>
      </c>
      <c r="AA662" s="12">
        <v>2.826730301660918E-3</v>
      </c>
      <c r="AB662" s="12">
        <v>4.8122845979881035E-4</v>
      </c>
      <c r="AC662" s="12">
        <v>1.5129064591908659E-2</v>
      </c>
    </row>
    <row r="663" spans="12:29" x14ac:dyDescent="0.2">
      <c r="L663" s="11">
        <v>45156</v>
      </c>
      <c r="M663" s="10">
        <v>43.214813232421875</v>
      </c>
      <c r="N663" s="10">
        <v>99.712661743164062</v>
      </c>
      <c r="O663" s="10">
        <v>139.45561218261719</v>
      </c>
      <c r="P663" s="10">
        <v>172.16148376464844</v>
      </c>
      <c r="Q663" s="10">
        <v>420.5234375</v>
      </c>
      <c r="R663" s="10">
        <v>158.02806091308594</v>
      </c>
      <c r="S663" s="10">
        <v>140.95675659179688</v>
      </c>
      <c r="V663" s="11">
        <v>45159</v>
      </c>
      <c r="W663" s="12">
        <v>7.7369264210267463E-3</v>
      </c>
      <c r="X663" s="12">
        <v>-2.9798889144980745E-2</v>
      </c>
      <c r="Y663" s="12">
        <v>3.4236521735704351E-3</v>
      </c>
      <c r="Z663" s="12">
        <v>8.4713215443098289E-2</v>
      </c>
      <c r="AA663" s="12">
        <v>-5.0476620801923611E-3</v>
      </c>
      <c r="AB663" s="12">
        <v>6.5064494816726715E-3</v>
      </c>
      <c r="AC663" s="12">
        <v>-1.2086502216069106E-2</v>
      </c>
    </row>
    <row r="664" spans="12:29" x14ac:dyDescent="0.2">
      <c r="L664" s="11">
        <v>45159</v>
      </c>
      <c r="M664" s="10">
        <v>46.875679016113281</v>
      </c>
      <c r="N664" s="10">
        <v>98.507484436035156</v>
      </c>
      <c r="O664" s="10">
        <v>139.93305969238281</v>
      </c>
      <c r="P664" s="10">
        <v>173.49348449707031</v>
      </c>
      <c r="Q664" s="10">
        <v>423.25955200195312</v>
      </c>
      <c r="R664" s="10">
        <v>153.31900024414062</v>
      </c>
      <c r="S664" s="10">
        <v>140.24525451660156</v>
      </c>
      <c r="V664" s="11">
        <v>45160</v>
      </c>
      <c r="W664" s="12">
        <v>7.9048772703138592E-3</v>
      </c>
      <c r="X664" s="12">
        <v>-7.9475202514671661E-3</v>
      </c>
      <c r="Y664" s="12">
        <v>-2.0738545008736065E-2</v>
      </c>
      <c r="Z664" s="12">
        <v>-2.7657639724945393E-2</v>
      </c>
      <c r="AA664" s="12">
        <v>3.9527312959819483E-4</v>
      </c>
      <c r="AB664" s="12">
        <v>-2.7087749990645227E-3</v>
      </c>
      <c r="AC664" s="12">
        <v>-5.6112450434969707E-3</v>
      </c>
    </row>
    <row r="665" spans="12:29" x14ac:dyDescent="0.2">
      <c r="L665" s="11">
        <v>45160</v>
      </c>
      <c r="M665" s="10">
        <v>45.579208374023438</v>
      </c>
      <c r="N665" s="10">
        <v>97.954734802246094</v>
      </c>
      <c r="O665" s="10">
        <v>137.03105163574219</v>
      </c>
      <c r="P665" s="10">
        <v>174.86492919921875</v>
      </c>
      <c r="Q665" s="10">
        <v>422.113037109375</v>
      </c>
      <c r="R665" s="10">
        <v>152.10049438476562</v>
      </c>
      <c r="S665" s="10">
        <v>140.30068969726562</v>
      </c>
      <c r="V665" s="11">
        <v>45161</v>
      </c>
      <c r="W665" s="12">
        <v>2.1948790692593034E-2</v>
      </c>
      <c r="X665" s="12">
        <v>-8.9748675218382923E-3</v>
      </c>
      <c r="Y665" s="12">
        <v>6.7631226750235474E-3</v>
      </c>
      <c r="Z665" s="12">
        <v>3.1707397092611167E-2</v>
      </c>
      <c r="AA665" s="12">
        <v>9.3526237701400117E-3</v>
      </c>
      <c r="AB665" s="12">
        <v>1.113781286600446E-2</v>
      </c>
      <c r="AC665" s="12">
        <v>-8.788217076820537E-3</v>
      </c>
    </row>
    <row r="666" spans="12:29" x14ac:dyDescent="0.2">
      <c r="L666" s="11">
        <v>45161</v>
      </c>
      <c r="M666" s="10">
        <v>47.024406433105469</v>
      </c>
      <c r="N666" s="10">
        <v>97.093887329101562</v>
      </c>
      <c r="O666" s="10">
        <v>137.95780944824219</v>
      </c>
      <c r="P666" s="10">
        <v>178.7030029296875</v>
      </c>
      <c r="Q666" s="10">
        <v>426.814453125</v>
      </c>
      <c r="R666" s="10">
        <v>150.73541259765625</v>
      </c>
      <c r="S666" s="10">
        <v>141.61286926269531</v>
      </c>
      <c r="V666" s="11">
        <v>45162</v>
      </c>
      <c r="W666" s="12">
        <v>-2.6170390078794514E-2</v>
      </c>
      <c r="X666" s="12">
        <v>3.4035200953657085E-3</v>
      </c>
      <c r="Y666" s="12">
        <v>-9.4987359536113924E-4</v>
      </c>
      <c r="Z666" s="12">
        <v>9.9730951947907265E-4</v>
      </c>
      <c r="AA666" s="12">
        <v>-4.6331429785617662E-3</v>
      </c>
      <c r="AB666" s="12">
        <v>-1.3858858549666175E-2</v>
      </c>
      <c r="AC666" s="12">
        <v>-7.4661979257112376E-3</v>
      </c>
    </row>
    <row r="667" spans="12:29" x14ac:dyDescent="0.2">
      <c r="L667" s="11">
        <v>45162</v>
      </c>
      <c r="M667" s="10">
        <v>47.071304321289062</v>
      </c>
      <c r="N667" s="10">
        <v>96.368965148925781</v>
      </c>
      <c r="O667" s="10">
        <v>137.82676696777344</v>
      </c>
      <c r="P667" s="10">
        <v>174.02627563476562</v>
      </c>
      <c r="Q667" s="10">
        <v>420.8992919921875</v>
      </c>
      <c r="R667" s="10">
        <v>151.24844360351562</v>
      </c>
      <c r="S667" s="10">
        <v>140.95675659179688</v>
      </c>
      <c r="V667" s="11">
        <v>45163</v>
      </c>
      <c r="W667" s="12">
        <v>1.2643154494008213E-2</v>
      </c>
      <c r="X667" s="12">
        <v>1.4338062379176897E-2</v>
      </c>
      <c r="Y667" s="12">
        <v>-1.2224588339035947E-3</v>
      </c>
      <c r="Z667" s="12">
        <v>-2.4277642619693229E-2</v>
      </c>
      <c r="AA667" s="12">
        <v>6.5558228406898955E-3</v>
      </c>
      <c r="AB667" s="12">
        <v>7.0497246670324643E-3</v>
      </c>
      <c r="AC667" s="12">
        <v>1.7865578552533901E-2</v>
      </c>
    </row>
    <row r="668" spans="12:29" x14ac:dyDescent="0.2">
      <c r="L668" s="11">
        <v>45163</v>
      </c>
      <c r="M668" s="10">
        <v>45.928524017333984</v>
      </c>
      <c r="N668" s="10">
        <v>98.090652465820327</v>
      </c>
      <c r="O668" s="10">
        <v>137.65827941894531</v>
      </c>
      <c r="P668" s="10">
        <v>176.22651672363281</v>
      </c>
      <c r="Q668" s="10">
        <v>423.86651611328131</v>
      </c>
      <c r="R668" s="10">
        <v>153.41705322265625</v>
      </c>
      <c r="S668" s="10">
        <v>141.88084411621094</v>
      </c>
      <c r="V668" s="11">
        <v>45166</v>
      </c>
      <c r="W668" s="12">
        <v>8.8462549855266026E-3</v>
      </c>
      <c r="X668" s="12">
        <v>-1.1789436203669235E-2</v>
      </c>
      <c r="Y668" s="12">
        <v>3.4679096428085199E-3</v>
      </c>
      <c r="Z668" s="12">
        <v>1.7754070283217738E-2</v>
      </c>
      <c r="AA668" s="12">
        <v>1.5630809191742312E-3</v>
      </c>
      <c r="AB668" s="12">
        <v>6.3412314754320853E-3</v>
      </c>
      <c r="AC668" s="12">
        <v>8.4065895005480673E-3</v>
      </c>
    </row>
    <row r="669" spans="12:29" x14ac:dyDescent="0.2">
      <c r="L669" s="11">
        <v>45166</v>
      </c>
      <c r="M669" s="10">
        <v>46.743942260742188</v>
      </c>
      <c r="N669" s="10">
        <v>98.915260314941406</v>
      </c>
      <c r="O669" s="10">
        <v>138.13566589355469</v>
      </c>
      <c r="P669" s="10">
        <v>177.78546142578125</v>
      </c>
      <c r="Q669" s="10">
        <v>426.55435180664062</v>
      </c>
      <c r="R669" s="10">
        <v>151.60835266113281</v>
      </c>
      <c r="S669" s="10">
        <v>142.10261535644531</v>
      </c>
      <c r="V669" s="11">
        <v>45167</v>
      </c>
      <c r="W669" s="12">
        <v>2.1810180246955024E-2</v>
      </c>
      <c r="X669" s="12">
        <v>1.2168113202704056E-4</v>
      </c>
      <c r="Y669" s="12">
        <v>8.1323480239778867E-3</v>
      </c>
      <c r="Z669" s="12">
        <v>4.1613988459269891E-2</v>
      </c>
      <c r="AA669" s="12">
        <v>5.8499896433272802E-4</v>
      </c>
      <c r="AB669" s="12">
        <v>1.4454831976887128E-2</v>
      </c>
      <c r="AC669" s="12">
        <v>5.9544832206597231E-3</v>
      </c>
    </row>
    <row r="670" spans="12:29" x14ac:dyDescent="0.2">
      <c r="L670" s="11">
        <v>45167</v>
      </c>
      <c r="M670" s="10">
        <v>48.689144134521491</v>
      </c>
      <c r="N670" s="10">
        <v>99.504249572753906</v>
      </c>
      <c r="O670" s="10">
        <v>139.259033203125</v>
      </c>
      <c r="P670" s="10">
        <v>181.6629943847656</v>
      </c>
      <c r="Q670" s="10">
        <v>432.72012329101562</v>
      </c>
      <c r="R670" s="10">
        <v>151.62680053710938</v>
      </c>
      <c r="S670" s="10">
        <v>142.18574523925781</v>
      </c>
      <c r="V670" s="11">
        <v>45168</v>
      </c>
      <c r="W670" s="12">
        <v>1.9172202079280387E-2</v>
      </c>
      <c r="X670" s="12">
        <v>-3.5299336400250736E-3</v>
      </c>
      <c r="Y670" s="12">
        <v>-4.0333184316406756E-3</v>
      </c>
      <c r="Z670" s="12">
        <v>9.8394124463794252E-3</v>
      </c>
      <c r="AA670" s="12">
        <v>1.1050316662346571E-3</v>
      </c>
      <c r="AB670" s="12">
        <v>4.1187293683577764E-3</v>
      </c>
      <c r="AC670" s="12">
        <v>9.7441225693075673E-3</v>
      </c>
    </row>
    <row r="671" spans="12:29" x14ac:dyDescent="0.2">
      <c r="L671" s="11">
        <v>45168</v>
      </c>
      <c r="M671" s="10">
        <v>49.168216705322266</v>
      </c>
      <c r="N671" s="10">
        <v>100.4738311767578</v>
      </c>
      <c r="O671" s="10">
        <v>138.69735717773438</v>
      </c>
      <c r="P671" s="10">
        <v>185.1458740234375</v>
      </c>
      <c r="Q671" s="10">
        <v>434.50238037109375</v>
      </c>
      <c r="R671" s="10">
        <v>151.09156799316406</v>
      </c>
      <c r="S671" s="10">
        <v>142.34286499023438</v>
      </c>
      <c r="V671" s="11">
        <v>45169</v>
      </c>
      <c r="W671" s="12">
        <v>1.1725175791101883E-3</v>
      </c>
      <c r="X671" s="12">
        <v>-1.252068155957764E-2</v>
      </c>
      <c r="Y671" s="12">
        <v>-1.2351493508565237E-2</v>
      </c>
      <c r="Z671" s="12">
        <v>1.8472121480752612E-3</v>
      </c>
      <c r="AA671" s="12">
        <v>1.947670074615937E-3</v>
      </c>
      <c r="AB671" s="12">
        <v>-1.4632905396587681E-3</v>
      </c>
      <c r="AC671" s="12">
        <v>2.7958952430751083E-3</v>
      </c>
    </row>
    <row r="672" spans="12:29" x14ac:dyDescent="0.2">
      <c r="L672" s="11">
        <v>45169</v>
      </c>
      <c r="M672" s="10">
        <v>49.259040832519531</v>
      </c>
      <c r="N672" s="10">
        <v>100.75474548339844</v>
      </c>
      <c r="O672" s="10">
        <v>136.98423767089844</v>
      </c>
      <c r="P672" s="10">
        <v>185.36296081542969</v>
      </c>
      <c r="Q672" s="10">
        <v>433.8665771484375</v>
      </c>
      <c r="R672" s="10">
        <v>149.19979858398438</v>
      </c>
      <c r="S672" s="10">
        <v>142.62010192871094</v>
      </c>
      <c r="V672" s="11">
        <v>45170</v>
      </c>
      <c r="W672" s="12">
        <v>8.4633230619133304E-3</v>
      </c>
      <c r="X672" s="12">
        <v>-7.4219995626898516E-3</v>
      </c>
      <c r="Y672" s="12">
        <v>3.348519988918941E-3</v>
      </c>
      <c r="Z672" s="12">
        <v>-1.7141148560647856E-2</v>
      </c>
      <c r="AA672" s="12">
        <v>1.1013452696022608E-3</v>
      </c>
      <c r="AB672" s="12">
        <v>1.8651692980347079E-3</v>
      </c>
      <c r="AC672" s="12">
        <v>2.0954971957711122E-2</v>
      </c>
    </row>
    <row r="673" spans="12:29" x14ac:dyDescent="0.2">
      <c r="L673" s="11">
        <v>45170</v>
      </c>
      <c r="M673" s="10">
        <v>48.414684295654297</v>
      </c>
      <c r="N673" s="10">
        <v>102.86605834960938</v>
      </c>
      <c r="O673" s="10">
        <v>137.44293212890625</v>
      </c>
      <c r="P673" s="10">
        <v>186.93174743652344</v>
      </c>
      <c r="Q673" s="10">
        <v>434.67581176757812</v>
      </c>
      <c r="R673" s="10">
        <v>148.09243774414062</v>
      </c>
      <c r="S673" s="10">
        <v>142.77717590332031</v>
      </c>
      <c r="V673" s="11">
        <v>45174</v>
      </c>
      <c r="W673" s="12">
        <v>1.2666970266903554E-3</v>
      </c>
      <c r="X673" s="12">
        <v>1.2464213169882665E-3</v>
      </c>
      <c r="Y673" s="12">
        <v>-1.1033965179973015E-2</v>
      </c>
      <c r="Z673" s="12">
        <v>8.0391634826093572E-4</v>
      </c>
      <c r="AA673" s="12">
        <v>-1.3397178275833865E-2</v>
      </c>
      <c r="AB673" s="12">
        <v>-4.3219142656166776E-3</v>
      </c>
      <c r="AC673" s="12">
        <v>8.8111869440243851E-5</v>
      </c>
    </row>
    <row r="674" spans="12:29" x14ac:dyDescent="0.2">
      <c r="L674" s="11">
        <v>45174</v>
      </c>
      <c r="M674" s="10">
        <v>48.453605651855469</v>
      </c>
      <c r="N674" s="10">
        <v>102.8751220703125</v>
      </c>
      <c r="O674" s="10">
        <v>135.9263916015625</v>
      </c>
      <c r="P674" s="10">
        <v>187.16853332519531</v>
      </c>
      <c r="Q674" s="10">
        <v>432.79718017578131</v>
      </c>
      <c r="R674" s="10">
        <v>148.27702331542969</v>
      </c>
      <c r="S674" s="10">
        <v>140.86436462402344</v>
      </c>
      <c r="V674" s="11">
        <v>45175</v>
      </c>
      <c r="W674" s="12">
        <v>-3.5793582682015046E-2</v>
      </c>
      <c r="X674" s="12">
        <v>-1.6616854385029578E-2</v>
      </c>
      <c r="Y674" s="12">
        <v>-1.6526583979115106E-3</v>
      </c>
      <c r="Z674" s="12">
        <v>-3.0549711687032022E-2</v>
      </c>
      <c r="AA674" s="12">
        <v>-1.96822097629612E-3</v>
      </c>
      <c r="AB674" s="12">
        <v>-6.7224429339430847E-3</v>
      </c>
      <c r="AC674" s="12">
        <v>8.6322000633638485E-3</v>
      </c>
    </row>
    <row r="675" spans="12:29" x14ac:dyDescent="0.2">
      <c r="L675" s="11">
        <v>45175</v>
      </c>
      <c r="M675" s="10">
        <v>46.973361968994141</v>
      </c>
      <c r="N675" s="10">
        <v>103.76316070556641</v>
      </c>
      <c r="O675" s="10">
        <v>135.70175170898438</v>
      </c>
      <c r="P675" s="10">
        <v>180.46910095214844</v>
      </c>
      <c r="Q675" s="10">
        <v>429.88772583007812</v>
      </c>
      <c r="R675" s="10">
        <v>145.81312561035156</v>
      </c>
      <c r="S675" s="10">
        <v>140.58711242675781</v>
      </c>
      <c r="V675" s="11">
        <v>45176</v>
      </c>
      <c r="W675" s="12">
        <v>-2.9249131431782427E-2</v>
      </c>
      <c r="X675" s="12">
        <v>1.2783788713468081E-2</v>
      </c>
      <c r="Y675" s="12">
        <v>-8.5540319452175329E-3</v>
      </c>
      <c r="Z675" s="12">
        <v>-1.7424049550970766E-2</v>
      </c>
      <c r="AA675" s="12">
        <v>9.5308881505293819E-3</v>
      </c>
      <c r="AB675" s="12">
        <v>-3.0701602754569235E-3</v>
      </c>
      <c r="AC675" s="12">
        <v>-4.8905752716179585E-3</v>
      </c>
    </row>
    <row r="676" spans="12:29" x14ac:dyDescent="0.2">
      <c r="L676" s="11">
        <v>45176</v>
      </c>
      <c r="M676" s="10">
        <v>46.154895782470703</v>
      </c>
      <c r="N676" s="10">
        <v>103.25569915771484</v>
      </c>
      <c r="O676" s="10">
        <v>134.54095458984375</v>
      </c>
      <c r="P676" s="10">
        <v>175.19053649902344</v>
      </c>
      <c r="Q676" s="10">
        <v>428.56790161132812</v>
      </c>
      <c r="R676" s="10">
        <v>147.67716979980469</v>
      </c>
      <c r="S676" s="10">
        <v>141.92703247070312</v>
      </c>
      <c r="V676" s="11">
        <v>45177</v>
      </c>
      <c r="W676" s="12">
        <v>3.4916817252281795E-3</v>
      </c>
      <c r="X676" s="12">
        <v>3.3119894244479919E-3</v>
      </c>
      <c r="Y676" s="12">
        <v>7.6497548676024429E-4</v>
      </c>
      <c r="Z676" s="12">
        <v>-1.4467864026707855E-2</v>
      </c>
      <c r="AA676" s="12">
        <v>-4.2973424230727808E-3</v>
      </c>
      <c r="AB676" s="12">
        <v>1.506126082926551E-3</v>
      </c>
      <c r="AC676" s="12">
        <v>1.4567903442096686E-2</v>
      </c>
    </row>
    <row r="677" spans="12:29" x14ac:dyDescent="0.2">
      <c r="L677" s="11">
        <v>45177</v>
      </c>
      <c r="M677" s="10">
        <v>45.487133026123047</v>
      </c>
      <c r="N677" s="10">
        <v>104.75991821289062</v>
      </c>
      <c r="O677" s="10">
        <v>134.64387512207031</v>
      </c>
      <c r="P677" s="10">
        <v>175.80224609375</v>
      </c>
      <c r="Q677" s="10">
        <v>429.21337890625</v>
      </c>
      <c r="R677" s="10">
        <v>148.16627502441406</v>
      </c>
      <c r="S677" s="10">
        <v>141.31712341308594</v>
      </c>
      <c r="V677" s="11">
        <v>45180</v>
      </c>
      <c r="W677" s="12">
        <v>6.6224728712960257E-3</v>
      </c>
      <c r="X677" s="12">
        <v>1.3079099608917399E-2</v>
      </c>
      <c r="Y677" s="12">
        <v>4.3802026309773812E-3</v>
      </c>
      <c r="Z677" s="12">
        <v>-8.6454589452238384E-3</v>
      </c>
      <c r="AA677" s="12">
        <v>1.1901169148069934E-2</v>
      </c>
      <c r="AB677" s="12">
        <v>6.5764326319155408E-3</v>
      </c>
      <c r="AC677" s="12">
        <v>-1.2542192565602295E-2</v>
      </c>
    </row>
    <row r="678" spans="12:29" x14ac:dyDescent="0.2">
      <c r="L678" s="11">
        <v>45180</v>
      </c>
      <c r="M678" s="10">
        <v>45.093875885009766</v>
      </c>
      <c r="N678" s="10">
        <v>103.4459991455078</v>
      </c>
      <c r="O678" s="10">
        <v>135.233642578125</v>
      </c>
      <c r="P678" s="10">
        <v>176.96649169921875</v>
      </c>
      <c r="Q678" s="10">
        <v>432.03607177734375</v>
      </c>
      <c r="R678" s="10">
        <v>150.10415649414062</v>
      </c>
      <c r="S678" s="10">
        <v>142.99896240234375</v>
      </c>
      <c r="V678" s="11">
        <v>45181</v>
      </c>
      <c r="W678" s="12">
        <v>-1.7060486945832953E-2</v>
      </c>
      <c r="X678" s="12">
        <v>5.6561677041881975E-3</v>
      </c>
      <c r="Y678" s="12">
        <v>1.3014133886484869E-2</v>
      </c>
      <c r="Z678" s="12">
        <v>-6.8175613938783464E-3</v>
      </c>
      <c r="AA678" s="12">
        <v>-1.7576865373821748E-2</v>
      </c>
      <c r="AB678" s="12">
        <v>-5.4856417600447349E-3</v>
      </c>
      <c r="AC678" s="12">
        <v>2.9169531334239274E-2</v>
      </c>
    </row>
    <row r="679" spans="12:29" x14ac:dyDescent="0.2">
      <c r="L679" s="11">
        <v>45181</v>
      </c>
      <c r="M679" s="10">
        <v>44.786445617675781</v>
      </c>
      <c r="N679" s="10">
        <v>106.46347045898438</v>
      </c>
      <c r="O679" s="10">
        <v>136.99359130859375</v>
      </c>
      <c r="P679" s="10">
        <v>173.94735717773438</v>
      </c>
      <c r="Q679" s="10">
        <v>429.66607666015625</v>
      </c>
      <c r="R679" s="10">
        <v>150.95317077636719</v>
      </c>
      <c r="S679" s="10">
        <v>140.48548889160156</v>
      </c>
      <c r="V679" s="11">
        <v>45182</v>
      </c>
      <c r="W679" s="12">
        <v>-1.1854842543922217E-2</v>
      </c>
      <c r="X679" s="12">
        <v>2.5064523762423629E-3</v>
      </c>
      <c r="Y679" s="12">
        <v>4.7850236778468336E-4</v>
      </c>
      <c r="Z679" s="12">
        <v>1.3706318079522717E-2</v>
      </c>
      <c r="AA679" s="12">
        <v>6.9723033604192075E-3</v>
      </c>
      <c r="AB679" s="12">
        <v>1.166251328723833E-3</v>
      </c>
      <c r="AC679" s="12">
        <v>-8.9368356028717288E-3</v>
      </c>
    </row>
    <row r="680" spans="12:29" x14ac:dyDescent="0.2">
      <c r="L680" s="11">
        <v>45182</v>
      </c>
      <c r="M680" s="10">
        <v>45.400302886962891</v>
      </c>
      <c r="N680" s="10">
        <v>105.51202392578124</v>
      </c>
      <c r="O680" s="10">
        <v>137.05914306640625</v>
      </c>
      <c r="P680" s="10">
        <v>171.88523864746094</v>
      </c>
      <c r="Q680" s="10">
        <v>430.16717529296869</v>
      </c>
      <c r="R680" s="10">
        <v>151.33152770996094</v>
      </c>
      <c r="S680" s="10">
        <v>141.46499633789062</v>
      </c>
      <c r="V680" s="11">
        <v>45183</v>
      </c>
      <c r="W680" s="12">
        <v>8.7826799380115173E-3</v>
      </c>
      <c r="X680" s="12">
        <v>-1.5246535398510952E-3</v>
      </c>
      <c r="Y680" s="12">
        <v>1.9397464437870493E-2</v>
      </c>
      <c r="Z680" s="12">
        <v>2.1105890164170305E-3</v>
      </c>
      <c r="AA680" s="12">
        <v>1.0974053640094628E-2</v>
      </c>
      <c r="AB680" s="12">
        <v>8.622263867651192E-3</v>
      </c>
      <c r="AC680" s="12">
        <v>1.7863113456342505E-2</v>
      </c>
    </row>
    <row r="681" spans="12:29" x14ac:dyDescent="0.2">
      <c r="L681" s="11">
        <v>45183</v>
      </c>
      <c r="M681" s="10">
        <v>45.496124267578125</v>
      </c>
      <c r="N681" s="10">
        <v>107.39679718017578</v>
      </c>
      <c r="O681" s="10">
        <v>139.71774291992188</v>
      </c>
      <c r="P681" s="10">
        <v>173.39485168457031</v>
      </c>
      <c r="Q681" s="10">
        <v>433.87619018554688</v>
      </c>
      <c r="R681" s="10">
        <v>151.10079956054688</v>
      </c>
      <c r="S681" s="10">
        <v>143.01744079589844</v>
      </c>
      <c r="V681" s="11">
        <v>45184</v>
      </c>
      <c r="W681" s="12">
        <v>-4.1541394654249775E-3</v>
      </c>
      <c r="X681" s="12">
        <v>-1.3985600868948622E-2</v>
      </c>
      <c r="Y681" s="12">
        <v>-2.94816536635778E-3</v>
      </c>
      <c r="Z681" s="12">
        <v>-3.6879358767709203E-2</v>
      </c>
      <c r="AA681" s="12">
        <v>-8.3996325107430492E-3</v>
      </c>
      <c r="AB681" s="12">
        <v>-1.2048317343959836E-2</v>
      </c>
      <c r="AC681" s="12">
        <v>-1.5355999657022168E-2</v>
      </c>
    </row>
    <row r="682" spans="12:29" x14ac:dyDescent="0.2">
      <c r="L682" s="11">
        <v>45184</v>
      </c>
      <c r="M682" s="10">
        <v>43.818256378173828</v>
      </c>
      <c r="N682" s="10">
        <v>105.74761199951172</v>
      </c>
      <c r="O682" s="10">
        <v>139.30583190917969</v>
      </c>
      <c r="P682" s="10">
        <v>172.67454528808594</v>
      </c>
      <c r="Q682" s="10">
        <v>428.64871215820312</v>
      </c>
      <c r="R682" s="10">
        <v>148.98756408691406</v>
      </c>
      <c r="S682" s="10">
        <v>141.81614685058594</v>
      </c>
      <c r="V682" s="11">
        <v>45187</v>
      </c>
      <c r="W682" s="12">
        <v>1.6913330821933803E-2</v>
      </c>
      <c r="X682" s="12">
        <v>6.317768376623345E-3</v>
      </c>
      <c r="Y682" s="12">
        <v>2.0834549622232856E-3</v>
      </c>
      <c r="Z682" s="12">
        <v>1.503391794313691E-3</v>
      </c>
      <c r="AA682" s="12">
        <v>3.7792943731929096E-3</v>
      </c>
      <c r="AB682" s="12">
        <v>5.8643192872298577E-4</v>
      </c>
      <c r="AC682" s="12">
        <v>8.0549467333586033E-3</v>
      </c>
    </row>
    <row r="683" spans="12:29" x14ac:dyDescent="0.2">
      <c r="L683" s="11">
        <v>45187</v>
      </c>
      <c r="M683" s="10">
        <v>43.884132385253906</v>
      </c>
      <c r="N683" s="10">
        <v>106.59940338134766</v>
      </c>
      <c r="O683" s="10">
        <v>139.5960693359375</v>
      </c>
      <c r="P683" s="10">
        <v>175.59504699707031</v>
      </c>
      <c r="Q683" s="10">
        <v>428.90008544921869</v>
      </c>
      <c r="R683" s="10">
        <v>149.9288330078125</v>
      </c>
      <c r="S683" s="10">
        <v>142.35211181640625</v>
      </c>
      <c r="V683" s="11">
        <v>45188</v>
      </c>
      <c r="W683" s="12">
        <v>6.1808528600217905E-3</v>
      </c>
      <c r="X683" s="12">
        <v>-1.6617584677626196E-3</v>
      </c>
      <c r="Y683" s="12">
        <v>-1.2744070984661571E-3</v>
      </c>
      <c r="Z683" s="12">
        <v>-1.0144331144348318E-2</v>
      </c>
      <c r="AA683" s="12">
        <v>-2.9211545527864091E-3</v>
      </c>
      <c r="AB683" s="12">
        <v>-2.0738999123249835E-3</v>
      </c>
      <c r="AC683" s="12">
        <v>-2.6351618145664668E-3</v>
      </c>
    </row>
    <row r="684" spans="12:29" x14ac:dyDescent="0.2">
      <c r="L684" s="11">
        <v>45188</v>
      </c>
      <c r="M684" s="10">
        <v>43.438957214355469</v>
      </c>
      <c r="N684" s="10">
        <v>106.31849670410156</v>
      </c>
      <c r="O684" s="10">
        <v>139.41816711425781</v>
      </c>
      <c r="P684" s="10">
        <v>176.68037414550781</v>
      </c>
      <c r="Q684" s="10">
        <v>428.01058959960938</v>
      </c>
      <c r="R684" s="10">
        <v>149.6796875</v>
      </c>
      <c r="S684" s="10">
        <v>141.936279296875</v>
      </c>
      <c r="V684" s="11">
        <v>45189</v>
      </c>
      <c r="W684" s="12">
        <v>-1.999218407581016E-2</v>
      </c>
      <c r="X684" s="12">
        <v>4.3772264340518063E-3</v>
      </c>
      <c r="Y684" s="12">
        <v>-4.2302052039699944E-3</v>
      </c>
      <c r="Z684" s="12">
        <v>-2.9434555909928162E-2</v>
      </c>
      <c r="AA684" s="12">
        <v>-8.4638294651784296E-4</v>
      </c>
      <c r="AB684" s="12">
        <v>-9.1932642526576513E-3</v>
      </c>
      <c r="AC684" s="12">
        <v>-7.926372718415009E-3</v>
      </c>
    </row>
    <row r="685" spans="12:29" x14ac:dyDescent="0.2">
      <c r="L685" s="11">
        <v>45189</v>
      </c>
      <c r="M685" s="10">
        <v>42.160350799560547</v>
      </c>
      <c r="N685" s="10">
        <v>105.47577667236328</v>
      </c>
      <c r="O685" s="10">
        <v>138.82839965820312</v>
      </c>
      <c r="P685" s="10">
        <v>173.14814758300781</v>
      </c>
      <c r="Q685" s="10">
        <v>424.07577514648438</v>
      </c>
      <c r="R685" s="10">
        <v>150.33486938476562</v>
      </c>
      <c r="S685" s="10">
        <v>141.81614685058594</v>
      </c>
      <c r="V685" s="11">
        <v>45190</v>
      </c>
      <c r="W685" s="12">
        <v>-8.889231991329849E-3</v>
      </c>
      <c r="X685" s="12">
        <v>-7.6727918406438445E-3</v>
      </c>
      <c r="Y685" s="12">
        <v>-7.8219369026466534E-3</v>
      </c>
      <c r="Z685" s="12">
        <v>-2.8930654972460834E-2</v>
      </c>
      <c r="AA685" s="12">
        <v>-8.6663927283471276E-3</v>
      </c>
      <c r="AB685" s="12">
        <v>-1.6528360624534222E-2</v>
      </c>
      <c r="AC685" s="12">
        <v>-1.4089339100020859E-2</v>
      </c>
    </row>
    <row r="686" spans="12:29" x14ac:dyDescent="0.2">
      <c r="L686" s="11">
        <v>45190</v>
      </c>
      <c r="M686" s="10">
        <v>40.940624237060547</v>
      </c>
      <c r="N686" s="10">
        <v>103.98969268798828</v>
      </c>
      <c r="O686" s="10">
        <v>137.74249267578125</v>
      </c>
      <c r="P686" s="10">
        <v>171.60899353027344</v>
      </c>
      <c r="Q686" s="10">
        <v>417.06649780273438</v>
      </c>
      <c r="R686" s="10">
        <v>149.18138122558594</v>
      </c>
      <c r="S686" s="10">
        <v>140.58711242675781</v>
      </c>
      <c r="V686" s="11">
        <v>45191</v>
      </c>
      <c r="W686" s="12">
        <v>4.9442643252826102E-3</v>
      </c>
      <c r="X686" s="12">
        <v>-7.1754921445784658E-3</v>
      </c>
      <c r="Y686" s="12">
        <v>-9.5827094705581706E-3</v>
      </c>
      <c r="Z686" s="12">
        <v>1.4457426288901232E-2</v>
      </c>
      <c r="AA686" s="12">
        <v>-3.6807876948617979E-3</v>
      </c>
      <c r="AB686" s="12">
        <v>-2.2485015294769761E-3</v>
      </c>
      <c r="AC686" s="12">
        <v>1.5683628124940618E-3</v>
      </c>
    </row>
    <row r="687" spans="12:29" x14ac:dyDescent="0.2">
      <c r="L687" s="11">
        <v>45191</v>
      </c>
      <c r="M687" s="10">
        <v>41.532520294189453</v>
      </c>
      <c r="N687" s="10">
        <v>104.1527862548828</v>
      </c>
      <c r="O687" s="10">
        <v>136.42254638671875</v>
      </c>
      <c r="P687" s="10">
        <v>172.45747375488281</v>
      </c>
      <c r="Q687" s="10">
        <v>416.12872314453131</v>
      </c>
      <c r="R687" s="10">
        <v>148.11093139648438</v>
      </c>
      <c r="S687" s="10">
        <v>140.06964111328125</v>
      </c>
      <c r="V687" s="11">
        <v>45194</v>
      </c>
      <c r="W687" s="12">
        <v>7.3804391421012916E-3</v>
      </c>
      <c r="X687" s="12">
        <v>-1.4954776122385605E-3</v>
      </c>
      <c r="Y687" s="12">
        <v>4.9405027946707314E-3</v>
      </c>
      <c r="Z687" s="12">
        <v>1.470796650213857E-2</v>
      </c>
      <c r="AA687" s="12">
        <v>-6.0692160576861776E-3</v>
      </c>
      <c r="AB687" s="12">
        <v>4.2050627961616183E-3</v>
      </c>
      <c r="AC687" s="12">
        <v>1.1223443787993226E-2</v>
      </c>
    </row>
    <row r="688" spans="12:29" x14ac:dyDescent="0.2">
      <c r="L688" s="11">
        <v>45194</v>
      </c>
      <c r="M688" s="10">
        <v>42.143379211425781</v>
      </c>
      <c r="N688" s="10">
        <v>105.32173919677734</v>
      </c>
      <c r="O688" s="10">
        <v>137.09654235839844</v>
      </c>
      <c r="P688" s="10">
        <v>173.73028564453125</v>
      </c>
      <c r="Q688" s="10">
        <v>417.87857055664062</v>
      </c>
      <c r="R688" s="10">
        <v>147.88943481445312</v>
      </c>
      <c r="S688" s="10">
        <v>139.21952819824219</v>
      </c>
      <c r="V688" s="11">
        <v>45195</v>
      </c>
      <c r="W688" s="12">
        <v>-2.339835237319321E-2</v>
      </c>
      <c r="X688" s="12">
        <v>-7.7373468363144404E-3</v>
      </c>
      <c r="Y688" s="12">
        <v>-1.0378909439863637E-2</v>
      </c>
      <c r="Z688" s="12">
        <v>-7.3659210650895979E-3</v>
      </c>
      <c r="AA688" s="12">
        <v>-8.8940124339494941E-3</v>
      </c>
      <c r="AB688" s="12">
        <v>-1.4691253844561269E-2</v>
      </c>
      <c r="AC688" s="12">
        <v>1.5487444123323257E-3</v>
      </c>
    </row>
    <row r="689" spans="12:29" x14ac:dyDescent="0.2">
      <c r="L689" s="11">
        <v>45195</v>
      </c>
      <c r="M689" s="10">
        <v>41.832954406738281</v>
      </c>
      <c r="N689" s="10">
        <v>105.48485565185548</v>
      </c>
      <c r="O689" s="10">
        <v>135.67362976074219</v>
      </c>
      <c r="P689" s="10">
        <v>169.665283203125</v>
      </c>
      <c r="Q689" s="10">
        <v>411.73941040039062</v>
      </c>
      <c r="R689" s="10">
        <v>146.74516296386719</v>
      </c>
      <c r="S689" s="10">
        <v>137.98130798339844</v>
      </c>
      <c r="V689" s="11">
        <v>45196</v>
      </c>
      <c r="W689" s="12">
        <v>-8.8976852977700194E-3</v>
      </c>
      <c r="X689" s="12">
        <v>-1.2011220440775738E-2</v>
      </c>
      <c r="Y689" s="12">
        <v>5.8650350272455576E-3</v>
      </c>
      <c r="Z689" s="12">
        <v>1.329003931879047E-2</v>
      </c>
      <c r="AA689" s="12">
        <v>-1.3260356951425023E-2</v>
      </c>
      <c r="AB689" s="12">
        <v>3.993514023290512E-4</v>
      </c>
      <c r="AC689" s="12">
        <v>3.2557166653731873E-2</v>
      </c>
    </row>
    <row r="690" spans="12:29" x14ac:dyDescent="0.2">
      <c r="L690" s="11">
        <v>45196</v>
      </c>
      <c r="M690" s="10">
        <v>42.388916015625</v>
      </c>
      <c r="N690" s="10">
        <v>108.9191436767578</v>
      </c>
      <c r="O690" s="10">
        <v>136.4693603515625</v>
      </c>
      <c r="P690" s="10">
        <v>168.15565490722656</v>
      </c>
      <c r="Q690" s="10">
        <v>411.90383911132812</v>
      </c>
      <c r="R690" s="10">
        <v>144.98257446289062</v>
      </c>
      <c r="S690" s="10">
        <v>136.15162658691406</v>
      </c>
      <c r="V690" s="11">
        <v>45197</v>
      </c>
      <c r="W690" s="12">
        <v>1.5256461083592576E-3</v>
      </c>
      <c r="X690" s="12">
        <v>-1.4639673536332998E-3</v>
      </c>
      <c r="Y690" s="12">
        <v>1.2415951597422703E-2</v>
      </c>
      <c r="Z690" s="12">
        <v>1.4622930165586689E-2</v>
      </c>
      <c r="AA690" s="12">
        <v>-6.7870820848042746E-3</v>
      </c>
      <c r="AB690" s="12">
        <v>5.7972485536885721E-3</v>
      </c>
      <c r="AC690" s="12">
        <v>-6.0731634707992255E-3</v>
      </c>
    </row>
    <row r="691" spans="12:29" x14ac:dyDescent="0.2">
      <c r="L691" s="11">
        <v>45197</v>
      </c>
      <c r="M691" s="10">
        <v>43.008766174316406</v>
      </c>
      <c r="N691" s="10">
        <v>108.25765991210938</v>
      </c>
      <c r="O691" s="10">
        <v>138.16375732421875</v>
      </c>
      <c r="P691" s="10">
        <v>168.41220092773438</v>
      </c>
      <c r="Q691" s="10">
        <v>414.291748046875</v>
      </c>
      <c r="R691" s="10">
        <v>144.77032470703125</v>
      </c>
      <c r="S691" s="10">
        <v>135.22755432128906</v>
      </c>
      <c r="V691" s="11">
        <v>45198</v>
      </c>
      <c r="W691" s="12">
        <v>3.046553512157546E-3</v>
      </c>
      <c r="X691" s="12">
        <v>-7.2028237075749679E-3</v>
      </c>
      <c r="Y691" s="12">
        <v>-1.7412945762973919E-2</v>
      </c>
      <c r="Z691" s="12">
        <v>9.5151975832166169E-3</v>
      </c>
      <c r="AA691" s="12">
        <v>-3.2799711766947626E-3</v>
      </c>
      <c r="AB691" s="12">
        <v>-2.4267961311514874E-3</v>
      </c>
      <c r="AC691" s="12">
        <v>-1.5820024711146519E-2</v>
      </c>
    </row>
    <row r="692" spans="12:29" x14ac:dyDescent="0.2">
      <c r="L692" s="11">
        <v>45198</v>
      </c>
      <c r="M692" s="10">
        <v>43.418003082275391</v>
      </c>
      <c r="N692" s="10">
        <v>106.54502105712891</v>
      </c>
      <c r="O692" s="10">
        <v>135.75791931152344</v>
      </c>
      <c r="P692" s="10">
        <v>168.92527770996094</v>
      </c>
      <c r="Q692" s="10">
        <v>413.28634643554688</v>
      </c>
      <c r="R692" s="10">
        <v>143.72756958007812</v>
      </c>
      <c r="S692" s="10">
        <v>134.78401184082031</v>
      </c>
      <c r="V692" s="11">
        <v>45201</v>
      </c>
      <c r="W692" s="12">
        <v>1.4835484012871047E-2</v>
      </c>
      <c r="X692" s="12">
        <v>-3.8523971450198369E-3</v>
      </c>
      <c r="Y692" s="12">
        <v>-8.6196170385378634E-3</v>
      </c>
      <c r="Z692" s="12">
        <v>2.9494975693145742E-2</v>
      </c>
      <c r="AA692" s="12">
        <v>-4.5934629616316558E-3</v>
      </c>
      <c r="AB692" s="12">
        <v>-3.9770894247748156E-4</v>
      </c>
      <c r="AC692" s="12">
        <v>-1.6584379210729305E-2</v>
      </c>
    </row>
    <row r="693" spans="12:29" x14ac:dyDescent="0.2">
      <c r="L693" s="11">
        <v>45201</v>
      </c>
      <c r="M693" s="10">
        <v>44.698616027832031</v>
      </c>
      <c r="N693" s="10">
        <v>104.77803802490234</v>
      </c>
      <c r="O693" s="10">
        <v>134.58773803710938</v>
      </c>
      <c r="P693" s="10">
        <v>171.43136596679688</v>
      </c>
      <c r="Q693" s="10">
        <v>413.12197875976562</v>
      </c>
      <c r="R693" s="10">
        <v>143.17387390136719</v>
      </c>
      <c r="S693" s="10">
        <v>134.16488647460938</v>
      </c>
      <c r="V693" s="11">
        <v>45202</v>
      </c>
      <c r="W693" s="12">
        <v>-7.769788603859018E-3</v>
      </c>
      <c r="X693" s="12">
        <v>1.2245494345490826E-3</v>
      </c>
      <c r="Y693" s="12">
        <v>-7.3728433659374648E-3</v>
      </c>
      <c r="Z693" s="12">
        <v>-2.8248238485530264E-2</v>
      </c>
      <c r="AA693" s="12">
        <v>2.0662759606624448E-3</v>
      </c>
      <c r="AB693" s="12">
        <v>-1.3386021801732539E-2</v>
      </c>
      <c r="AC693" s="12">
        <v>1.7296433595390681E-3</v>
      </c>
    </row>
    <row r="694" spans="12:29" x14ac:dyDescent="0.2">
      <c r="L694" s="11">
        <v>45202</v>
      </c>
      <c r="M694" s="10">
        <v>43.435958862304688</v>
      </c>
      <c r="N694" s="10">
        <v>104.95926666259766</v>
      </c>
      <c r="O694" s="10">
        <v>133.59544372558594</v>
      </c>
      <c r="P694" s="10">
        <v>170.09938049316406</v>
      </c>
      <c r="Q694" s="10">
        <v>407.5919189453125</v>
      </c>
      <c r="R694" s="10">
        <v>143.34919738769531</v>
      </c>
      <c r="S694" s="10">
        <v>134.44210815429688</v>
      </c>
      <c r="V694" s="11">
        <v>45203</v>
      </c>
      <c r="W694" s="12">
        <v>7.3088161406102969E-3</v>
      </c>
      <c r="X694" s="12">
        <v>1.1588654805938514E-3</v>
      </c>
      <c r="Y694" s="12">
        <v>4.484592266339904E-3</v>
      </c>
      <c r="Z694" s="12">
        <v>1.2041390154425402E-2</v>
      </c>
      <c r="AA694" s="12">
        <v>3.2994741225482738E-3</v>
      </c>
      <c r="AB694" s="12">
        <v>7.2818361703663737E-3</v>
      </c>
      <c r="AC694" s="12">
        <v>-3.7382404484161302E-2</v>
      </c>
    </row>
    <row r="695" spans="12:29" x14ac:dyDescent="0.2">
      <c r="L695" s="11">
        <v>45203</v>
      </c>
      <c r="M695" s="10">
        <v>43.958988189697266</v>
      </c>
      <c r="N695" s="10">
        <v>101.03563690185548</v>
      </c>
      <c r="O695" s="10">
        <v>134.19456481933594</v>
      </c>
      <c r="P695" s="10">
        <v>171.34260559082031</v>
      </c>
      <c r="Q695" s="10">
        <v>410.5599365234375</v>
      </c>
      <c r="R695" s="10">
        <v>143.51531982421875</v>
      </c>
      <c r="S695" s="10">
        <v>134.88569641113281</v>
      </c>
      <c r="V695" s="11">
        <v>45204</v>
      </c>
      <c r="W695" s="12">
        <v>7.1978106188121949E-3</v>
      </c>
      <c r="X695" s="12">
        <v>1.0416653376457363E-2</v>
      </c>
      <c r="Y695" s="12">
        <v>4.216576696429275E-3</v>
      </c>
      <c r="Z695" s="12">
        <v>1.4690827550627672E-2</v>
      </c>
      <c r="AA695" s="12">
        <v>-1.4866283651940981E-2</v>
      </c>
      <c r="AB695" s="12">
        <v>-3.7686122616820139E-4</v>
      </c>
      <c r="AC695" s="12">
        <v>-2.2511083827816969E-2</v>
      </c>
    </row>
    <row r="696" spans="12:29" x14ac:dyDescent="0.2">
      <c r="L696" s="11">
        <v>45204</v>
      </c>
      <c r="M696" s="10">
        <v>44.604782104492188</v>
      </c>
      <c r="N696" s="10">
        <v>98.761215209960938</v>
      </c>
      <c r="O696" s="10">
        <v>134.76040649414062</v>
      </c>
      <c r="P696" s="10">
        <v>172.57589721679688</v>
      </c>
      <c r="Q696" s="10">
        <v>410.40521240234375</v>
      </c>
      <c r="R696" s="10">
        <v>145.01026916503906</v>
      </c>
      <c r="S696" s="10">
        <v>132.88044738769531</v>
      </c>
      <c r="V696" s="11">
        <v>45205</v>
      </c>
      <c r="W696" s="12">
        <v>1.4750483955078719E-2</v>
      </c>
      <c r="X696" s="12">
        <v>3.1819161850930033E-3</v>
      </c>
      <c r="Y696" s="12">
        <v>1.5395184007351626E-2</v>
      </c>
      <c r="Z696" s="12">
        <v>2.4033437111622424E-2</v>
      </c>
      <c r="AA696" s="12">
        <v>2.0165464520507381E-3</v>
      </c>
      <c r="AB696" s="12">
        <v>1.1872927132474231E-2</v>
      </c>
      <c r="AC696" s="12">
        <v>-1.6698944675210048E-2</v>
      </c>
    </row>
    <row r="697" spans="12:29" x14ac:dyDescent="0.2">
      <c r="L697" s="11">
        <v>45205</v>
      </c>
      <c r="M697" s="10">
        <v>45.676788330078125</v>
      </c>
      <c r="N697" s="10">
        <v>97.112007141113281</v>
      </c>
      <c r="O697" s="10">
        <v>136.83506774902344</v>
      </c>
      <c r="P697" s="10">
        <v>175.12147521972656</v>
      </c>
      <c r="Q697" s="10">
        <v>415.27792358398438</v>
      </c>
      <c r="R697" s="10">
        <v>145.4716796875</v>
      </c>
      <c r="S697" s="10">
        <v>133.14840698242188</v>
      </c>
      <c r="V697" s="11">
        <v>45208</v>
      </c>
      <c r="W697" s="12">
        <v>8.4509906584271377E-3</v>
      </c>
      <c r="X697" s="12">
        <v>5.708947020401034E-3</v>
      </c>
      <c r="Y697" s="12">
        <v>-2.2742927529402213E-3</v>
      </c>
      <c r="Z697" s="12">
        <v>-1.0685661542408575E-2</v>
      </c>
      <c r="AA697" s="12">
        <v>-5.0661160983698217E-3</v>
      </c>
      <c r="AB697" s="12">
        <v>6.402271281079619E-3</v>
      </c>
      <c r="AC697" s="12">
        <v>3.4991179357772184E-2</v>
      </c>
    </row>
    <row r="698" spans="12:29" x14ac:dyDescent="0.2">
      <c r="L698" s="11">
        <v>45208</v>
      </c>
      <c r="M698" s="10">
        <v>45.188701629638672</v>
      </c>
      <c r="N698" s="10">
        <v>100.51007080078124</v>
      </c>
      <c r="O698" s="10">
        <v>136.52386474609375</v>
      </c>
      <c r="P698" s="10">
        <v>176.60142517089844</v>
      </c>
      <c r="Q698" s="10">
        <v>417.9366455078125</v>
      </c>
      <c r="R698" s="10">
        <v>146.30216979980469</v>
      </c>
      <c r="S698" s="10">
        <v>132.47386169433594</v>
      </c>
      <c r="V698" s="11">
        <v>45209</v>
      </c>
      <c r="W698" s="12">
        <v>-3.3520679682844667E-3</v>
      </c>
      <c r="X698" s="12">
        <v>-1.1351619759536469E-3</v>
      </c>
      <c r="Y698" s="12">
        <v>6.0786424577534692E-3</v>
      </c>
      <c r="Z698" s="12">
        <v>1.1596118064684857E-2</v>
      </c>
      <c r="AA698" s="12">
        <v>9.9050808201563978E-3</v>
      </c>
      <c r="AB698" s="12">
        <v>5.2047660202871882E-3</v>
      </c>
      <c r="AC698" s="12">
        <v>-4.2371916439399859E-3</v>
      </c>
    </row>
    <row r="699" spans="12:29" x14ac:dyDescent="0.2">
      <c r="L699" s="11">
        <v>45209</v>
      </c>
      <c r="M699" s="10">
        <v>45.712715148925781</v>
      </c>
      <c r="N699" s="10">
        <v>100.08419036865234</v>
      </c>
      <c r="O699" s="10">
        <v>137.35374450683594</v>
      </c>
      <c r="P699" s="10">
        <v>176.00944519042969</v>
      </c>
      <c r="Q699" s="10">
        <v>420.11190795898438</v>
      </c>
      <c r="R699" s="10">
        <v>146.13609313964844</v>
      </c>
      <c r="S699" s="10">
        <v>133.78602600097656</v>
      </c>
      <c r="V699" s="11">
        <v>45210</v>
      </c>
      <c r="W699" s="12">
        <v>7.9040620444552623E-3</v>
      </c>
      <c r="X699" s="12">
        <v>-1.3766063583467991E-2</v>
      </c>
      <c r="Y699" s="12">
        <v>3.4329395336281099E-3</v>
      </c>
      <c r="Z699" s="12">
        <v>2.2009854702964571E-2</v>
      </c>
      <c r="AA699" s="12">
        <v>-1.2294644917237529E-2</v>
      </c>
      <c r="AB699" s="12">
        <v>4.0962567303299835E-3</v>
      </c>
      <c r="AC699" s="12">
        <v>-3.5853375091999817E-2</v>
      </c>
    </row>
    <row r="700" spans="12:29" x14ac:dyDescent="0.2">
      <c r="L700" s="11">
        <v>45210</v>
      </c>
      <c r="M700" s="10">
        <v>46.718845367431641</v>
      </c>
      <c r="N700" s="10">
        <v>96.495834350585938</v>
      </c>
      <c r="O700" s="10">
        <v>137.82527160644531</v>
      </c>
      <c r="P700" s="10">
        <v>177.400634765625</v>
      </c>
      <c r="Q700" s="10">
        <v>421.83279418945312</v>
      </c>
      <c r="R700" s="10">
        <v>144.12437438964844</v>
      </c>
      <c r="S700" s="10">
        <v>132.14117431640625</v>
      </c>
      <c r="V700" s="11">
        <v>45211</v>
      </c>
      <c r="W700" s="12">
        <v>5.0611863210177077E-3</v>
      </c>
      <c r="X700" s="12">
        <v>9.6026239408120162E-4</v>
      </c>
      <c r="Y700" s="12">
        <v>-2.3264833047089706E-3</v>
      </c>
      <c r="Z700" s="12">
        <v>2.9698544100158486E-3</v>
      </c>
      <c r="AA700" s="12">
        <v>2.2379897284112715E-3</v>
      </c>
      <c r="AB700" s="12">
        <v>-6.096457711300296E-3</v>
      </c>
      <c r="AC700" s="12">
        <v>-1.8785724304326568E-4</v>
      </c>
    </row>
    <row r="701" spans="12:29" x14ac:dyDescent="0.2">
      <c r="L701" s="11">
        <v>45211</v>
      </c>
      <c r="M701" s="10">
        <v>46.857593536376953</v>
      </c>
      <c r="N701" s="10">
        <v>96.477706909179673</v>
      </c>
      <c r="O701" s="10">
        <v>137.50462341308594</v>
      </c>
      <c r="P701" s="10">
        <v>178.29849243164062</v>
      </c>
      <c r="Q701" s="10">
        <v>419.2611083984375</v>
      </c>
      <c r="R701" s="10">
        <v>144.26277160644531</v>
      </c>
      <c r="S701" s="10">
        <v>132.43690490722656</v>
      </c>
      <c r="V701" s="11">
        <v>45212</v>
      </c>
      <c r="W701" s="12">
        <v>-1.02926237722476E-2</v>
      </c>
      <c r="X701" s="12">
        <v>3.3265974960878797E-3</v>
      </c>
      <c r="Y701" s="12">
        <v>1.5019581084309674E-2</v>
      </c>
      <c r="Z701" s="12">
        <v>-3.1611673507992877E-2</v>
      </c>
      <c r="AA701" s="12">
        <v>9.5590874238209445E-3</v>
      </c>
      <c r="AB701" s="12">
        <v>-4.9808754298551472E-3</v>
      </c>
      <c r="AC701" s="12">
        <v>3.1933982026528751E-2</v>
      </c>
    </row>
    <row r="702" spans="12:29" x14ac:dyDescent="0.2">
      <c r="L702" s="11">
        <v>45212</v>
      </c>
      <c r="M702" s="10">
        <v>45.376346588134766</v>
      </c>
      <c r="N702" s="10">
        <v>99.558624267578125</v>
      </c>
      <c r="O702" s="10">
        <v>139.56988525390625</v>
      </c>
      <c r="P702" s="10">
        <v>176.46333312988281</v>
      </c>
      <c r="Q702" s="10">
        <v>417.17282104492188</v>
      </c>
      <c r="R702" s="10">
        <v>144.74267578125</v>
      </c>
      <c r="S702" s="10">
        <v>133.702880859375</v>
      </c>
      <c r="V702" s="11">
        <v>45215</v>
      </c>
      <c r="W702" s="12">
        <v>-7.269535113791914E-4</v>
      </c>
      <c r="X702" s="12">
        <v>4.3351912573836859E-3</v>
      </c>
      <c r="Y702" s="12">
        <v>-1.0133541025918458E-3</v>
      </c>
      <c r="Z702" s="12">
        <v>1.3946035257937694E-2</v>
      </c>
      <c r="AA702" s="12">
        <v>9.5375077376484985E-3</v>
      </c>
      <c r="AB702" s="12">
        <v>1.0521569293863386E-2</v>
      </c>
      <c r="AC702" s="12">
        <v>7.2815898541445101E-4</v>
      </c>
    </row>
    <row r="703" spans="12:29" x14ac:dyDescent="0.2">
      <c r="L703" s="11">
        <v>45215</v>
      </c>
      <c r="M703" s="10">
        <v>46.009166717529297</v>
      </c>
      <c r="N703" s="10">
        <v>99.631118774414062</v>
      </c>
      <c r="O703" s="10">
        <v>139.42845153808594</v>
      </c>
      <c r="P703" s="10">
        <v>176.33505249023438</v>
      </c>
      <c r="Q703" s="10">
        <v>421.5621337890625</v>
      </c>
      <c r="R703" s="10">
        <v>145.37016296386719</v>
      </c>
      <c r="S703" s="10">
        <v>134.97807312011719</v>
      </c>
      <c r="V703" s="11">
        <v>45216</v>
      </c>
      <c r="W703" s="12">
        <v>-8.7848232313924024E-3</v>
      </c>
      <c r="X703" s="12">
        <v>-9.1411978550598461E-3</v>
      </c>
      <c r="Y703" s="12">
        <v>-2.1644673432787975E-3</v>
      </c>
      <c r="Z703" s="12">
        <v>-4.6794605467676997E-2</v>
      </c>
      <c r="AA703" s="12">
        <v>1.3008252502311191E-3</v>
      </c>
      <c r="AB703" s="12">
        <v>-4.6041088921033868E-5</v>
      </c>
      <c r="AC703" s="12">
        <v>1.3096865344192077E-2</v>
      </c>
    </row>
    <row r="704" spans="12:29" x14ac:dyDescent="0.2">
      <c r="L704" s="11">
        <v>45216</v>
      </c>
      <c r="M704" s="10">
        <v>43.856185913085938</v>
      </c>
      <c r="N704" s="10">
        <v>100.93597412109376</v>
      </c>
      <c r="O704" s="10">
        <v>139.12666320800781</v>
      </c>
      <c r="P704" s="10">
        <v>174.78598022460938</v>
      </c>
      <c r="Q704" s="10">
        <v>421.542724609375</v>
      </c>
      <c r="R704" s="10">
        <v>144.04130554199219</v>
      </c>
      <c r="S704" s="10">
        <v>135.15365600585938</v>
      </c>
      <c r="V704" s="11">
        <v>45217</v>
      </c>
      <c r="W704" s="12">
        <v>-7.3947334098428685E-3</v>
      </c>
      <c r="X704" s="12">
        <v>-2.1525990077639667E-2</v>
      </c>
      <c r="Y704" s="12">
        <v>-1.0981042038078259E-2</v>
      </c>
      <c r="Z704" s="12">
        <v>-3.9646988910495229E-2</v>
      </c>
      <c r="AA704" s="12">
        <v>2.5776099839343924E-2</v>
      </c>
      <c r="AB704" s="12">
        <v>-1.3325020458822001E-2</v>
      </c>
      <c r="AC704" s="12">
        <v>1.4004888933232706E-2</v>
      </c>
    </row>
    <row r="705" spans="12:29" x14ac:dyDescent="0.2">
      <c r="L705" s="11">
        <v>45217</v>
      </c>
      <c r="M705" s="10">
        <v>42.117420196533203</v>
      </c>
      <c r="N705" s="10">
        <v>102.34957122802734</v>
      </c>
      <c r="O705" s="10">
        <v>137.59890747070312</v>
      </c>
      <c r="P705" s="10">
        <v>173.49348449707031</v>
      </c>
      <c r="Q705" s="10">
        <v>415.9256591796875</v>
      </c>
      <c r="R705" s="10">
        <v>140.940673828125</v>
      </c>
      <c r="S705" s="10">
        <v>138.63739013671875</v>
      </c>
      <c r="V705" s="11">
        <v>45218</v>
      </c>
      <c r="W705" s="12">
        <v>-2.1611126546373649E-3</v>
      </c>
      <c r="X705" s="12">
        <v>-2.6844037603088733E-3</v>
      </c>
      <c r="Y705" s="12">
        <v>-4.2489854931677673E-3</v>
      </c>
      <c r="Z705" s="12">
        <v>-2.2510085066982377E-3</v>
      </c>
      <c r="AA705" s="12">
        <v>-5.6274997963842166E-3</v>
      </c>
      <c r="AB705" s="12">
        <v>-8.7863778052943431E-3</v>
      </c>
      <c r="AC705" s="12">
        <v>6.1967193391532227E-4</v>
      </c>
    </row>
    <row r="706" spans="12:29" x14ac:dyDescent="0.2">
      <c r="L706" s="11">
        <v>45218</v>
      </c>
      <c r="M706" s="10">
        <v>42.022613525390625</v>
      </c>
      <c r="N706" s="10">
        <v>102.41299438476562</v>
      </c>
      <c r="O706" s="10">
        <v>137.01425170898438</v>
      </c>
      <c r="P706" s="10">
        <v>173.11854553222656</v>
      </c>
      <c r="Q706" s="10">
        <v>412.27117919921869</v>
      </c>
      <c r="R706" s="10">
        <v>140.56233215332031</v>
      </c>
      <c r="S706" s="10">
        <v>137.85720825195312</v>
      </c>
      <c r="V706" s="11">
        <v>45219</v>
      </c>
      <c r="W706" s="12">
        <v>-1.4704159720812626E-2</v>
      </c>
      <c r="X706" s="12">
        <v>4.4642290135155083E-3</v>
      </c>
      <c r="Y706" s="12">
        <v>-1.6105702785697784E-2</v>
      </c>
      <c r="Z706" s="12">
        <v>-1.695936882941651E-2</v>
      </c>
      <c r="AA706" s="12">
        <v>-1.3492558062827564E-3</v>
      </c>
      <c r="AB706" s="12">
        <v>-1.2288051595855776E-2</v>
      </c>
      <c r="AC706" s="12">
        <v>-1.7165151559849323E-2</v>
      </c>
    </row>
    <row r="707" spans="12:29" x14ac:dyDescent="0.2">
      <c r="L707" s="11">
        <v>45219</v>
      </c>
      <c r="M707" s="10">
        <v>41.3099365234375</v>
      </c>
      <c r="N707" s="10">
        <v>100.65505981445312</v>
      </c>
      <c r="O707" s="10">
        <v>134.80754089355469</v>
      </c>
      <c r="P707" s="10">
        <v>170.57298278808594</v>
      </c>
      <c r="Q707" s="10">
        <v>407.20516967773438</v>
      </c>
      <c r="R707" s="10">
        <v>141.18983459472656</v>
      </c>
      <c r="S707" s="10">
        <v>137.67120361328125</v>
      </c>
      <c r="V707" s="11">
        <v>45222</v>
      </c>
      <c r="W707" s="12">
        <v>6.9408966414696849E-4</v>
      </c>
      <c r="X707" s="12">
        <v>-1.052305426435507E-2</v>
      </c>
      <c r="Y707" s="12">
        <v>-1.3641024468499241E-2</v>
      </c>
      <c r="Z707" s="12">
        <v>3.8369394020880021E-2</v>
      </c>
      <c r="AA707" s="12">
        <v>6.7542854356150706E-4</v>
      </c>
      <c r="AB707" s="12">
        <v>-1.733154596925357E-3</v>
      </c>
      <c r="AC707" s="12">
        <v>-1.4674078644378308E-2</v>
      </c>
    </row>
    <row r="708" spans="12:29" x14ac:dyDescent="0.2">
      <c r="L708" s="11">
        <v>45222</v>
      </c>
      <c r="M708" s="10">
        <v>42.894973754882812</v>
      </c>
      <c r="N708" s="10">
        <v>99.178039550781236</v>
      </c>
      <c r="O708" s="10">
        <v>132.9686279296875</v>
      </c>
      <c r="P708" s="10">
        <v>170.69137573242188</v>
      </c>
      <c r="Q708" s="10">
        <v>406.49942016601562</v>
      </c>
      <c r="R708" s="10">
        <v>139.70408630371094</v>
      </c>
      <c r="S708" s="10">
        <v>137.76419067382812</v>
      </c>
      <c r="V708" s="11">
        <v>45223</v>
      </c>
      <c r="W708" s="12">
        <v>2.5434387914642365E-3</v>
      </c>
      <c r="X708" s="12">
        <v>-1.0566156602586085E-3</v>
      </c>
      <c r="Y708" s="12">
        <v>1.2056139887026696E-3</v>
      </c>
      <c r="Z708" s="12">
        <v>1.6009376895344207E-2</v>
      </c>
      <c r="AA708" s="12">
        <v>1.1812464376751208E-2</v>
      </c>
      <c r="AB708" s="12">
        <v>7.5393164938621915E-3</v>
      </c>
      <c r="AC708" s="12">
        <v>-9.6847839264754265E-3</v>
      </c>
    </row>
    <row r="709" spans="12:29" x14ac:dyDescent="0.2">
      <c r="L709" s="11">
        <v>45223</v>
      </c>
      <c r="M709" s="10">
        <v>43.581695556640625</v>
      </c>
      <c r="N709" s="10">
        <v>98.217521667480483</v>
      </c>
      <c r="O709" s="10">
        <v>133.12893676757812</v>
      </c>
      <c r="P709" s="10">
        <v>171.12551879882812</v>
      </c>
      <c r="Q709" s="10">
        <v>409.56414794921869</v>
      </c>
      <c r="R709" s="10">
        <v>139.55647277832031</v>
      </c>
      <c r="S709" s="10">
        <v>139.39152526855469</v>
      </c>
      <c r="V709" s="11">
        <v>45224</v>
      </c>
      <c r="W709" s="12">
        <v>-1.3491626572620152E-2</v>
      </c>
      <c r="X709" s="12">
        <v>2.2483119073279934E-3</v>
      </c>
      <c r="Y709" s="12">
        <v>-5.4543758219444127E-3</v>
      </c>
      <c r="Z709" s="12">
        <v>-4.3148692129670208E-2</v>
      </c>
      <c r="AA709" s="12">
        <v>4.6696484780841541E-3</v>
      </c>
      <c r="AB709" s="12">
        <v>-1.4352192055823276E-2</v>
      </c>
      <c r="AC709" s="12">
        <v>1.8450208865963269E-3</v>
      </c>
    </row>
    <row r="710" spans="12:29" x14ac:dyDescent="0.2">
      <c r="L710" s="11">
        <v>45224</v>
      </c>
      <c r="M710" s="10">
        <v>41.701202392578125</v>
      </c>
      <c r="N710" s="10">
        <v>98.398735046386719</v>
      </c>
      <c r="O710" s="10">
        <v>132.40280151367188</v>
      </c>
      <c r="P710" s="10">
        <v>168.81675720214844</v>
      </c>
      <c r="Q710" s="10">
        <v>403.68600463867188</v>
      </c>
      <c r="R710" s="10">
        <v>139.8702392578125</v>
      </c>
      <c r="S710" s="10">
        <v>140.04243469238281</v>
      </c>
      <c r="V710" s="11">
        <v>45225</v>
      </c>
      <c r="W710" s="12">
        <v>-2.4605608946475233E-2</v>
      </c>
      <c r="X710" s="12">
        <v>-1.6956023518589824E-2</v>
      </c>
      <c r="Y710" s="12">
        <v>2.5639754988677765E-3</v>
      </c>
      <c r="Z710" s="12">
        <v>-3.4778241667367982E-2</v>
      </c>
      <c r="AA710" s="12">
        <v>-5.3120452011430341E-3</v>
      </c>
      <c r="AB710" s="12">
        <v>-1.1974614723953003E-2</v>
      </c>
      <c r="AC710" s="12">
        <v>-9.1167009205558314E-3</v>
      </c>
    </row>
    <row r="711" spans="12:29" x14ac:dyDescent="0.2">
      <c r="L711" s="11">
        <v>45225</v>
      </c>
      <c r="M711" s="10">
        <v>40.250907897949219</v>
      </c>
      <c r="N711" s="10">
        <v>97.501663208007798</v>
      </c>
      <c r="O711" s="10">
        <v>132.74227905273438</v>
      </c>
      <c r="P711" s="10">
        <v>164.66291809082031</v>
      </c>
      <c r="Q711" s="10">
        <v>398.85202026367188</v>
      </c>
      <c r="R711" s="10">
        <v>137.49859619140625</v>
      </c>
      <c r="S711" s="10">
        <v>139.29852294921875</v>
      </c>
      <c r="V711" s="11">
        <v>45226</v>
      </c>
      <c r="W711" s="12">
        <v>7.9694392239562095E-3</v>
      </c>
      <c r="X711" s="12">
        <v>-2.281872551078068E-2</v>
      </c>
      <c r="Y711" s="12">
        <v>-3.6018584274452148E-2</v>
      </c>
      <c r="Z711" s="12">
        <v>4.3147280765052365E-3</v>
      </c>
      <c r="AA711" s="12">
        <v>-1.762348577094619E-2</v>
      </c>
      <c r="AB711" s="12">
        <v>-4.5327383436795099E-3</v>
      </c>
      <c r="AC711" s="12">
        <v>-1.9051955525222652E-2</v>
      </c>
    </row>
    <row r="712" spans="12:29" x14ac:dyDescent="0.2">
      <c r="L712" s="11">
        <v>45226</v>
      </c>
      <c r="M712" s="10">
        <v>40.424579620361328</v>
      </c>
      <c r="N712" s="10">
        <v>95.644065856933594</v>
      </c>
      <c r="O712" s="10">
        <v>127.96109008789062</v>
      </c>
      <c r="P712" s="10">
        <v>165.97518920898438</v>
      </c>
      <c r="Q712" s="10">
        <v>397.04412841796869</v>
      </c>
      <c r="R712" s="10">
        <v>134.36105346679688</v>
      </c>
      <c r="S712" s="10">
        <v>136.84359741210938</v>
      </c>
      <c r="V712" s="11">
        <v>45229</v>
      </c>
      <c r="W712" s="12">
        <v>1.2305019145288254E-2</v>
      </c>
      <c r="X712" s="12">
        <v>9.8214908296940795E-3</v>
      </c>
      <c r="Y712" s="12">
        <v>1.2749613704078788E-2</v>
      </c>
      <c r="Z712" s="12">
        <v>1.6321129037569992E-2</v>
      </c>
      <c r="AA712" s="12">
        <v>1.4270116284437639E-2</v>
      </c>
      <c r="AB712" s="12">
        <v>1.1955873258366445E-2</v>
      </c>
      <c r="AC712" s="12">
        <v>3.1262915037093553E-3</v>
      </c>
    </row>
    <row r="713" spans="12:29" x14ac:dyDescent="0.2">
      <c r="L713" s="11">
        <v>45229</v>
      </c>
      <c r="M713" s="10">
        <v>41.084354400634766</v>
      </c>
      <c r="N713" s="10">
        <v>95.943077087402344</v>
      </c>
      <c r="O713" s="10">
        <v>129.59254455566406</v>
      </c>
      <c r="P713" s="10">
        <v>168.01751708984375</v>
      </c>
      <c r="Q713" s="10">
        <v>401.7911376953125</v>
      </c>
      <c r="R713" s="10">
        <v>135.68067932128906</v>
      </c>
      <c r="S713" s="10">
        <v>138.79637145996094</v>
      </c>
      <c r="V713" s="11">
        <v>45230</v>
      </c>
      <c r="W713" s="12">
        <v>2.8187673709558769E-3</v>
      </c>
      <c r="X713" s="12">
        <v>8.9095002467958206E-3</v>
      </c>
      <c r="Y713" s="12">
        <v>1.1933977920816297E-2</v>
      </c>
      <c r="Z713" s="12">
        <v>-9.2563456492222862E-3</v>
      </c>
      <c r="AA713" s="12">
        <v>5.1589907344407049E-3</v>
      </c>
      <c r="AB713" s="12">
        <v>6.2802429185959685E-3</v>
      </c>
      <c r="AC713" s="12">
        <v>-2.832502786578317E-4</v>
      </c>
    </row>
    <row r="714" spans="12:29" x14ac:dyDescent="0.2">
      <c r="L714" s="11">
        <v>45230</v>
      </c>
      <c r="M714" s="10">
        <v>40.704063415527344</v>
      </c>
      <c r="N714" s="10">
        <v>95.915901184082045</v>
      </c>
      <c r="O714" s="10">
        <v>131.13909912109375</v>
      </c>
      <c r="P714" s="10">
        <v>168.49111938476562</v>
      </c>
      <c r="Q714" s="10">
        <v>404.31448364257812</v>
      </c>
      <c r="R714" s="10">
        <v>136.8895263671875</v>
      </c>
      <c r="S714" s="10">
        <v>139.51242065429688</v>
      </c>
      <c r="V714" s="11">
        <v>45231</v>
      </c>
      <c r="W714" s="12">
        <v>1.8738690015082105E-2</v>
      </c>
      <c r="X714" s="12">
        <v>2.3595526659110355E-3</v>
      </c>
      <c r="Y714" s="12">
        <v>-8.6277793317734996E-4</v>
      </c>
      <c r="Z714" s="12">
        <v>3.7886283886734207E-2</v>
      </c>
      <c r="AA714" s="12">
        <v>-2.7994924252052744E-3</v>
      </c>
      <c r="AB714" s="12">
        <v>1.0664692517543539E-2</v>
      </c>
      <c r="AC714" s="12">
        <v>-1.9840296076429897E-3</v>
      </c>
    </row>
    <row r="715" spans="12:29" x14ac:dyDescent="0.2">
      <c r="L715" s="11">
        <v>45231</v>
      </c>
      <c r="M715" s="10">
        <v>42.246189117431641</v>
      </c>
      <c r="N715" s="10">
        <v>95.725601196289062</v>
      </c>
      <c r="O715" s="10">
        <v>131.02595520019531</v>
      </c>
      <c r="P715" s="10">
        <v>171.64842224121094</v>
      </c>
      <c r="Q715" s="10">
        <v>408.62637329101562</v>
      </c>
      <c r="R715" s="10">
        <v>137.2125244140625</v>
      </c>
      <c r="S715" s="10">
        <v>139.12185668945312</v>
      </c>
      <c r="V715" s="11">
        <v>45232</v>
      </c>
      <c r="W715" s="12">
        <v>2.0693383882925964E-2</v>
      </c>
      <c r="X715" s="12">
        <v>1.0424515922405231E-2</v>
      </c>
      <c r="Y715" s="12">
        <v>1.7849363164917031E-2</v>
      </c>
      <c r="Z715" s="12">
        <v>2.7903167477607571E-2</v>
      </c>
      <c r="AA715" s="12">
        <v>1.2231875220044097E-2</v>
      </c>
      <c r="AB715" s="12">
        <v>1.9164190478637266E-2</v>
      </c>
      <c r="AC715" s="12">
        <v>3.2847594944618308E-2</v>
      </c>
    </row>
    <row r="716" spans="12:29" x14ac:dyDescent="0.2">
      <c r="L716" s="11">
        <v>45232</v>
      </c>
      <c r="M716" s="10">
        <v>43.424991607666016</v>
      </c>
      <c r="N716" s="10">
        <v>98.869956970214844</v>
      </c>
      <c r="O716" s="10">
        <v>133.36468505859375</v>
      </c>
      <c r="P716" s="10">
        <v>175.20040893554688</v>
      </c>
      <c r="Q716" s="10">
        <v>416.45736694335938</v>
      </c>
      <c r="R716" s="10">
        <v>138.64289855957031</v>
      </c>
      <c r="S716" s="10">
        <v>140.82357788085938</v>
      </c>
      <c r="V716" s="11">
        <v>45233</v>
      </c>
      <c r="W716" s="12">
        <v>-5.1811828913143065E-3</v>
      </c>
      <c r="X716" s="12">
        <v>7.32162233283562E-3</v>
      </c>
      <c r="Y716" s="12">
        <v>1.1172528554305616E-2</v>
      </c>
      <c r="Z716" s="12">
        <v>3.4454914574043816E-2</v>
      </c>
      <c r="AA716" s="12">
        <v>-9.0466868941796452E-3</v>
      </c>
      <c r="AB716" s="12">
        <v>9.1236015161424433E-3</v>
      </c>
      <c r="AC716" s="12">
        <v>-1.2189597057137402E-2</v>
      </c>
    </row>
    <row r="717" spans="12:29" x14ac:dyDescent="0.2">
      <c r="L717" s="11">
        <v>45233</v>
      </c>
      <c r="M717" s="10">
        <v>44.921195983886719</v>
      </c>
      <c r="N717" s="10">
        <v>97.664772033691406</v>
      </c>
      <c r="O717" s="10">
        <v>134.85470581054688</v>
      </c>
      <c r="P717" s="10">
        <v>174.29266357421875</v>
      </c>
      <c r="Q717" s="10">
        <v>420.2569580078125</v>
      </c>
      <c r="R717" s="10">
        <v>139.65798950195312</v>
      </c>
      <c r="S717" s="10">
        <v>139.54959106445312</v>
      </c>
      <c r="V717" s="11">
        <v>45236</v>
      </c>
      <c r="W717" s="12">
        <v>1.460510552732841E-2</v>
      </c>
      <c r="X717" s="12">
        <v>2.3785523411532505E-3</v>
      </c>
      <c r="Y717" s="12">
        <v>7.5525258553053032E-3</v>
      </c>
      <c r="Z717" s="12">
        <v>1.6575912917161872E-2</v>
      </c>
      <c r="AA717" s="12">
        <v>5.7974820901420809E-3</v>
      </c>
      <c r="AB717" s="12">
        <v>2.300417254254894E-3</v>
      </c>
      <c r="AC717" s="12">
        <v>-1.7721422279008969E-2</v>
      </c>
    </row>
    <row r="718" spans="12:29" x14ac:dyDescent="0.2">
      <c r="L718" s="11">
        <v>45236</v>
      </c>
      <c r="M718" s="10">
        <v>45.665805816650391</v>
      </c>
      <c r="N718" s="10">
        <v>95.934013366699219</v>
      </c>
      <c r="O718" s="10">
        <v>135.87319946289062</v>
      </c>
      <c r="P718" s="10">
        <v>176.83822631835938</v>
      </c>
      <c r="Q718" s="10">
        <v>421.22372436523438</v>
      </c>
      <c r="R718" s="10">
        <v>139.99017333984375</v>
      </c>
      <c r="S718" s="10">
        <v>140.35862731933594</v>
      </c>
      <c r="V718" s="11">
        <v>45237</v>
      </c>
      <c r="W718" s="12">
        <v>1.4450953338734918E-2</v>
      </c>
      <c r="X718" s="12">
        <v>-5.2733716748220028E-3</v>
      </c>
      <c r="Y718" s="12">
        <v>-4.8626629020143142E-4</v>
      </c>
      <c r="Z718" s="12">
        <v>4.4591031822944771E-3</v>
      </c>
      <c r="AA718" s="12">
        <v>-2.3189542082914238E-3</v>
      </c>
      <c r="AB718" s="12">
        <v>2.8460458234893515E-3</v>
      </c>
      <c r="AC718" s="12">
        <v>-1.5679487537360925E-2</v>
      </c>
    </row>
    <row r="719" spans="12:29" x14ac:dyDescent="0.2">
      <c r="L719" s="11">
        <v>45237</v>
      </c>
      <c r="M719" s="10">
        <v>45.869434356689453</v>
      </c>
      <c r="N719" s="10">
        <v>94.429817199707045</v>
      </c>
      <c r="O719" s="10">
        <v>135.80712890625</v>
      </c>
      <c r="P719" s="10">
        <v>179.39370727539062</v>
      </c>
      <c r="Q719" s="10">
        <v>422.42254638671869</v>
      </c>
      <c r="R719" s="10">
        <v>139.251953125</v>
      </c>
      <c r="S719" s="10">
        <v>140.03314208984375</v>
      </c>
      <c r="V719" s="11">
        <v>45238</v>
      </c>
      <c r="W719" s="12">
        <v>5.8848766486916393E-3</v>
      </c>
      <c r="X719" s="12">
        <v>-3.6449640237317116E-3</v>
      </c>
      <c r="Y719" s="12">
        <v>4.9303076226121512E-3</v>
      </c>
      <c r="Z719" s="12">
        <v>1.3469615149932279E-2</v>
      </c>
      <c r="AA719" s="12">
        <v>-3.8514965111408062E-3</v>
      </c>
      <c r="AB719" s="12">
        <v>7.3241168038418181E-4</v>
      </c>
      <c r="AC719" s="12">
        <v>-1.2282920763781457E-2</v>
      </c>
    </row>
    <row r="720" spans="12:29" x14ac:dyDescent="0.2">
      <c r="L720" s="11">
        <v>45238</v>
      </c>
      <c r="M720" s="10">
        <v>46.487277984619141</v>
      </c>
      <c r="N720" s="10">
        <v>93.269943237304673</v>
      </c>
      <c r="O720" s="10">
        <v>136.47669982910156</v>
      </c>
      <c r="P720" s="10">
        <v>180.44941711425781</v>
      </c>
      <c r="Q720" s="10">
        <v>422.73193359375</v>
      </c>
      <c r="R720" s="10">
        <v>138.744384765625</v>
      </c>
      <c r="S720" s="10">
        <v>139.49380493164062</v>
      </c>
      <c r="V720" s="11">
        <v>45239</v>
      </c>
      <c r="W720" s="12">
        <v>-2.624570932373782E-3</v>
      </c>
      <c r="X720" s="12">
        <v>-1.9487829427218495E-2</v>
      </c>
      <c r="Y720" s="12">
        <v>-2.9712201411942196E-3</v>
      </c>
      <c r="Z720" s="12">
        <v>8.0729595980293389E-3</v>
      </c>
      <c r="AA720" s="12">
        <v>2.2664957022997534E-3</v>
      </c>
      <c r="AB720" s="12">
        <v>-7.7987565766296507E-3</v>
      </c>
      <c r="AC720" s="12">
        <v>2.9145008318143262E-4</v>
      </c>
    </row>
    <row r="721" spans="12:29" x14ac:dyDescent="0.2">
      <c r="L721" s="11">
        <v>45239</v>
      </c>
      <c r="M721" s="10">
        <v>46.862567901611328</v>
      </c>
      <c r="N721" s="10">
        <v>93.297126770019517</v>
      </c>
      <c r="O721" s="10">
        <v>136.07119750976562</v>
      </c>
      <c r="P721" s="10">
        <v>179.97581481933594</v>
      </c>
      <c r="Q721" s="10">
        <v>419.43515014648438</v>
      </c>
      <c r="R721" s="10">
        <v>136.04055786132812</v>
      </c>
      <c r="S721" s="10">
        <v>139.80996704101562</v>
      </c>
      <c r="V721" s="11">
        <v>45240</v>
      </c>
      <c r="W721" s="12">
        <v>2.3219876056548294E-2</v>
      </c>
      <c r="X721" s="12">
        <v>-1.1531532420755441E-3</v>
      </c>
      <c r="Y721" s="12">
        <v>1.4831520094842121E-2</v>
      </c>
      <c r="Z721" s="12">
        <v>2.9499523026167207E-2</v>
      </c>
      <c r="AA721" s="12">
        <v>7.0503021745171868E-3</v>
      </c>
      <c r="AB721" s="12">
        <v>1.5604860604780946E-2</v>
      </c>
      <c r="AC721" s="12">
        <v>7.672888589991711E-3</v>
      </c>
    </row>
    <row r="722" spans="12:29" x14ac:dyDescent="0.2">
      <c r="L722" s="11">
        <v>45240</v>
      </c>
      <c r="M722" s="10">
        <v>48.244991302490234</v>
      </c>
      <c r="N722" s="10">
        <v>94.012985229492202</v>
      </c>
      <c r="O722" s="10">
        <v>138.08934020996094</v>
      </c>
      <c r="P722" s="10">
        <v>184.15483093261719</v>
      </c>
      <c r="Q722" s="10">
        <v>425.98037719726562</v>
      </c>
      <c r="R722" s="10">
        <v>135.88368225097656</v>
      </c>
      <c r="S722" s="10">
        <v>140.79566955566406</v>
      </c>
      <c r="V722" s="11">
        <v>45243</v>
      </c>
      <c r="W722" s="12">
        <v>-8.5835583424361817E-3</v>
      </c>
      <c r="X722" s="12">
        <v>2.5808304809971094E-3</v>
      </c>
      <c r="Y722" s="12">
        <v>-4.4392028440777276E-3</v>
      </c>
      <c r="Z722" s="12">
        <v>5.8962761131273744E-3</v>
      </c>
      <c r="AA722" s="12">
        <v>6.9349427804905606E-3</v>
      </c>
      <c r="AB722" s="12">
        <v>-9.5332422301064312E-4</v>
      </c>
      <c r="AC722" s="12">
        <v>1.0506010564440116E-2</v>
      </c>
    </row>
    <row r="723" spans="12:29" x14ac:dyDescent="0.2">
      <c r="L723" s="11">
        <v>45243</v>
      </c>
      <c r="M723" s="10">
        <v>48.529457092285149</v>
      </c>
      <c r="N723" s="10">
        <v>95.000686645507798</v>
      </c>
      <c r="O723" s="10">
        <v>137.47633361816406</v>
      </c>
      <c r="P723" s="10">
        <v>182.5741271972656</v>
      </c>
      <c r="Q723" s="10">
        <v>425.57427978515625</v>
      </c>
      <c r="R723" s="10">
        <v>136.234375</v>
      </c>
      <c r="S723" s="10">
        <v>141.77207946777344</v>
      </c>
      <c r="V723" s="11">
        <v>45244</v>
      </c>
      <c r="W723" s="12">
        <v>1.4285955461757593E-2</v>
      </c>
      <c r="X723" s="12">
        <v>2.0306317381590944E-4</v>
      </c>
      <c r="Y723" s="12">
        <v>1.8246659775536189E-2</v>
      </c>
      <c r="Z723" s="12">
        <v>2.1308305662778304E-2</v>
      </c>
      <c r="AA723" s="12">
        <v>-2.2303960478625706E-3</v>
      </c>
      <c r="AB723" s="12">
        <v>1.9400772365121721E-2</v>
      </c>
      <c r="AC723" s="12">
        <v>3.8502465079710557E-3</v>
      </c>
    </row>
    <row r="724" spans="12:29" x14ac:dyDescent="0.2">
      <c r="L724" s="11">
        <v>45244</v>
      </c>
      <c r="M724" s="10">
        <v>49.56353759765625</v>
      </c>
      <c r="N724" s="10">
        <v>95.366462707519517</v>
      </c>
      <c r="O724" s="10">
        <v>139.98481750488281</v>
      </c>
      <c r="P724" s="10">
        <v>185.182373046875</v>
      </c>
      <c r="Q724" s="10">
        <v>433.83074951171869</v>
      </c>
      <c r="R724" s="10">
        <v>136.26203918457031</v>
      </c>
      <c r="S724" s="10">
        <v>141.45587158203125</v>
      </c>
      <c r="V724" s="11">
        <v>45245</v>
      </c>
      <c r="W724" s="12">
        <v>3.0407596765751332E-3</v>
      </c>
      <c r="X724" s="12">
        <v>7.7203210859848603E-3</v>
      </c>
      <c r="Y724" s="12">
        <v>8.7578598099311566E-3</v>
      </c>
      <c r="Z724" s="12">
        <v>-1.5466431212894816E-2</v>
      </c>
      <c r="AA724" s="12">
        <v>-4.6017173704151482E-3</v>
      </c>
      <c r="AB724" s="12">
        <v>2.1170860578318962E-3</v>
      </c>
      <c r="AC724" s="12">
        <v>-6.0408613751514739E-3</v>
      </c>
    </row>
    <row r="725" spans="12:29" x14ac:dyDescent="0.2">
      <c r="L725" s="11">
        <v>45245</v>
      </c>
      <c r="M725" s="10">
        <v>48.796966552734375</v>
      </c>
      <c r="N725" s="10">
        <v>94.790367126464844</v>
      </c>
      <c r="O725" s="10">
        <v>141.21078491210938</v>
      </c>
      <c r="P725" s="10">
        <v>185.74546813964844</v>
      </c>
      <c r="Q725" s="10">
        <v>434.74920654296869</v>
      </c>
      <c r="R725" s="10">
        <v>137.31402587890625</v>
      </c>
      <c r="S725" s="10">
        <v>140.804931640625</v>
      </c>
      <c r="V725" s="11">
        <v>45246</v>
      </c>
      <c r="W725" s="12">
        <v>9.0419670065304825E-3</v>
      </c>
      <c r="X725" s="12">
        <v>8.7366257540271164E-3</v>
      </c>
      <c r="Y725" s="12">
        <v>1.1419769428346882E-2</v>
      </c>
      <c r="Z725" s="12">
        <v>1.2109367915400959E-2</v>
      </c>
      <c r="AA725" s="12">
        <v>9.3120867917264594E-3</v>
      </c>
      <c r="AB725" s="12">
        <v>1.2230218150366401E-3</v>
      </c>
      <c r="AC725" s="12">
        <v>-1.1576287653540018E-2</v>
      </c>
    </row>
    <row r="726" spans="12:29" x14ac:dyDescent="0.2">
      <c r="L726" s="11">
        <v>45246</v>
      </c>
      <c r="M726" s="10">
        <v>49.387866973876953</v>
      </c>
      <c r="N726" s="10">
        <v>93.693046569824219</v>
      </c>
      <c r="O726" s="10">
        <v>142.82337951660156</v>
      </c>
      <c r="P726" s="10">
        <v>187.42497253417969</v>
      </c>
      <c r="Q726" s="10">
        <v>435.28091430664062</v>
      </c>
      <c r="R726" s="10">
        <v>138.51368713378906</v>
      </c>
      <c r="S726" s="10">
        <v>142.11611938476562</v>
      </c>
      <c r="V726" s="11">
        <v>45247</v>
      </c>
      <c r="W726" s="12">
        <v>-1.0526673148747445E-4</v>
      </c>
      <c r="X726" s="12">
        <v>-2.065296096460334E-3</v>
      </c>
      <c r="Y726" s="12">
        <v>9.0458696208886025E-3</v>
      </c>
      <c r="Z726" s="12">
        <v>-3.6783024721371849E-3</v>
      </c>
      <c r="AA726" s="12">
        <v>-1.1516126420780037E-2</v>
      </c>
      <c r="AB726" s="12">
        <v>1.2438228640878624E-3</v>
      </c>
      <c r="AC726" s="12">
        <v>2.4399751313766149E-2</v>
      </c>
    </row>
    <row r="727" spans="12:29" x14ac:dyDescent="0.2">
      <c r="L727" s="11">
        <v>45247</v>
      </c>
      <c r="M727" s="10">
        <v>49.206203460693359</v>
      </c>
      <c r="N727" s="10">
        <v>95.979133605957045</v>
      </c>
      <c r="O727" s="10">
        <v>144.11534118652344</v>
      </c>
      <c r="P727" s="10">
        <v>187.40524291992188</v>
      </c>
      <c r="Q727" s="10">
        <v>435.82232666015625</v>
      </c>
      <c r="R727" s="10">
        <v>138.22761535644531</v>
      </c>
      <c r="S727" s="10">
        <v>140.4794921875</v>
      </c>
      <c r="V727" s="11">
        <v>45250</v>
      </c>
      <c r="W727" s="12">
        <v>9.2780449755287542E-3</v>
      </c>
      <c r="X727" s="12">
        <v>8.8156544652018276E-3</v>
      </c>
      <c r="Y727" s="12">
        <v>3.0754674849278185E-3</v>
      </c>
      <c r="Z727" s="12">
        <v>2.2536436813358707E-2</v>
      </c>
      <c r="AA727" s="12">
        <v>-5.295409833786402E-3</v>
      </c>
      <c r="AB727" s="12">
        <v>7.6977662529289503E-3</v>
      </c>
      <c r="AC727" s="12">
        <v>-4.3825297529599405E-3</v>
      </c>
    </row>
    <row r="728" spans="12:29" x14ac:dyDescent="0.2">
      <c r="L728" s="11">
        <v>45250</v>
      </c>
      <c r="M728" s="10">
        <v>50.315135955810547</v>
      </c>
      <c r="N728" s="10">
        <v>95.558502197265625</v>
      </c>
      <c r="O728" s="10">
        <v>144.55856323242188</v>
      </c>
      <c r="P728" s="10">
        <v>189.14399719238281</v>
      </c>
      <c r="Q728" s="10">
        <v>439.17718505859375</v>
      </c>
      <c r="R728" s="10">
        <v>139.44618225097656</v>
      </c>
      <c r="S728" s="10">
        <v>139.735595703125</v>
      </c>
      <c r="V728" s="11">
        <v>45251</v>
      </c>
      <c r="W728" s="12">
        <v>-4.2306466390351627E-3</v>
      </c>
      <c r="X728" s="12">
        <v>8.0714583895271641E-3</v>
      </c>
      <c r="Y728" s="12">
        <v>-2.0875489112593959E-3</v>
      </c>
      <c r="Z728" s="12">
        <v>-9.2246962446997927E-3</v>
      </c>
      <c r="AA728" s="12">
        <v>-4.3921451122288513E-3</v>
      </c>
      <c r="AB728" s="12">
        <v>-2.1795630283960588E-3</v>
      </c>
      <c r="AC728" s="12">
        <v>-3.8275314641622593E-4</v>
      </c>
    </row>
    <row r="729" spans="12:29" x14ac:dyDescent="0.2">
      <c r="L729" s="11">
        <v>45251</v>
      </c>
      <c r="M729" s="10">
        <v>49.850994110107422</v>
      </c>
      <c r="N729" s="10">
        <v>95.521926879882798</v>
      </c>
      <c r="O729" s="10">
        <v>144.25679016113281</v>
      </c>
      <c r="P729" s="10">
        <v>188.34379577636719</v>
      </c>
      <c r="Q729" s="10">
        <v>438.219970703125</v>
      </c>
      <c r="R729" s="10">
        <v>140.57171630859375</v>
      </c>
      <c r="S729" s="10">
        <v>139.12185668945312</v>
      </c>
      <c r="V729" s="11">
        <v>45252</v>
      </c>
      <c r="W729" s="12">
        <v>3.5143765050169584E-3</v>
      </c>
      <c r="X729" s="12">
        <v>-1.9850186290204519E-3</v>
      </c>
      <c r="Y729" s="12">
        <v>2.3534979272823442E-3</v>
      </c>
      <c r="Z729" s="12">
        <v>-2.4587433604739029E-2</v>
      </c>
      <c r="AA729" s="12">
        <v>9.4245236353425188E-3</v>
      </c>
      <c r="AB729" s="12">
        <v>3.8607642891246297E-3</v>
      </c>
      <c r="AC729" s="12">
        <v>-4.3079810706653232E-3</v>
      </c>
    </row>
    <row r="730" spans="12:29" x14ac:dyDescent="0.2">
      <c r="L730" s="11">
        <v>45252</v>
      </c>
      <c r="M730" s="10">
        <v>48.625286102294922</v>
      </c>
      <c r="N730" s="10">
        <v>95.110420227050781</v>
      </c>
      <c r="O730" s="10">
        <v>144.59629821777344</v>
      </c>
      <c r="P730" s="10">
        <v>189.00570678710935</v>
      </c>
      <c r="Q730" s="10">
        <v>439.91183471679688</v>
      </c>
      <c r="R730" s="10">
        <v>140.29267883300781</v>
      </c>
      <c r="S730" s="10">
        <v>140.43301391601562</v>
      </c>
      <c r="V730" s="11">
        <v>45254</v>
      </c>
      <c r="W730" s="12">
        <v>-7.0042992963891271E-3</v>
      </c>
      <c r="X730" s="12">
        <v>1.1138953479582492E-2</v>
      </c>
      <c r="Y730" s="12">
        <v>1.369527207085719E-3</v>
      </c>
      <c r="Z730" s="12">
        <v>-1.9295468589947906E-2</v>
      </c>
      <c r="AA730" s="12">
        <v>2.3836796285900963E-3</v>
      </c>
      <c r="AB730" s="12">
        <v>6.1553804497549436E-4</v>
      </c>
      <c r="AC730" s="12">
        <v>5.3841099609803766E-3</v>
      </c>
    </row>
    <row r="731" spans="12:29" x14ac:dyDescent="0.2">
      <c r="L731" s="11">
        <v>45254</v>
      </c>
      <c r="M731" s="10">
        <v>47.687038421630859</v>
      </c>
      <c r="N731" s="10">
        <v>95.622505187988281</v>
      </c>
      <c r="O731" s="10">
        <v>144.79432678222656</v>
      </c>
      <c r="P731" s="10">
        <v>187.68185424804688</v>
      </c>
      <c r="Q731" s="10">
        <v>440.1826171875</v>
      </c>
      <c r="R731" s="10">
        <v>141.85539245605469</v>
      </c>
      <c r="S731" s="10">
        <v>140.76776123046875</v>
      </c>
      <c r="V731" s="11">
        <v>45257</v>
      </c>
      <c r="W731" s="12">
        <v>-9.4740469001497463E-4</v>
      </c>
      <c r="X731" s="12">
        <v>-7.9999913947358392E-3</v>
      </c>
      <c r="Y731" s="12">
        <v>-2.2795289949955055E-3</v>
      </c>
      <c r="Z731" s="12">
        <v>9.7539603440432998E-3</v>
      </c>
      <c r="AA731" s="12">
        <v>-9.2473396148617937E-4</v>
      </c>
      <c r="AB731" s="12">
        <v>-1.8011073839648839E-3</v>
      </c>
      <c r="AC731" s="12">
        <v>-5.8334376543123234E-3</v>
      </c>
    </row>
    <row r="732" spans="12:29" x14ac:dyDescent="0.2">
      <c r="L732" s="11">
        <v>45257</v>
      </c>
      <c r="M732" s="10">
        <v>48.152175903320312</v>
      </c>
      <c r="N732" s="10">
        <v>95.064697265625</v>
      </c>
      <c r="O732" s="10">
        <v>144.46426391601562</v>
      </c>
      <c r="P732" s="10">
        <v>187.50404357910156</v>
      </c>
      <c r="Q732" s="10">
        <v>439.38980102539062</v>
      </c>
      <c r="R732" s="10">
        <v>140.72055053710938</v>
      </c>
      <c r="S732" s="10">
        <v>140.63758850097656</v>
      </c>
      <c r="V732" s="11">
        <v>45258</v>
      </c>
      <c r="W732" s="12">
        <v>3.214042014881624E-3</v>
      </c>
      <c r="X732" s="12">
        <v>2.3136406230923612E-3</v>
      </c>
      <c r="Y732" s="12">
        <v>2.2847371195053867E-3</v>
      </c>
      <c r="Z732" s="12">
        <v>-8.7269041014975679E-3</v>
      </c>
      <c r="AA732" s="12">
        <v>6.9425208789359871E-3</v>
      </c>
      <c r="AB732" s="12">
        <v>9.9014267680930246E-4</v>
      </c>
      <c r="AC732" s="12">
        <v>-5.7695147476144459E-4</v>
      </c>
    </row>
    <row r="733" spans="12:29" x14ac:dyDescent="0.2">
      <c r="L733" s="11">
        <v>45258</v>
      </c>
      <c r="M733" s="10">
        <v>47.731956481933594</v>
      </c>
      <c r="N733" s="10">
        <v>95.009849548339844</v>
      </c>
      <c r="O733" s="10">
        <v>144.79432678222656</v>
      </c>
      <c r="P733" s="10">
        <v>188.106689453125</v>
      </c>
      <c r="Q733" s="10">
        <v>439.82485961914062</v>
      </c>
      <c r="R733" s="10">
        <v>141.04612731933594</v>
      </c>
      <c r="S733" s="10">
        <v>141.61396789550781</v>
      </c>
      <c r="V733" s="11">
        <v>45259</v>
      </c>
      <c r="W733" s="12">
        <v>-5.4096607980689271E-3</v>
      </c>
      <c r="X733" s="12">
        <v>3.1656500893213479E-3</v>
      </c>
      <c r="Y733" s="12">
        <v>5.0800691014170063E-3</v>
      </c>
      <c r="Z733" s="12">
        <v>6.6706114757824064E-3</v>
      </c>
      <c r="AA733" s="12">
        <v>-7.6170051050484799E-3</v>
      </c>
      <c r="AB733" s="12">
        <v>-7.0343274206730033E-4</v>
      </c>
      <c r="AC733" s="12">
        <v>-1.5014617609017566E-2</v>
      </c>
    </row>
    <row r="734" spans="12:29" x14ac:dyDescent="0.2">
      <c r="L734" s="11">
        <v>45259</v>
      </c>
      <c r="M734" s="10">
        <v>48.050357818603523</v>
      </c>
      <c r="N734" s="10">
        <v>93.583312988281236</v>
      </c>
      <c r="O734" s="10">
        <v>145.52989196777344</v>
      </c>
      <c r="P734" s="10">
        <v>187.08909606933591</v>
      </c>
      <c r="Q734" s="10">
        <v>439.51547241210938</v>
      </c>
      <c r="R734" s="10">
        <v>141.49263000488281</v>
      </c>
      <c r="S734" s="10">
        <v>140.53529357910156</v>
      </c>
      <c r="V734" s="11">
        <v>45260</v>
      </c>
      <c r="W734" s="12">
        <v>3.0627830146323642E-3</v>
      </c>
      <c r="X734" s="12">
        <v>1.676408176505606E-2</v>
      </c>
      <c r="Y734" s="12">
        <v>1.1404834018998944E-2</v>
      </c>
      <c r="Z734" s="12">
        <v>-2.8458541138841942E-2</v>
      </c>
      <c r="AA734" s="12">
        <v>1.5814233059478822E-2</v>
      </c>
      <c r="AB734" s="12">
        <v>3.9374969231795731E-3</v>
      </c>
      <c r="AC734" s="12">
        <v>3.908642253903416E-3</v>
      </c>
    </row>
    <row r="735" spans="12:29" x14ac:dyDescent="0.2">
      <c r="L735" s="11">
        <v>45260</v>
      </c>
      <c r="M735" s="10">
        <v>46.682914733886719</v>
      </c>
      <c r="N735" s="10">
        <v>93.9490966796875</v>
      </c>
      <c r="O735" s="10">
        <v>147.18963623046875</v>
      </c>
      <c r="P735" s="10">
        <v>187.662109375</v>
      </c>
      <c r="Q735" s="10">
        <v>441.24606323242188</v>
      </c>
      <c r="R735" s="10">
        <v>143.8646240234375</v>
      </c>
      <c r="S735" s="10">
        <v>142.75775146484375</v>
      </c>
      <c r="V735" s="11">
        <v>45261</v>
      </c>
      <c r="W735" s="12">
        <v>6.7912475411884277E-3</v>
      </c>
      <c r="X735" s="12">
        <v>2.4052980003207436E-2</v>
      </c>
      <c r="Y735" s="12">
        <v>4.8692648519317316E-3</v>
      </c>
      <c r="Z735" s="12">
        <v>-1.0688330092245568E-4</v>
      </c>
      <c r="AA735" s="12">
        <v>-5.6017825145803224E-3</v>
      </c>
      <c r="AB735" s="12">
        <v>5.9159328492481844E-3</v>
      </c>
      <c r="AC735" s="12">
        <v>2.4333901571012007E-3</v>
      </c>
    </row>
    <row r="736" spans="12:29" x14ac:dyDescent="0.2">
      <c r="L736" s="11">
        <v>45261</v>
      </c>
      <c r="M736" s="10">
        <v>46.677925109863281</v>
      </c>
      <c r="N736" s="10">
        <v>94.177711486816406</v>
      </c>
      <c r="O736" s="10">
        <v>147.90634155273438</v>
      </c>
      <c r="P736" s="10">
        <v>188.93656921386719</v>
      </c>
      <c r="Q736" s="10">
        <v>443.8564453125</v>
      </c>
      <c r="R736" s="10">
        <v>147.32499694824219</v>
      </c>
      <c r="S736" s="10">
        <v>141.95805358886719</v>
      </c>
      <c r="V736" s="11">
        <v>45264</v>
      </c>
      <c r="W736" s="12">
        <v>-9.4647559910248091E-3</v>
      </c>
      <c r="X736" s="12">
        <v>3.1567801898499948E-3</v>
      </c>
      <c r="Y736" s="12">
        <v>7.3323642681097922E-3</v>
      </c>
      <c r="Z736" s="12">
        <v>-2.6836542109248684E-2</v>
      </c>
      <c r="AA736" s="12">
        <v>-3.9301916951967053E-3</v>
      </c>
      <c r="AB736" s="12">
        <v>-5.2494147530631752E-3</v>
      </c>
      <c r="AC736" s="12">
        <v>-5.4375136350994779E-3</v>
      </c>
    </row>
    <row r="737" spans="12:29" x14ac:dyDescent="0.2">
      <c r="L737" s="11">
        <v>45264</v>
      </c>
      <c r="M737" s="10">
        <v>45.425251007080078</v>
      </c>
      <c r="N737" s="10">
        <v>93.665618896484375</v>
      </c>
      <c r="O737" s="10">
        <v>148.9908447265625</v>
      </c>
      <c r="P737" s="10">
        <v>187.14833068847656</v>
      </c>
      <c r="Q737" s="10">
        <v>441.52645874023438</v>
      </c>
      <c r="R737" s="10">
        <v>147.79006958007812</v>
      </c>
      <c r="S737" s="10">
        <v>141.40013122558594</v>
      </c>
      <c r="V737" s="11">
        <v>45265</v>
      </c>
      <c r="W737" s="12">
        <v>2.1063350181610874E-2</v>
      </c>
      <c r="X737" s="12">
        <v>-2.0770073418497903E-3</v>
      </c>
      <c r="Y737" s="12">
        <v>-1.2648162728901013E-4</v>
      </c>
      <c r="Z737" s="12">
        <v>2.3293836213886143E-2</v>
      </c>
      <c r="AA737" s="12">
        <v>-3.4854861964740969E-2</v>
      </c>
      <c r="AB737" s="12">
        <v>-1.969872833995634E-4</v>
      </c>
      <c r="AC737" s="12">
        <v>-1.9427805300017864E-2</v>
      </c>
    </row>
    <row r="738" spans="12:29" x14ac:dyDescent="0.2">
      <c r="L738" s="11">
        <v>45265</v>
      </c>
      <c r="M738" s="10">
        <v>46.483379364013672</v>
      </c>
      <c r="N738" s="10">
        <v>91.845901489257798</v>
      </c>
      <c r="O738" s="10">
        <v>148.97200012207031</v>
      </c>
      <c r="P738" s="10">
        <v>191.09030151367188</v>
      </c>
      <c r="Q738" s="10">
        <v>441.43948364257812</v>
      </c>
      <c r="R738" s="10">
        <v>147.48310852050781</v>
      </c>
      <c r="S738" s="10">
        <v>136.47164916992188</v>
      </c>
      <c r="V738" s="11">
        <v>45266</v>
      </c>
      <c r="W738" s="12">
        <v>-5.6871618601304075E-3</v>
      </c>
      <c r="X738" s="12">
        <v>-1.2172735204444063E-2</v>
      </c>
      <c r="Y738" s="12">
        <v>-1.0508316630013059E-2</v>
      </c>
      <c r="Z738" s="12">
        <v>-2.2827924606775407E-2</v>
      </c>
      <c r="AA738" s="12">
        <v>-7.4979264979579963E-4</v>
      </c>
      <c r="AB738" s="12">
        <v>-4.0298403971106289E-3</v>
      </c>
      <c r="AC738" s="12">
        <v>-1.3242013532333674E-2</v>
      </c>
    </row>
    <row r="739" spans="12:29" x14ac:dyDescent="0.2">
      <c r="L739" s="11">
        <v>45266</v>
      </c>
      <c r="M739" s="10">
        <v>45.422260284423828</v>
      </c>
      <c r="N739" s="10">
        <v>90.629676818847656</v>
      </c>
      <c r="O739" s="10">
        <v>147.40655517578125</v>
      </c>
      <c r="P739" s="10">
        <v>190.0035400390625</v>
      </c>
      <c r="Q739" s="10">
        <v>439.66055297851562</v>
      </c>
      <c r="R739" s="10">
        <v>145.68783569335938</v>
      </c>
      <c r="S739" s="10">
        <v>136.36932373046875</v>
      </c>
      <c r="V739" s="11">
        <v>45267</v>
      </c>
      <c r="W739" s="12">
        <v>1.0139437035057375E-2</v>
      </c>
      <c r="X739" s="12">
        <v>-7.7897542449054669E-3</v>
      </c>
      <c r="Y739" s="12">
        <v>3.0707723750771354E-3</v>
      </c>
      <c r="Z739" s="12">
        <v>2.4020395101339354E-2</v>
      </c>
      <c r="AA739" s="12">
        <v>-1.0228150071052156E-3</v>
      </c>
      <c r="AB739" s="12">
        <v>7.6303566989941451E-3</v>
      </c>
      <c r="AC739" s="12">
        <v>-6.9617736759779447E-3</v>
      </c>
    </row>
    <row r="740" spans="12:29" x14ac:dyDescent="0.2">
      <c r="L740" s="11">
        <v>45267</v>
      </c>
      <c r="M740" s="10">
        <v>46.513320922851562</v>
      </c>
      <c r="N740" s="10">
        <v>89.998733520507812</v>
      </c>
      <c r="O740" s="10">
        <v>147.85920715332031</v>
      </c>
      <c r="P740" s="10">
        <v>191.93006896972656</v>
      </c>
      <c r="Q740" s="10">
        <v>443.01531982421869</v>
      </c>
      <c r="R740" s="10">
        <v>144.55296325683594</v>
      </c>
      <c r="S740" s="10">
        <v>136.22984313964844</v>
      </c>
      <c r="V740" s="11">
        <v>45268</v>
      </c>
      <c r="W740" s="12">
        <v>7.4124313332875058E-3</v>
      </c>
      <c r="X740" s="12">
        <v>-6.306062761052722E-3</v>
      </c>
      <c r="Y740" s="12">
        <v>1.1033940719503255E-2</v>
      </c>
      <c r="Z740" s="12">
        <v>1.9529511067983174E-2</v>
      </c>
      <c r="AA740" s="12">
        <v>-9.2147600588219358E-3</v>
      </c>
      <c r="AB740" s="12">
        <v>4.2991787542179249E-3</v>
      </c>
      <c r="AC740" s="12">
        <v>1.1481383082884822E-2</v>
      </c>
    </row>
    <row r="741" spans="12:29" x14ac:dyDescent="0.2">
      <c r="L741" s="11">
        <v>45268</v>
      </c>
      <c r="M741" s="10">
        <v>47.421703338623047</v>
      </c>
      <c r="N741" s="10">
        <v>91.032043457031236</v>
      </c>
      <c r="O741" s="10">
        <v>149.49067687988281</v>
      </c>
      <c r="P741" s="10">
        <v>193.35273742675781</v>
      </c>
      <c r="Q741" s="10">
        <v>444.919921875</v>
      </c>
      <c r="R741" s="10">
        <v>143.64140319824219</v>
      </c>
      <c r="S741" s="10">
        <v>134.97451782226562</v>
      </c>
      <c r="V741" s="11">
        <v>45271</v>
      </c>
      <c r="W741" s="12">
        <v>-1.2927290354427412E-2</v>
      </c>
      <c r="X741" s="12">
        <v>4.1443927950410853E-3</v>
      </c>
      <c r="Y741" s="12">
        <v>3.658969394880307E-3</v>
      </c>
      <c r="Z741" s="12">
        <v>-1.8502950009713359E-2</v>
      </c>
      <c r="AA741" s="12">
        <v>4.6159202956468359E-3</v>
      </c>
      <c r="AB741" s="12">
        <v>3.889599493412943E-3</v>
      </c>
      <c r="AC741" s="12">
        <v>7.032496149768086E-4</v>
      </c>
    </row>
    <row r="742" spans="12:29" x14ac:dyDescent="0.2">
      <c r="L742" s="11">
        <v>45271</v>
      </c>
      <c r="M742" s="10">
        <v>46.544261932373047</v>
      </c>
      <c r="N742" s="10">
        <v>91.096061706542955</v>
      </c>
      <c r="O742" s="10">
        <v>150.03765869140625</v>
      </c>
      <c r="P742" s="10">
        <v>190.85321044921875</v>
      </c>
      <c r="Q742" s="10">
        <v>446.65048217773438</v>
      </c>
      <c r="R742" s="10">
        <v>144.23670959472656</v>
      </c>
      <c r="S742" s="10">
        <v>135.59754943847656</v>
      </c>
      <c r="V742" s="11">
        <v>45272</v>
      </c>
      <c r="W742" s="12">
        <v>7.9199658196080769E-3</v>
      </c>
      <c r="X742" s="12">
        <v>6.4637637279707505E-5</v>
      </c>
      <c r="Y742" s="12">
        <v>8.9250664200923868E-3</v>
      </c>
      <c r="Z742" s="12">
        <v>2.2090516755634004E-2</v>
      </c>
      <c r="AA742" s="12">
        <v>8.2293171872316329E-4</v>
      </c>
      <c r="AB742" s="12">
        <v>4.5671438262899766E-3</v>
      </c>
      <c r="AC742" s="12">
        <v>-1.5759861502496086E-2</v>
      </c>
    </row>
    <row r="743" spans="12:29" x14ac:dyDescent="0.2">
      <c r="L743" s="11">
        <v>45272</v>
      </c>
      <c r="M743" s="10">
        <v>47.57244873046875</v>
      </c>
      <c r="N743" s="10">
        <v>89.660400390625</v>
      </c>
      <c r="O743" s="10">
        <v>151.37675476074219</v>
      </c>
      <c r="P743" s="10">
        <v>192.36476135253903</v>
      </c>
      <c r="Q743" s="10">
        <v>448.69039916992188</v>
      </c>
      <c r="R743" s="10">
        <v>144.24603271484375</v>
      </c>
      <c r="S743" s="10">
        <v>135.70913696289062</v>
      </c>
      <c r="V743" s="11">
        <v>45273</v>
      </c>
      <c r="W743" s="12">
        <v>1.6691683555016379E-2</v>
      </c>
      <c r="X743" s="12">
        <v>4.6427134289923622E-3</v>
      </c>
      <c r="Y743" s="12">
        <v>3.3641018858989735E-3</v>
      </c>
      <c r="Z743" s="12">
        <v>9.0436628446282086E-3</v>
      </c>
      <c r="AA743" s="12">
        <v>1.8089498859547026E-2</v>
      </c>
      <c r="AB743" s="12">
        <v>1.3790064360344578E-2</v>
      </c>
      <c r="AC743" s="12">
        <v>8.8728117707606025E-3</v>
      </c>
    </row>
    <row r="744" spans="12:29" x14ac:dyDescent="0.2">
      <c r="L744" s="11">
        <v>45273</v>
      </c>
      <c r="M744" s="10">
        <v>48.002677917480469</v>
      </c>
      <c r="N744" s="10">
        <v>90.455940246582045</v>
      </c>
      <c r="O744" s="10">
        <v>151.88600158691406</v>
      </c>
      <c r="P744" s="10">
        <v>195.57565307617188</v>
      </c>
      <c r="Q744" s="10">
        <v>454.87786865234375</v>
      </c>
      <c r="R744" s="10">
        <v>144.91572570800781</v>
      </c>
      <c r="S744" s="10">
        <v>138.16404724121094</v>
      </c>
      <c r="V744" s="11">
        <v>45274</v>
      </c>
      <c r="W744" s="12">
        <v>7.5757303870105375E-4</v>
      </c>
      <c r="X744" s="12">
        <v>6.9324664951142534E-3</v>
      </c>
      <c r="Y744" s="12">
        <v>1.8191780370526489E-2</v>
      </c>
      <c r="Z744" s="12">
        <v>5.4482758291853894E-3</v>
      </c>
      <c r="AA744" s="12">
        <v>-2.638314894145255E-2</v>
      </c>
      <c r="AB744" s="12">
        <v>3.2094997812208703E-3</v>
      </c>
      <c r="AC744" s="12">
        <v>2.6890563375018717E-2</v>
      </c>
    </row>
    <row r="745" spans="12:29" x14ac:dyDescent="0.2">
      <c r="L745" s="11">
        <v>45274</v>
      </c>
      <c r="M745" s="10">
        <v>48.264209747314453</v>
      </c>
      <c r="N745" s="10">
        <v>92.888351440429673</v>
      </c>
      <c r="O745" s="10">
        <v>154.64907836914062</v>
      </c>
      <c r="P745" s="10">
        <v>195.72381591796875</v>
      </c>
      <c r="Q745" s="10">
        <v>456.33779907226562</v>
      </c>
      <c r="R745" s="10">
        <v>145.92034912109375</v>
      </c>
      <c r="S745" s="10">
        <v>134.51884460449219</v>
      </c>
      <c r="V745" s="11">
        <v>45275</v>
      </c>
      <c r="W745" s="12">
        <v>-2.7258220890443718E-3</v>
      </c>
      <c r="X745" s="12">
        <v>-1.0900513184306737E-2</v>
      </c>
      <c r="Y745" s="12">
        <v>7.5616556432400728E-3</v>
      </c>
      <c r="Z745" s="12">
        <v>1.1168516269892903E-2</v>
      </c>
      <c r="AA745" s="12">
        <v>-4.8389107454127611E-3</v>
      </c>
      <c r="AB745" s="12">
        <v>-1.6464618424443245E-3</v>
      </c>
      <c r="AC745" s="12">
        <v>-6.6940932210446391E-3</v>
      </c>
    </row>
    <row r="746" spans="12:29" x14ac:dyDescent="0.2">
      <c r="L746" s="11">
        <v>45275</v>
      </c>
      <c r="M746" s="10">
        <v>48.803249359130859</v>
      </c>
      <c r="N746" s="10">
        <v>92.266548156738281</v>
      </c>
      <c r="O746" s="10">
        <v>155.8184814453125</v>
      </c>
      <c r="P746" s="10">
        <v>195.1903076171875</v>
      </c>
      <c r="Q746" s="10">
        <v>455.58645629882812</v>
      </c>
      <c r="R746" s="10">
        <v>144.32974243164062</v>
      </c>
      <c r="S746" s="10">
        <v>133.867919921875</v>
      </c>
      <c r="V746" s="11">
        <v>45278</v>
      </c>
      <c r="W746" s="12">
        <v>-8.5032104460353031E-3</v>
      </c>
      <c r="X746" s="12">
        <v>1.8045640913630923E-3</v>
      </c>
      <c r="Y746" s="12">
        <v>6.0520656657252481E-3</v>
      </c>
      <c r="Z746" s="12">
        <v>2.4279009642334204E-2</v>
      </c>
      <c r="AA746" s="12">
        <v>1.5351467109714578E-2</v>
      </c>
      <c r="AB746" s="12">
        <v>5.6249534033769866E-3</v>
      </c>
      <c r="AC746" s="12">
        <v>7.4328810182542338E-3</v>
      </c>
    </row>
    <row r="747" spans="12:29" x14ac:dyDescent="0.2">
      <c r="L747" s="11">
        <v>45278</v>
      </c>
      <c r="M747" s="10">
        <v>49.988143920898438</v>
      </c>
      <c r="N747" s="10">
        <v>92.952354431152344</v>
      </c>
      <c r="O747" s="10">
        <v>156.76150512695312</v>
      </c>
      <c r="P747" s="10">
        <v>193.53056335449219</v>
      </c>
      <c r="Q747" s="10">
        <v>458.14910888671869</v>
      </c>
      <c r="R747" s="10">
        <v>144.59019470214844</v>
      </c>
      <c r="S747" s="10">
        <v>135.92298889160156</v>
      </c>
      <c r="V747" s="11">
        <v>45279</v>
      </c>
      <c r="W747" s="12">
        <v>5.3600745993584997E-3</v>
      </c>
      <c r="X747" s="12">
        <v>6.561935308688982E-3</v>
      </c>
      <c r="Y747" s="12">
        <v>1.3354913728709672E-2</v>
      </c>
      <c r="Z747" s="12">
        <v>-9.4453701942873725E-3</v>
      </c>
      <c r="AA747" s="12">
        <v>0</v>
      </c>
      <c r="AB747" s="12">
        <v>6.0810131202861939E-3</v>
      </c>
      <c r="AC747" s="12">
        <v>1.3182636019958505E-2</v>
      </c>
    </row>
    <row r="748" spans="12:29" x14ac:dyDescent="0.2">
      <c r="L748" s="11">
        <v>45279</v>
      </c>
      <c r="M748" s="10">
        <v>49.515987396240234</v>
      </c>
      <c r="N748" s="10">
        <v>94.177711486816406</v>
      </c>
      <c r="O748" s="10">
        <v>158.85504150390625</v>
      </c>
      <c r="P748" s="10">
        <v>194.56790161132812</v>
      </c>
      <c r="Q748" s="10">
        <v>460.93511962890625</v>
      </c>
      <c r="R748" s="10">
        <v>145.53898620605469</v>
      </c>
      <c r="S748" s="10">
        <v>135.92298889160156</v>
      </c>
      <c r="V748" s="11">
        <v>45280</v>
      </c>
      <c r="W748" s="12">
        <v>-1.0713891913876061E-2</v>
      </c>
      <c r="X748" s="12">
        <v>-2.0388459141985393E-2</v>
      </c>
      <c r="Y748" s="12">
        <v>-1.1279234758312717E-2</v>
      </c>
      <c r="Z748" s="12">
        <v>-3.0098489875325818E-2</v>
      </c>
      <c r="AA748" s="12">
        <v>-1.5461308336052859E-2</v>
      </c>
      <c r="AB748" s="12">
        <v>-1.3857394125843636E-2</v>
      </c>
      <c r="AC748" s="12">
        <v>-1.6700743782779415E-2</v>
      </c>
    </row>
    <row r="749" spans="12:29" x14ac:dyDescent="0.2">
      <c r="L749" s="11">
        <v>45280</v>
      </c>
      <c r="M749" s="10">
        <v>48.025630950927734</v>
      </c>
      <c r="N749" s="10">
        <v>92.604873657226562</v>
      </c>
      <c r="O749" s="10">
        <v>157.06327819824219</v>
      </c>
      <c r="P749" s="10">
        <v>192.48332214355469</v>
      </c>
      <c r="Q749" s="10">
        <v>454.54776000976562</v>
      </c>
      <c r="R749" s="10">
        <v>142.57167053222656</v>
      </c>
      <c r="S749" s="10">
        <v>133.82144165039062</v>
      </c>
      <c r="V749" s="11">
        <v>45281</v>
      </c>
      <c r="W749" s="12">
        <v>-7.6990233608120739E-4</v>
      </c>
      <c r="X749" s="12">
        <v>1.0243400359412735E-2</v>
      </c>
      <c r="Y749" s="12">
        <v>5.7040993368597803E-3</v>
      </c>
      <c r="Z749" s="12">
        <v>1.827043223109559E-2</v>
      </c>
      <c r="AA749" s="12">
        <v>2.4317791702328506E-3</v>
      </c>
      <c r="AB749" s="12">
        <v>9.4818793979385418E-3</v>
      </c>
      <c r="AC749" s="12">
        <v>4.5422991412191749E-3</v>
      </c>
    </row>
    <row r="750" spans="12:29" x14ac:dyDescent="0.2">
      <c r="L750" s="11">
        <v>45281</v>
      </c>
      <c r="M750" s="10">
        <v>48.903079986572266</v>
      </c>
      <c r="N750" s="10">
        <v>93.0255126953125</v>
      </c>
      <c r="O750" s="10">
        <v>157.95918273925781</v>
      </c>
      <c r="P750" s="10">
        <v>192.33512878417969</v>
      </c>
      <c r="Q750" s="10">
        <v>458.85772705078131</v>
      </c>
      <c r="R750" s="10">
        <v>144.03208923339844</v>
      </c>
      <c r="S750" s="10">
        <v>134.14686584472656</v>
      </c>
      <c r="V750" s="11">
        <v>45282</v>
      </c>
      <c r="W750" s="12">
        <v>-5.5476155059054344E-3</v>
      </c>
      <c r="X750" s="12">
        <v>4.0039041084352078E-3</v>
      </c>
      <c r="Y750" s="12">
        <v>-5.9717853909191376E-4</v>
      </c>
      <c r="Z750" s="12">
        <v>-3.2660800619424002E-3</v>
      </c>
      <c r="AA750" s="12">
        <v>7.0705068072396404E-3</v>
      </c>
      <c r="AB750" s="12">
        <v>2.0097300784456262E-3</v>
      </c>
      <c r="AC750" s="12">
        <v>1.7694520808593239E-3</v>
      </c>
    </row>
    <row r="751" spans="12:29" x14ac:dyDescent="0.2">
      <c r="L751" s="11">
        <v>45282</v>
      </c>
      <c r="M751" s="10">
        <v>48.743358612060547</v>
      </c>
      <c r="N751" s="10">
        <v>93.190116882324219</v>
      </c>
      <c r="O751" s="10">
        <v>157.86485290527344</v>
      </c>
      <c r="P751" s="10">
        <v>191.26812744140625</v>
      </c>
      <c r="Q751" s="10">
        <v>459.7799072265625</v>
      </c>
      <c r="R751" s="10">
        <v>144.60877990722656</v>
      </c>
      <c r="S751" s="10">
        <v>135.09535217285156</v>
      </c>
      <c r="V751" s="11">
        <v>45286</v>
      </c>
      <c r="W751" s="12">
        <v>-2.8408574171985279E-3</v>
      </c>
      <c r="X751" s="12">
        <v>4.3742371728172635E-3</v>
      </c>
      <c r="Y751" s="12">
        <v>5.9140730212972059E-3</v>
      </c>
      <c r="Z751" s="12">
        <v>9.195103468294441E-3</v>
      </c>
      <c r="AA751" s="12">
        <v>4.5433449794316516E-3</v>
      </c>
      <c r="AB751" s="12">
        <v>4.2225350370117543E-3</v>
      </c>
      <c r="AC751" s="12">
        <v>2.2567227865961659E-3</v>
      </c>
    </row>
    <row r="752" spans="12:29" x14ac:dyDescent="0.2">
      <c r="L752" s="11">
        <v>45286</v>
      </c>
      <c r="M752" s="10">
        <v>49.191558837890625</v>
      </c>
      <c r="N752" s="10">
        <v>93.400421142578125</v>
      </c>
      <c r="O752" s="10">
        <v>158.79847717285156</v>
      </c>
      <c r="P752" s="10">
        <v>190.72476196289065</v>
      </c>
      <c r="Q752" s="10">
        <v>461.72134399414062</v>
      </c>
      <c r="R752" s="10">
        <v>145.2413330078125</v>
      </c>
      <c r="S752" s="10">
        <v>135.70913696289062</v>
      </c>
      <c r="V752" s="11">
        <v>45287</v>
      </c>
      <c r="W752" s="12">
        <v>5.1810743896973932E-4</v>
      </c>
      <c r="X752" s="12">
        <v>1.3449547283321817E-3</v>
      </c>
      <c r="Y752" s="12">
        <v>5.9978762406172059E-3</v>
      </c>
      <c r="Z752" s="12">
        <v>2.80056132201012E-3</v>
      </c>
      <c r="AA752" s="12">
        <v>8.2225505895427986E-4</v>
      </c>
      <c r="AB752" s="12">
        <v>1.8081010939752229E-3</v>
      </c>
      <c r="AC752" s="12">
        <v>-4.6992447423579442E-3</v>
      </c>
    </row>
    <row r="753" spans="12:29" x14ac:dyDescent="0.2">
      <c r="L753" s="11">
        <v>45287</v>
      </c>
      <c r="M753" s="10">
        <v>49.329322814941406</v>
      </c>
      <c r="N753" s="10">
        <v>92.961509704589844</v>
      </c>
      <c r="O753" s="10">
        <v>159.75093078613281</v>
      </c>
      <c r="P753" s="10">
        <v>190.82357788085935</v>
      </c>
      <c r="Q753" s="10">
        <v>462.55618286132812</v>
      </c>
      <c r="R753" s="10">
        <v>145.43667602539062</v>
      </c>
      <c r="S753" s="10">
        <v>135.82072448730469</v>
      </c>
      <c r="V753" s="11">
        <v>45288</v>
      </c>
      <c r="W753" s="12">
        <v>2.2261645663368412E-3</v>
      </c>
      <c r="X753" s="12">
        <v>1.4709372388221897E-3</v>
      </c>
      <c r="Y753" s="12">
        <v>5.3130841706197085E-3</v>
      </c>
      <c r="Z753" s="12">
        <v>2.1246755761523684E-3</v>
      </c>
      <c r="AA753" s="12">
        <v>-2.2592593965699015E-3</v>
      </c>
      <c r="AB753" s="12">
        <v>3.7771224607752174E-4</v>
      </c>
      <c r="AC753" s="12">
        <v>-1.4459995612512877E-2</v>
      </c>
    </row>
    <row r="754" spans="12:29" x14ac:dyDescent="0.2">
      <c r="L754" s="11">
        <v>45288</v>
      </c>
      <c r="M754" s="10">
        <v>49.434131622314453</v>
      </c>
      <c r="N754" s="10">
        <v>91.617286682128906</v>
      </c>
      <c r="O754" s="10">
        <v>160.59970092773438</v>
      </c>
      <c r="P754" s="10">
        <v>191.24838256835935</v>
      </c>
      <c r="Q754" s="10">
        <v>462.73089599609375</v>
      </c>
      <c r="R754" s="10">
        <v>145.65060424804688</v>
      </c>
      <c r="S754" s="10">
        <v>135.51387023925781</v>
      </c>
      <c r="V754" s="11">
        <v>45289</v>
      </c>
      <c r="W754" s="12">
        <v>-5.4241963277427141E-3</v>
      </c>
      <c r="X754" s="12">
        <v>1.0218579544110096E-3</v>
      </c>
      <c r="Y754" s="12">
        <v>-1.1746249095729855E-3</v>
      </c>
      <c r="Z754" s="12">
        <v>0</v>
      </c>
      <c r="AA754" s="12">
        <v>5.5580221093549653E-3</v>
      </c>
      <c r="AB754" s="12">
        <v>-2.8949203595175499E-3</v>
      </c>
      <c r="AC754" s="12">
        <v>-2.0961054043480143E-3</v>
      </c>
    </row>
    <row r="755" spans="12:29" x14ac:dyDescent="0.2">
      <c r="L755" s="11">
        <v>45289</v>
      </c>
      <c r="M755" s="10">
        <v>49.434131622314453</v>
      </c>
      <c r="N755" s="10">
        <v>91.425247192382798</v>
      </c>
      <c r="O755" s="10">
        <v>160.41105651855469</v>
      </c>
      <c r="P755" s="10">
        <v>190.21101379394531</v>
      </c>
      <c r="Q755" s="10">
        <v>461.39132690429688</v>
      </c>
      <c r="R755" s="10">
        <v>145.7994384765625</v>
      </c>
      <c r="S755" s="10">
        <v>136.26705932617188</v>
      </c>
      <c r="V755" s="11">
        <v>45293</v>
      </c>
      <c r="W755" s="12">
        <v>-3.5786607200945286E-2</v>
      </c>
      <c r="X755" s="12">
        <v>2.060739842714554E-2</v>
      </c>
      <c r="Y755" s="12">
        <v>1.1640112591447815E-2</v>
      </c>
      <c r="Z755" s="12">
        <v>-2.7341523302086501E-2</v>
      </c>
      <c r="AA755" s="12">
        <v>1.5012880724912803E-2</v>
      </c>
      <c r="AB755" s="12">
        <v>-5.5964496290761279E-3</v>
      </c>
      <c r="AC755" s="12">
        <v>2.3804814871375424E-2</v>
      </c>
    </row>
    <row r="756" spans="12:29" x14ac:dyDescent="0.2">
      <c r="L756" s="11">
        <v>45293</v>
      </c>
      <c r="M756" s="10">
        <v>48.082527160644531</v>
      </c>
      <c r="N756" s="10">
        <v>93.601608276367202</v>
      </c>
      <c r="O756" s="10">
        <v>162.27825927734375</v>
      </c>
      <c r="P756" s="10">
        <v>183.40400695800781</v>
      </c>
      <c r="Q756" s="10">
        <v>458.80917358398438</v>
      </c>
      <c r="R756" s="10">
        <v>148.80398559570312</v>
      </c>
      <c r="S756" s="10">
        <v>138.31282043457031</v>
      </c>
      <c r="V756" s="11">
        <v>45294</v>
      </c>
      <c r="W756" s="12">
        <v>-7.4874589887405918E-3</v>
      </c>
      <c r="X756" s="12">
        <v>6.2511164355931736E-3</v>
      </c>
      <c r="Y756" s="12">
        <v>-4.3582231914267577E-3</v>
      </c>
      <c r="Z756" s="12">
        <v>-1.2435513345740445E-2</v>
      </c>
      <c r="AA756" s="12">
        <v>-6.0506577936335626E-3</v>
      </c>
      <c r="AB756" s="12">
        <v>-8.1664816337139179E-3</v>
      </c>
      <c r="AC756" s="12">
        <v>8.401726365381279E-3</v>
      </c>
    </row>
    <row r="757" spans="12:29" x14ac:dyDescent="0.2">
      <c r="L757" s="11">
        <v>45294</v>
      </c>
      <c r="M757" s="10">
        <v>47.484596252441406</v>
      </c>
      <c r="N757" s="10">
        <v>94.388023376464844</v>
      </c>
      <c r="O757" s="10">
        <v>161.57101440429688</v>
      </c>
      <c r="P757" s="10">
        <v>182.03077697753903</v>
      </c>
      <c r="Q757" s="10">
        <v>455.06231689453131</v>
      </c>
      <c r="R757" s="10">
        <v>149.73417663574219</v>
      </c>
      <c r="S757" s="10">
        <v>137.47593688964844</v>
      </c>
      <c r="V757" s="11">
        <v>45295</v>
      </c>
      <c r="W757" s="12">
        <v>-1.2700207358706583E-2</v>
      </c>
      <c r="X757" s="12">
        <v>-2.1121007188540375E-3</v>
      </c>
      <c r="Y757" s="12">
        <v>6.6361196888991003E-3</v>
      </c>
      <c r="Z757" s="12">
        <v>9.0185399799900257E-3</v>
      </c>
      <c r="AA757" s="12">
        <v>5.478919595192755E-3</v>
      </c>
      <c r="AB757" s="12">
        <v>-3.2213431233730772E-3</v>
      </c>
      <c r="AC757" s="12">
        <v>-8.7193058762602416E-3</v>
      </c>
    </row>
    <row r="758" spans="12:29" x14ac:dyDescent="0.2">
      <c r="L758" s="11">
        <v>45295</v>
      </c>
      <c r="M758" s="10">
        <v>47.912837982177734</v>
      </c>
      <c r="N758" s="10">
        <v>93.565025329589844</v>
      </c>
      <c r="O758" s="10">
        <v>162.64321899414062</v>
      </c>
      <c r="P758" s="10">
        <v>179.71894836425781</v>
      </c>
      <c r="Q758" s="10">
        <v>453.59640502929688</v>
      </c>
      <c r="R758" s="10">
        <v>149.41792297363281</v>
      </c>
      <c r="S758" s="10">
        <v>138.22915649414062</v>
      </c>
      <c r="V758" s="11">
        <v>45296</v>
      </c>
      <c r="W758" s="12">
        <v>-4.0131393444132746E-3</v>
      </c>
      <c r="X758" s="12">
        <v>3.1127667963644079E-3</v>
      </c>
      <c r="Y758" s="12">
        <v>5.0173628148117988E-3</v>
      </c>
      <c r="Z758" s="12">
        <v>2.2896700438524764E-2</v>
      </c>
      <c r="AA758" s="12">
        <v>-8.2747671759290098E-3</v>
      </c>
      <c r="AB758" s="12">
        <v>1.3698033841005319E-3</v>
      </c>
      <c r="AC758" s="12">
        <v>3.0295778087543468E-3</v>
      </c>
    </row>
    <row r="759" spans="12:29" x14ac:dyDescent="0.2">
      <c r="L759" s="11">
        <v>45296</v>
      </c>
      <c r="M759" s="10">
        <v>49.009883880615234</v>
      </c>
      <c r="N759" s="10">
        <v>93.848487854003906</v>
      </c>
      <c r="O759" s="10">
        <v>163.45925903320312</v>
      </c>
      <c r="P759" s="10">
        <v>178.99771118164062</v>
      </c>
      <c r="Q759" s="10">
        <v>454.21774291992188</v>
      </c>
      <c r="R759" s="10">
        <v>149.88302612304688</v>
      </c>
      <c r="S759" s="10">
        <v>137.08534240722656</v>
      </c>
      <c r="V759" s="11">
        <v>45299</v>
      </c>
      <c r="W759" s="12">
        <v>2.4174919447055521E-2</v>
      </c>
      <c r="X759" s="12">
        <v>2.4827100072137842E-3</v>
      </c>
      <c r="Y759" s="12">
        <v>-1.4513931712828443E-3</v>
      </c>
      <c r="Z759" s="12">
        <v>6.4281109217898091E-2</v>
      </c>
      <c r="AA759" s="12">
        <v>8.6150695261868471E-3</v>
      </c>
      <c r="AB759" s="12">
        <v>1.4275850257934763E-2</v>
      </c>
      <c r="AC759" s="12">
        <v>-1.6661614194528274E-2</v>
      </c>
    </row>
    <row r="760" spans="12:29" x14ac:dyDescent="0.2">
      <c r="L760" s="11">
        <v>45299</v>
      </c>
      <c r="M760" s="10">
        <v>52.160293579101562</v>
      </c>
      <c r="N760" s="10">
        <v>92.284820556640625</v>
      </c>
      <c r="O760" s="10">
        <v>163.22201538085938</v>
      </c>
      <c r="P760" s="10">
        <v>183.32496643066409</v>
      </c>
      <c r="Q760" s="10">
        <v>460.70208740234375</v>
      </c>
      <c r="R760" s="10">
        <v>150.25514221191406</v>
      </c>
      <c r="S760" s="10">
        <v>138.26634216308594</v>
      </c>
      <c r="V760" s="11">
        <v>45300</v>
      </c>
      <c r="W760" s="12">
        <v>-2.2632868848468934E-3</v>
      </c>
      <c r="X760" s="12">
        <v>6.1875953387802163E-4</v>
      </c>
      <c r="Y760" s="12">
        <v>-7.906109030657249E-3</v>
      </c>
      <c r="Z760" s="12">
        <v>1.6975014751152484E-2</v>
      </c>
      <c r="AA760" s="12">
        <v>4.102446161049933E-3</v>
      </c>
      <c r="AB760" s="12">
        <v>-1.5169293957466579E-3</v>
      </c>
      <c r="AC760" s="12">
        <v>-1.2386123097670176E-2</v>
      </c>
    </row>
    <row r="761" spans="12:29" x14ac:dyDescent="0.2">
      <c r="L761" s="11">
        <v>45300</v>
      </c>
      <c r="M761" s="10">
        <v>53.04571533203125</v>
      </c>
      <c r="N761" s="10">
        <v>91.141769409179673</v>
      </c>
      <c r="O761" s="10">
        <v>161.93156433105469</v>
      </c>
      <c r="P761" s="10">
        <v>182.91004943847656</v>
      </c>
      <c r="Q761" s="10">
        <v>460.00323486328131</v>
      </c>
      <c r="R761" s="10">
        <v>150.34811401367188</v>
      </c>
      <c r="S761" s="10">
        <v>138.83357238769531</v>
      </c>
      <c r="V761" s="11">
        <v>45301</v>
      </c>
      <c r="W761" s="12">
        <v>5.671302697804137E-3</v>
      </c>
      <c r="X761" s="12">
        <v>1.4847947075948831E-3</v>
      </c>
      <c r="Y761" s="12">
        <v>2.1095239347148631E-3</v>
      </c>
      <c r="Z761" s="12">
        <v>2.2770008894248184E-2</v>
      </c>
      <c r="AA761" s="12">
        <v>4.2867048622992066E-3</v>
      </c>
      <c r="AB761" s="12">
        <v>5.6553318544352305E-3</v>
      </c>
      <c r="AC761" s="12">
        <v>-9.8323022326719522E-3</v>
      </c>
    </row>
    <row r="762" spans="12:29" x14ac:dyDescent="0.2">
      <c r="L762" s="11">
        <v>45301</v>
      </c>
      <c r="M762" s="10">
        <v>54.253566741943359</v>
      </c>
      <c r="N762" s="10">
        <v>90.245635986328125</v>
      </c>
      <c r="O762" s="10">
        <v>162.27316284179688</v>
      </c>
      <c r="P762" s="10">
        <v>183.9473876953125</v>
      </c>
      <c r="Q762" s="10">
        <v>462.60470581054688</v>
      </c>
      <c r="R762" s="10">
        <v>150.57135009765625</v>
      </c>
      <c r="S762" s="10">
        <v>139.4287109375</v>
      </c>
      <c r="V762" s="11">
        <v>45302</v>
      </c>
      <c r="W762" s="12">
        <v>-3.2225991557485179E-3</v>
      </c>
      <c r="X762" s="12">
        <v>-4.4479827609759104E-3</v>
      </c>
      <c r="Y762" s="12">
        <v>-4.2098843280894416E-3</v>
      </c>
      <c r="Z762" s="12">
        <v>8.6843520577304378E-3</v>
      </c>
      <c r="AA762" s="12">
        <v>3.801326387672832E-3</v>
      </c>
      <c r="AB762" s="12">
        <v>-4.4067303966965898E-4</v>
      </c>
      <c r="AC762" s="12">
        <v>-2.0281221668427829E-4</v>
      </c>
    </row>
    <row r="763" spans="12:29" x14ac:dyDescent="0.2">
      <c r="L763" s="11">
        <v>45302</v>
      </c>
      <c r="M763" s="10">
        <v>54.724723815917969</v>
      </c>
      <c r="N763" s="10">
        <v>90.227333068847656</v>
      </c>
      <c r="O763" s="10">
        <v>161.59001159667969</v>
      </c>
      <c r="P763" s="10">
        <v>183.35459899902344</v>
      </c>
      <c r="Q763" s="10">
        <v>462.40084838867188</v>
      </c>
      <c r="R763" s="10">
        <v>149.901611328125</v>
      </c>
      <c r="S763" s="10">
        <v>139.95872497558594</v>
      </c>
      <c r="V763" s="11">
        <v>45303</v>
      </c>
      <c r="W763" s="12">
        <v>1.7782472131460114E-3</v>
      </c>
      <c r="X763" s="12">
        <v>7.6947647952676501E-3</v>
      </c>
      <c r="Y763" s="12">
        <v>-7.340157845688422E-3</v>
      </c>
      <c r="Z763" s="12">
        <v>-2.0429035537892215E-3</v>
      </c>
      <c r="AA763" s="12">
        <v>5.981028821995249E-4</v>
      </c>
      <c r="AB763" s="12">
        <v>6.9271607332943574E-4</v>
      </c>
      <c r="AC763" s="12">
        <v>1.2972637119864405E-2</v>
      </c>
    </row>
    <row r="764" spans="12:29" x14ac:dyDescent="0.2">
      <c r="L764" s="11">
        <v>45303</v>
      </c>
      <c r="M764" s="10">
        <v>54.612926483154297</v>
      </c>
      <c r="N764" s="10">
        <v>91.397819519042955</v>
      </c>
      <c r="O764" s="10">
        <v>160.40391540527344</v>
      </c>
      <c r="P764" s="10">
        <v>183.68064880371097</v>
      </c>
      <c r="Q764" s="10">
        <v>462.72116088867188</v>
      </c>
      <c r="R764" s="10">
        <v>151.05506896972656</v>
      </c>
      <c r="S764" s="10">
        <v>140.04243469238281</v>
      </c>
      <c r="V764" s="11">
        <v>45307</v>
      </c>
      <c r="W764" s="12">
        <v>-1.2317142110678136E-2</v>
      </c>
      <c r="X764" s="12">
        <v>-1.1515478741699781E-2</v>
      </c>
      <c r="Y764" s="12">
        <v>-6.2703150263726526E-3</v>
      </c>
      <c r="Z764" s="12">
        <v>3.056106572781192E-2</v>
      </c>
      <c r="AA764" s="12">
        <v>-5.3786187374976757E-3</v>
      </c>
      <c r="AB764" s="12">
        <v>-3.6712411921373533E-3</v>
      </c>
      <c r="AC764" s="12">
        <v>-2.2611176661843091E-2</v>
      </c>
    </row>
    <row r="765" spans="12:29" x14ac:dyDescent="0.2">
      <c r="L765" s="11">
        <v>45307</v>
      </c>
      <c r="M765" s="10">
        <v>56.281955718994141</v>
      </c>
      <c r="N765" s="10">
        <v>89.331207275390625</v>
      </c>
      <c r="O765" s="10">
        <v>159.39813232421875</v>
      </c>
      <c r="P765" s="10">
        <v>181.41822814941409</v>
      </c>
      <c r="Q765" s="10">
        <v>461.02239990234375</v>
      </c>
      <c r="R765" s="10">
        <v>149.31559753417969</v>
      </c>
      <c r="S765" s="10">
        <v>139.28919982910156</v>
      </c>
      <c r="V765" s="11">
        <v>45308</v>
      </c>
      <c r="W765" s="12">
        <v>-5.1735050265258042E-3</v>
      </c>
      <c r="X765" s="12">
        <v>-5.6072491399816737E-4</v>
      </c>
      <c r="Y765" s="12">
        <v>-5.357486792473054E-3</v>
      </c>
      <c r="Z765" s="12">
        <v>-5.8351046636442305E-3</v>
      </c>
      <c r="AA765" s="12">
        <v>1.0015931498608133E-3</v>
      </c>
      <c r="AB765" s="12">
        <v>-5.5585630348010673E-3</v>
      </c>
      <c r="AC765" s="12">
        <v>-7.2680253005853457E-3</v>
      </c>
    </row>
    <row r="766" spans="12:29" x14ac:dyDescent="0.2">
      <c r="L766" s="11">
        <v>45308</v>
      </c>
      <c r="M766" s="10">
        <v>55.953544616699219</v>
      </c>
      <c r="N766" s="10">
        <v>88.68194580078125</v>
      </c>
      <c r="O766" s="10">
        <v>158.54415893554688</v>
      </c>
      <c r="P766" s="10">
        <v>180.47966003417969</v>
      </c>
      <c r="Q766" s="10">
        <v>458.45977783203131</v>
      </c>
      <c r="R766" s="10">
        <v>149.23187255859375</v>
      </c>
      <c r="S766" s="10">
        <v>139.4287109375</v>
      </c>
      <c r="V766" s="11">
        <v>45309</v>
      </c>
      <c r="W766" s="12">
        <v>3.2570660171298282E-2</v>
      </c>
      <c r="X766" s="12">
        <v>4.8621378600948173E-3</v>
      </c>
      <c r="Y766" s="12">
        <v>1.9750056542848782E-3</v>
      </c>
      <c r="Z766" s="12">
        <v>1.8803664004478859E-2</v>
      </c>
      <c r="AA766" s="12">
        <v>-5.7650805463140831E-3</v>
      </c>
      <c r="AB766" s="12">
        <v>8.8928103330867536E-3</v>
      </c>
      <c r="AC766" s="12">
        <v>-1.8560323201177731E-3</v>
      </c>
    </row>
    <row r="767" spans="12:29" x14ac:dyDescent="0.2">
      <c r="L767" s="11">
        <v>45309</v>
      </c>
      <c r="M767" s="10">
        <v>57.00567626953125</v>
      </c>
      <c r="N767" s="10">
        <v>88.517349243164062</v>
      </c>
      <c r="O767" s="10">
        <v>158.85728454589844</v>
      </c>
      <c r="P767" s="10">
        <v>186.3580017089844</v>
      </c>
      <c r="Q767" s="10">
        <v>462.53677368164062</v>
      </c>
      <c r="R767" s="10">
        <v>149.95745849609375</v>
      </c>
      <c r="S767" s="10">
        <v>138.62489318847656</v>
      </c>
      <c r="V767" s="11">
        <v>45310</v>
      </c>
      <c r="W767" s="12">
        <v>1.5533001374419264E-2</v>
      </c>
      <c r="X767" s="12">
        <v>2.9151537525087257E-3</v>
      </c>
      <c r="Y767" s="12">
        <v>1.7261956276280799E-2</v>
      </c>
      <c r="Z767" s="12">
        <v>4.1746098154030964E-2</v>
      </c>
      <c r="AA767" s="12">
        <v>-3.8476944378492695E-3</v>
      </c>
      <c r="AB767" s="12">
        <v>1.2466082821091184E-2</v>
      </c>
      <c r="AC767" s="12">
        <v>1.5495409211365718E-3</v>
      </c>
    </row>
    <row r="768" spans="12:29" x14ac:dyDescent="0.2">
      <c r="L768" s="11">
        <v>45310</v>
      </c>
      <c r="M768" s="10">
        <v>59.385440826416016</v>
      </c>
      <c r="N768" s="10">
        <v>88.654510498046875</v>
      </c>
      <c r="O768" s="10">
        <v>161.59947204589844</v>
      </c>
      <c r="P768" s="10">
        <v>189.25270080566409</v>
      </c>
      <c r="Q768" s="10">
        <v>468.30279541015625</v>
      </c>
      <c r="R768" s="10">
        <v>150.39460754394531</v>
      </c>
      <c r="S768" s="10">
        <v>138.09150695800781</v>
      </c>
      <c r="V768" s="11">
        <v>45313</v>
      </c>
      <c r="W768" s="12">
        <v>1.2163238090553863E-2</v>
      </c>
      <c r="X768" s="12">
        <v>4.8863357007287167E-3</v>
      </c>
      <c r="Y768" s="12">
        <v>-1.1743451706105468E-3</v>
      </c>
      <c r="Z768" s="12">
        <v>2.7399324633048394E-3</v>
      </c>
      <c r="AA768" s="12">
        <v>1.9650904727255281E-3</v>
      </c>
      <c r="AB768" s="12">
        <v>2.1143869939459492E-3</v>
      </c>
      <c r="AC768" s="12">
        <v>-1.3409495458052145E-3</v>
      </c>
    </row>
    <row r="769" spans="12:29" x14ac:dyDescent="0.2">
      <c r="L769" s="11">
        <v>45313</v>
      </c>
      <c r="M769" s="10">
        <v>59.548152923583984</v>
      </c>
      <c r="N769" s="10">
        <v>88.535629272460938</v>
      </c>
      <c r="O769" s="10">
        <v>161.40969848632812</v>
      </c>
      <c r="P769" s="10">
        <v>191.55462646484375</v>
      </c>
      <c r="Q769" s="10">
        <v>469.29296875</v>
      </c>
      <c r="R769" s="10">
        <v>151.12948608398438</v>
      </c>
      <c r="S769" s="10">
        <v>138.36286926269531</v>
      </c>
      <c r="V769" s="11">
        <v>45314</v>
      </c>
      <c r="W769" s="12">
        <v>6.6533245433784138E-3</v>
      </c>
      <c r="X769" s="12">
        <v>-1.6372182041516359E-2</v>
      </c>
      <c r="Y769" s="12">
        <v>-6.5839514788319509E-3</v>
      </c>
      <c r="Z769" s="12">
        <v>3.6711914671638812E-3</v>
      </c>
      <c r="AA769" s="12">
        <v>4.1390536945828504E-2</v>
      </c>
      <c r="AB769" s="12">
        <v>2.9164134877099901E-3</v>
      </c>
      <c r="AC769" s="12">
        <v>1.1257833355249991E-2</v>
      </c>
    </row>
    <row r="770" spans="12:29" x14ac:dyDescent="0.2">
      <c r="L770" s="11">
        <v>45314</v>
      </c>
      <c r="M770" s="10">
        <v>59.766765594482422</v>
      </c>
      <c r="N770" s="10">
        <v>89.5323486328125</v>
      </c>
      <c r="O770" s="10">
        <v>160.34698486328125</v>
      </c>
      <c r="P770" s="10">
        <v>192.8291015625</v>
      </c>
      <c r="Q770" s="10">
        <v>470.66162109375</v>
      </c>
      <c r="R770" s="10">
        <v>148.65516662597656</v>
      </c>
      <c r="S770" s="10">
        <v>144.08978271484375</v>
      </c>
      <c r="V770" s="11">
        <v>45315</v>
      </c>
      <c r="W770" s="12">
        <v>-3.4839072557569795E-3</v>
      </c>
      <c r="X770" s="12">
        <v>-5.3188863164777E-3</v>
      </c>
      <c r="Y770" s="12">
        <v>8.9355283817862396E-3</v>
      </c>
      <c r="Z770" s="12">
        <v>2.4869189396469649E-2</v>
      </c>
      <c r="AA770" s="12">
        <v>-1.2079760518509453E-2</v>
      </c>
      <c r="AB770" s="12">
        <v>1.0932628914375186E-3</v>
      </c>
      <c r="AC770" s="12">
        <v>1.7260828632938097E-2</v>
      </c>
    </row>
    <row r="771" spans="12:29" x14ac:dyDescent="0.2">
      <c r="L771" s="11">
        <v>45315</v>
      </c>
      <c r="M771" s="10">
        <v>61.253116607666016</v>
      </c>
      <c r="N771" s="10">
        <v>91.077751159667955</v>
      </c>
      <c r="O771" s="10">
        <v>161.77976989746094</v>
      </c>
      <c r="P771" s="10">
        <v>192.15730285644531</v>
      </c>
      <c r="Q771" s="10">
        <v>471.17617797851562</v>
      </c>
      <c r="R771" s="10">
        <v>147.86448669433594</v>
      </c>
      <c r="S771" s="10">
        <v>142.34921264648438</v>
      </c>
      <c r="V771" s="11">
        <v>45316</v>
      </c>
      <c r="W771" s="12">
        <v>-1.696785913627652E-3</v>
      </c>
      <c r="X771" s="12">
        <v>3.7744388881131297E-3</v>
      </c>
      <c r="Y771" s="12">
        <v>1.4310912086971994E-2</v>
      </c>
      <c r="Z771" s="12">
        <v>4.1559089892551082E-3</v>
      </c>
      <c r="AA771" s="12">
        <v>2.3008580342712026E-2</v>
      </c>
      <c r="AB771" s="12">
        <v>5.4389063480744237E-3</v>
      </c>
      <c r="AC771" s="12">
        <v>2.5401702817693383E-2</v>
      </c>
    </row>
    <row r="772" spans="12:29" x14ac:dyDescent="0.2">
      <c r="L772" s="11">
        <v>45316</v>
      </c>
      <c r="M772" s="10">
        <v>61.507678985595703</v>
      </c>
      <c r="N772" s="10">
        <v>93.391281127929673</v>
      </c>
      <c r="O772" s="10">
        <v>164.09498596191406</v>
      </c>
      <c r="P772" s="10">
        <v>191.83125305175781</v>
      </c>
      <c r="Q772" s="10">
        <v>473.73886108398438</v>
      </c>
      <c r="R772" s="10">
        <v>148.42259216308594</v>
      </c>
      <c r="S772" s="10">
        <v>145.62446594238281</v>
      </c>
      <c r="V772" s="11">
        <v>45317</v>
      </c>
      <c r="W772" s="12">
        <v>-9.0126729925970039E-3</v>
      </c>
      <c r="X772" s="12">
        <v>-3.7606572946313754E-4</v>
      </c>
      <c r="Y772" s="12">
        <v>-3.8163946145708394E-3</v>
      </c>
      <c r="Z772" s="12">
        <v>-9.5105585390206082E-3</v>
      </c>
      <c r="AA772" s="12">
        <v>3.3410714669290797E-3</v>
      </c>
      <c r="AB772" s="12">
        <v>-1.2704629601297812E-3</v>
      </c>
      <c r="AC772" s="12">
        <v>8.5185159164520297E-3</v>
      </c>
    </row>
    <row r="773" spans="12:29" x14ac:dyDescent="0.2">
      <c r="L773" s="11">
        <v>45317</v>
      </c>
      <c r="M773" s="10">
        <v>60.922706604003906</v>
      </c>
      <c r="N773" s="10">
        <v>94.186836242675781</v>
      </c>
      <c r="O773" s="10">
        <v>163.46873474121094</v>
      </c>
      <c r="P773" s="10">
        <v>190.10234069824219</v>
      </c>
      <c r="Q773" s="10">
        <v>473.13699340820312</v>
      </c>
      <c r="R773" s="10">
        <v>148.36677551269531</v>
      </c>
      <c r="S773" s="10">
        <v>146.11100769042969</v>
      </c>
      <c r="V773" s="11">
        <v>45320</v>
      </c>
      <c r="W773" s="12">
        <v>-3.5860522097801439E-3</v>
      </c>
      <c r="X773" s="12">
        <v>-8.7747400205584469E-4</v>
      </c>
      <c r="Y773" s="12">
        <v>2.6118522140257117E-3</v>
      </c>
      <c r="Z773" s="12">
        <v>2.3496351590762021E-2</v>
      </c>
      <c r="AA773" s="12">
        <v>1.2824354074991717E-4</v>
      </c>
      <c r="AB773" s="12">
        <v>7.9193728125055429E-3</v>
      </c>
      <c r="AC773" s="12">
        <v>1.2621851452747634E-3</v>
      </c>
    </row>
    <row r="774" spans="12:29" x14ac:dyDescent="0.2">
      <c r="L774" s="11">
        <v>45320</v>
      </c>
      <c r="M774" s="10">
        <v>62.354167938232422</v>
      </c>
      <c r="N774" s="10">
        <v>94.305717468261719</v>
      </c>
      <c r="O774" s="10">
        <v>163.89569091796875</v>
      </c>
      <c r="P774" s="10">
        <v>189.42062377929688</v>
      </c>
      <c r="Q774" s="10">
        <v>476.88394165039062</v>
      </c>
      <c r="R774" s="10">
        <v>148.23658752441406</v>
      </c>
      <c r="S774" s="10">
        <v>146.12974548339844</v>
      </c>
      <c r="V774" s="11">
        <v>45321</v>
      </c>
      <c r="W774" s="12">
        <v>-1.9245650228333355E-2</v>
      </c>
      <c r="X774" s="12">
        <v>-3.7025855205128355E-3</v>
      </c>
      <c r="Y774" s="12">
        <v>2.049470313380386E-2</v>
      </c>
      <c r="Z774" s="12">
        <v>4.9466617389903877E-3</v>
      </c>
      <c r="AA774" s="12">
        <v>8.5168688070775822E-3</v>
      </c>
      <c r="AB774" s="12">
        <v>-7.7336412369910512E-4</v>
      </c>
      <c r="AC774" s="12">
        <v>1.6677913206377015E-2</v>
      </c>
    </row>
    <row r="775" spans="12:29" x14ac:dyDescent="0.2">
      <c r="L775" s="11">
        <v>45321</v>
      </c>
      <c r="M775" s="10">
        <v>62.662612915039062</v>
      </c>
      <c r="N775" s="10">
        <v>95.8785400390625</v>
      </c>
      <c r="O775" s="10">
        <v>167.25468444824219</v>
      </c>
      <c r="P775" s="10">
        <v>185.77510070800781</v>
      </c>
      <c r="Q775" s="10">
        <v>476.51513671875</v>
      </c>
      <c r="R775" s="10">
        <v>147.68772888183594</v>
      </c>
      <c r="S775" s="10">
        <v>147.37431335449219</v>
      </c>
      <c r="V775" s="11">
        <v>45322</v>
      </c>
      <c r="W775" s="12">
        <v>-1.9357686437824762E-2</v>
      </c>
      <c r="X775" s="12">
        <v>8.1889783955002571E-4</v>
      </c>
      <c r="Y775" s="12">
        <v>-1.0835854422183377E-2</v>
      </c>
      <c r="Z775" s="12">
        <v>-1.9864819486993923E-2</v>
      </c>
      <c r="AA775" s="12">
        <v>-2.2223319721239587E-3</v>
      </c>
      <c r="AB775" s="12">
        <v>-1.6317387588725474E-2</v>
      </c>
      <c r="AC775" s="12">
        <v>-1.9456366328553409E-2</v>
      </c>
    </row>
    <row r="776" spans="12:29" x14ac:dyDescent="0.2">
      <c r="L776" s="11">
        <v>45322</v>
      </c>
      <c r="M776" s="10">
        <v>61.417831420898438</v>
      </c>
      <c r="N776" s="10">
        <v>94.013092041015625</v>
      </c>
      <c r="O776" s="10">
        <v>165.44233703613281</v>
      </c>
      <c r="P776" s="10">
        <v>182.17892456054688</v>
      </c>
      <c r="Q776" s="10">
        <v>468.73965454101562</v>
      </c>
      <c r="R776" s="10">
        <v>147.80867004394531</v>
      </c>
      <c r="S776" s="10">
        <v>147.04679870605469</v>
      </c>
      <c r="V776" s="11">
        <v>45323</v>
      </c>
      <c r="W776" s="12">
        <v>1.3340672693943567E-2</v>
      </c>
      <c r="X776" s="12">
        <v>-3.398236505409602E-3</v>
      </c>
      <c r="Y776" s="12">
        <v>-3.6132125006306248E-3</v>
      </c>
      <c r="Z776" s="12">
        <v>2.4379459384523905E-2</v>
      </c>
      <c r="AA776" s="12">
        <v>1.2982238299844351E-2</v>
      </c>
      <c r="AB776" s="12">
        <v>1.3088114379607774E-2</v>
      </c>
      <c r="AC776" s="12">
        <v>-4.0850529812008762E-3</v>
      </c>
    </row>
    <row r="777" spans="12:29" x14ac:dyDescent="0.2">
      <c r="L777" s="11">
        <v>45323</v>
      </c>
      <c r="M777" s="10">
        <v>62.915164947509766</v>
      </c>
      <c r="N777" s="10">
        <v>93.629043579101562</v>
      </c>
      <c r="O777" s="10">
        <v>164.84455871582031</v>
      </c>
      <c r="P777" s="10">
        <v>184.60931396484375</v>
      </c>
      <c r="Q777" s="10">
        <v>474.87457275390625</v>
      </c>
      <c r="R777" s="10">
        <v>147.30638122558594</v>
      </c>
      <c r="S777" s="10">
        <v>148.95579528808594</v>
      </c>
      <c r="V777" s="11">
        <v>45324</v>
      </c>
      <c r="W777" s="12">
        <v>-5.4050251947422856E-3</v>
      </c>
      <c r="X777" s="12">
        <v>-1.1050903829147862E-2</v>
      </c>
      <c r="Y777" s="12">
        <v>5.7559514712837156E-3</v>
      </c>
      <c r="Z777" s="12">
        <v>4.970892508279201E-2</v>
      </c>
      <c r="AA777" s="12">
        <v>-6.8476978051656978E-3</v>
      </c>
      <c r="AB777" s="12">
        <v>1.052742519772587E-2</v>
      </c>
      <c r="AC777" s="12">
        <v>-4.1018905739877987E-3</v>
      </c>
    </row>
    <row r="778" spans="12:29" x14ac:dyDescent="0.2">
      <c r="L778" s="11">
        <v>45324</v>
      </c>
      <c r="M778" s="10">
        <v>66.042610168457031</v>
      </c>
      <c r="N778" s="10">
        <v>93.244987487792955</v>
      </c>
      <c r="O778" s="10">
        <v>165.79339599609375</v>
      </c>
      <c r="P778" s="10">
        <v>183.61149597167969</v>
      </c>
      <c r="Q778" s="10">
        <v>479.873779296875</v>
      </c>
      <c r="R778" s="10">
        <v>145.67851257324219</v>
      </c>
      <c r="S778" s="10">
        <v>147.935791015625</v>
      </c>
      <c r="V778" s="11">
        <v>45327</v>
      </c>
      <c r="W778" s="12">
        <v>9.8463720636046137E-3</v>
      </c>
      <c r="X778" s="12">
        <v>-5.1718898980400718E-3</v>
      </c>
      <c r="Y778" s="12">
        <v>-1.3160079356226984E-3</v>
      </c>
      <c r="Z778" s="12">
        <v>4.7944413439541478E-2</v>
      </c>
      <c r="AA778" s="12">
        <v>7.5904166219697977E-4</v>
      </c>
      <c r="AB778" s="12">
        <v>-3.6411959321578369E-3</v>
      </c>
      <c r="AC778" s="12">
        <v>-4.1189490228406012E-3</v>
      </c>
    </row>
    <row r="779" spans="12:29" x14ac:dyDescent="0.2">
      <c r="L779" s="11">
        <v>45327</v>
      </c>
      <c r="M779" s="10">
        <v>69.208984375</v>
      </c>
      <c r="N779" s="10">
        <v>92.860916137695327</v>
      </c>
      <c r="O779" s="10">
        <v>165.57521057128906</v>
      </c>
      <c r="P779" s="10">
        <v>185.41940307617188</v>
      </c>
      <c r="Q779" s="10">
        <v>478.12646484375</v>
      </c>
      <c r="R779" s="10">
        <v>144.92507934570312</v>
      </c>
      <c r="S779" s="10">
        <v>148.04808044433594</v>
      </c>
      <c r="V779" s="11">
        <v>45328</v>
      </c>
      <c r="W779" s="12">
        <v>8.631917025890834E-3</v>
      </c>
      <c r="X779" s="12">
        <v>1.4505659725768449E-2</v>
      </c>
      <c r="Y779" s="12">
        <v>3.4383493637579754E-3</v>
      </c>
      <c r="Z779" s="12">
        <v>-1.5995616974742499E-2</v>
      </c>
      <c r="AA779" s="12">
        <v>4.7406441178590164E-3</v>
      </c>
      <c r="AB779" s="12">
        <v>2.9033178002926263E-3</v>
      </c>
      <c r="AC779" s="12">
        <v>6.8930069722084042E-3</v>
      </c>
    </row>
    <row r="780" spans="12:29" x14ac:dyDescent="0.2">
      <c r="L780" s="11">
        <v>45328</v>
      </c>
      <c r="M780" s="10">
        <v>68.101943969726562</v>
      </c>
      <c r="N780" s="10">
        <v>93.501007080078125</v>
      </c>
      <c r="O780" s="10">
        <v>166.14451599121094</v>
      </c>
      <c r="P780" s="10">
        <v>187.0199279785156</v>
      </c>
      <c r="Q780" s="10">
        <v>479.51461791992188</v>
      </c>
      <c r="R780" s="10">
        <v>147.02731323242188</v>
      </c>
      <c r="S780" s="10">
        <v>148.74992370605469</v>
      </c>
      <c r="V780" s="11">
        <v>45329</v>
      </c>
      <c r="W780" s="12">
        <v>5.8124080388788357E-4</v>
      </c>
      <c r="X780" s="12">
        <v>-5.0614482861544019E-4</v>
      </c>
      <c r="Y780" s="12">
        <v>1.8843825937711056E-3</v>
      </c>
      <c r="Z780" s="12">
        <v>2.749808486378047E-2</v>
      </c>
      <c r="AA780" s="12">
        <v>1.0064138237007025E-3</v>
      </c>
      <c r="AB780" s="12">
        <v>8.340368497273154E-3</v>
      </c>
      <c r="AC780" s="12">
        <v>-2.9325934341906112E-4</v>
      </c>
    </row>
    <row r="781" spans="12:29" x14ac:dyDescent="0.2">
      <c r="L781" s="11">
        <v>45329</v>
      </c>
      <c r="M781" s="10">
        <v>69.974617004394531</v>
      </c>
      <c r="N781" s="10">
        <v>93.473587036132798</v>
      </c>
      <c r="O781" s="10">
        <v>166.45759582519531</v>
      </c>
      <c r="P781" s="10">
        <v>187.12863159179688</v>
      </c>
      <c r="Q781" s="10">
        <v>483.51394653320312</v>
      </c>
      <c r="R781" s="10">
        <v>146.95289611816406</v>
      </c>
      <c r="S781" s="10">
        <v>148.89962768554688</v>
      </c>
      <c r="V781" s="11">
        <v>45330</v>
      </c>
      <c r="W781" s="12">
        <v>-5.7548063539257788E-3</v>
      </c>
      <c r="X781" s="12">
        <v>-1.000134465753022E-2</v>
      </c>
      <c r="Y781" s="12">
        <v>-3.5911747814756367E-3</v>
      </c>
      <c r="Z781" s="12">
        <v>-6.5336758793040906E-3</v>
      </c>
      <c r="AA781" s="12">
        <v>-3.0166158278205346E-3</v>
      </c>
      <c r="AB781" s="12">
        <v>4.4168738719951861E-4</v>
      </c>
      <c r="AC781" s="12">
        <v>1.7119975317852143E-2</v>
      </c>
    </row>
    <row r="782" spans="12:29" x14ac:dyDescent="0.2">
      <c r="L782" s="11">
        <v>45330</v>
      </c>
      <c r="M782" s="10">
        <v>69.517425537109375</v>
      </c>
      <c r="N782" s="10">
        <v>95.0738525390625</v>
      </c>
      <c r="O782" s="10">
        <v>165.85981750488281</v>
      </c>
      <c r="P782" s="10">
        <v>186.05174255371097</v>
      </c>
      <c r="Q782" s="10">
        <v>483.72750854492188</v>
      </c>
      <c r="R782" s="10">
        <v>145.48316955566406</v>
      </c>
      <c r="S782" s="10">
        <v>148.45045471191406</v>
      </c>
      <c r="V782" s="11">
        <v>45331</v>
      </c>
      <c r="W782" s="12">
        <v>4.0939591425861455E-3</v>
      </c>
      <c r="X782" s="12">
        <v>2.3018789360824687E-3</v>
      </c>
      <c r="Y782" s="12">
        <v>1.2014032655096596E-3</v>
      </c>
      <c r="Z782" s="12">
        <v>3.5783756162895752E-2</v>
      </c>
      <c r="AA782" s="12">
        <v>-7.6905294757889653E-3</v>
      </c>
      <c r="AB782" s="12">
        <v>5.7793359482618545E-3</v>
      </c>
      <c r="AC782" s="12">
        <v>-2.1160099249529774E-2</v>
      </c>
    </row>
    <row r="783" spans="12:29" x14ac:dyDescent="0.2">
      <c r="L783" s="11">
        <v>45331</v>
      </c>
      <c r="M783" s="10">
        <v>72.005020141601562</v>
      </c>
      <c r="N783" s="10">
        <v>93.062080383300781</v>
      </c>
      <c r="O783" s="10">
        <v>166.05908203125</v>
      </c>
      <c r="P783" s="10">
        <v>186.81343078613281</v>
      </c>
      <c r="Q783" s="10">
        <v>486.52313232421869</v>
      </c>
      <c r="R783" s="10">
        <v>145.81805419921875</v>
      </c>
      <c r="S783" s="10">
        <v>147.30879211425781</v>
      </c>
      <c r="V783" s="11">
        <v>45334</v>
      </c>
      <c r="W783" s="12">
        <v>-9.0020383067719312E-3</v>
      </c>
      <c r="X783" s="12">
        <v>6.9532954694333515E-3</v>
      </c>
      <c r="Y783" s="12">
        <v>4.4570134582417875E-3</v>
      </c>
      <c r="Z783" s="12">
        <v>1.5941144172577637E-3</v>
      </c>
      <c r="AA783" s="12">
        <v>-1.968918883504478E-3</v>
      </c>
      <c r="AB783" s="12">
        <v>-4.3883006249367806E-4</v>
      </c>
      <c r="AC783" s="12">
        <v>1.3756459856435255E-2</v>
      </c>
    </row>
    <row r="784" spans="12:29" x14ac:dyDescent="0.2">
      <c r="L784" s="11">
        <v>45334</v>
      </c>
      <c r="M784" s="10">
        <v>72.119804382324219</v>
      </c>
      <c r="N784" s="10">
        <v>94.34228515625</v>
      </c>
      <c r="O784" s="10">
        <v>166.79920959472656</v>
      </c>
      <c r="P784" s="10">
        <v>185.13172912597656</v>
      </c>
      <c r="Q784" s="10">
        <v>486.30963134765625</v>
      </c>
      <c r="R784" s="10">
        <v>146.83197021484375</v>
      </c>
      <c r="S784" s="10">
        <v>147.01875305175781</v>
      </c>
      <c r="V784" s="11">
        <v>45335</v>
      </c>
      <c r="W784" s="12">
        <v>-1.127432076027346E-2</v>
      </c>
      <c r="X784" s="12">
        <v>-8.7424839807207499E-3</v>
      </c>
      <c r="Y784" s="12">
        <v>-8.7037716191216141E-3</v>
      </c>
      <c r="Z784" s="12">
        <v>-1.6607624739405358E-3</v>
      </c>
      <c r="AA784" s="12">
        <v>-5.346641174938771E-3</v>
      </c>
      <c r="AB784" s="12">
        <v>-1.377311411314952E-2</v>
      </c>
      <c r="AC784" s="12">
        <v>-8.6089412979457602E-3</v>
      </c>
    </row>
    <row r="785" spans="12:29" x14ac:dyDescent="0.2">
      <c r="L785" s="11">
        <v>45335</v>
      </c>
      <c r="M785" s="10">
        <v>72.000030517578125</v>
      </c>
      <c r="N785" s="10">
        <v>93.530097961425781</v>
      </c>
      <c r="O785" s="10">
        <v>165.34742736816406</v>
      </c>
      <c r="P785" s="10">
        <v>183.04449462890625</v>
      </c>
      <c r="Q785" s="10">
        <v>479.61163330078131</v>
      </c>
      <c r="R785" s="10">
        <v>145.54829406738281</v>
      </c>
      <c r="S785" s="10">
        <v>146.23269653320312</v>
      </c>
      <c r="V785" s="11">
        <v>45336</v>
      </c>
      <c r="W785" s="12">
        <v>-4.8097683195170715E-3</v>
      </c>
      <c r="X785" s="12">
        <v>-4.6653337740664158E-3</v>
      </c>
      <c r="Y785" s="12">
        <v>1.0157426827038796E-2</v>
      </c>
      <c r="Z785" s="12">
        <v>2.4567487688069711E-2</v>
      </c>
      <c r="AA785" s="12">
        <v>-4.0954740363287057E-3</v>
      </c>
      <c r="AB785" s="12">
        <v>9.0876674433315596E-3</v>
      </c>
      <c r="AC785" s="12">
        <v>-4.9338548582829045E-3</v>
      </c>
    </row>
    <row r="786" spans="12:29" x14ac:dyDescent="0.2">
      <c r="L786" s="11">
        <v>45336</v>
      </c>
      <c r="M786" s="10">
        <v>73.768890380859375</v>
      </c>
      <c r="N786" s="10">
        <v>93.068634033203125</v>
      </c>
      <c r="O786" s="10">
        <v>167.02693176269531</v>
      </c>
      <c r="P786" s="10">
        <v>182.16409301757812</v>
      </c>
      <c r="Q786" s="10">
        <v>483.97018432617188</v>
      </c>
      <c r="R786" s="10">
        <v>144.8692626953125</v>
      </c>
      <c r="S786" s="10">
        <v>145.63380432128906</v>
      </c>
      <c r="V786" s="11">
        <v>45337</v>
      </c>
      <c r="W786" s="12">
        <v>-1.5746790206249139E-3</v>
      </c>
      <c r="X786" s="12">
        <v>1.3997669302113547E-2</v>
      </c>
      <c r="Y786" s="12">
        <v>2.1814357520826499E-2</v>
      </c>
      <c r="Z786" s="12">
        <v>-1.6806639255454225E-2</v>
      </c>
      <c r="AA786" s="12">
        <v>8.8669028924932558E-3</v>
      </c>
      <c r="AB786" s="12">
        <v>6.8997306531699554E-3</v>
      </c>
      <c r="AC786" s="12">
        <v>2.8659466113252208E-2</v>
      </c>
    </row>
    <row r="787" spans="12:29" x14ac:dyDescent="0.2">
      <c r="L787" s="11">
        <v>45337</v>
      </c>
      <c r="M787" s="10">
        <v>72.529083251953125</v>
      </c>
      <c r="N787" s="10">
        <v>95.735931396484375</v>
      </c>
      <c r="O787" s="10">
        <v>170.67051696777344</v>
      </c>
      <c r="P787" s="10">
        <v>181.87724304199219</v>
      </c>
      <c r="Q787" s="10">
        <v>487.3094482421875</v>
      </c>
      <c r="R787" s="10">
        <v>146.8970947265625</v>
      </c>
      <c r="S787" s="10">
        <v>146.92512512207031</v>
      </c>
      <c r="V787" s="11">
        <v>45338</v>
      </c>
      <c r="W787" s="12">
        <v>-8.4302983336475013E-3</v>
      </c>
      <c r="X787" s="12">
        <v>-1.1486387104333584E-3</v>
      </c>
      <c r="Y787" s="12">
        <v>-4.6700675713672313E-3</v>
      </c>
      <c r="Z787" s="12">
        <v>-6.1936361230363612E-4</v>
      </c>
      <c r="AA787" s="12">
        <v>3.1846885698603167E-3</v>
      </c>
      <c r="AB787" s="12">
        <v>-4.9799738930406123E-3</v>
      </c>
      <c r="AC787" s="12">
        <v>0</v>
      </c>
    </row>
    <row r="788" spans="12:29" x14ac:dyDescent="0.2">
      <c r="L788" s="11">
        <v>45338</v>
      </c>
      <c r="M788" s="10">
        <v>72.484161376953125</v>
      </c>
      <c r="N788" s="10">
        <v>95.735931396484375</v>
      </c>
      <c r="O788" s="10">
        <v>169.87347412109375</v>
      </c>
      <c r="P788" s="10">
        <v>180.34396362304688</v>
      </c>
      <c r="Q788" s="10">
        <v>484.88265991210938</v>
      </c>
      <c r="R788" s="10">
        <v>146.72836303710938</v>
      </c>
      <c r="S788" s="10">
        <v>147.39303588867188</v>
      </c>
      <c r="V788" s="11">
        <v>45342</v>
      </c>
      <c r="W788" s="12">
        <v>-4.1138767657763475E-3</v>
      </c>
      <c r="X788" s="12">
        <v>8.3678331612242474E-3</v>
      </c>
      <c r="Y788" s="12">
        <v>3.9099678895604395E-3</v>
      </c>
      <c r="Z788" s="12">
        <v>-4.3532101613322216E-2</v>
      </c>
      <c r="AA788" s="12">
        <v>6.3489500028468537E-3</v>
      </c>
      <c r="AB788" s="12">
        <v>-5.505381676902954E-3</v>
      </c>
      <c r="AC788" s="12">
        <v>-9.4476542639242433E-3</v>
      </c>
    </row>
    <row r="789" spans="12:29" x14ac:dyDescent="0.2">
      <c r="L789" s="11">
        <v>45342</v>
      </c>
      <c r="M789" s="10">
        <v>69.328773498535156</v>
      </c>
      <c r="N789" s="10">
        <v>94.831451416015625</v>
      </c>
      <c r="O789" s="10">
        <v>170.53767395019531</v>
      </c>
      <c r="P789" s="10">
        <v>179.60205078125</v>
      </c>
      <c r="Q789" s="10">
        <v>482.21319580078131</v>
      </c>
      <c r="R789" s="10">
        <v>147.95616149902344</v>
      </c>
      <c r="S789" s="10">
        <v>148.32882690429688</v>
      </c>
      <c r="V789" s="11">
        <v>45343</v>
      </c>
      <c r="W789" s="12">
        <v>4.1859240127777309E-3</v>
      </c>
      <c r="X789" s="12">
        <v>5.1945788435052709E-3</v>
      </c>
      <c r="Y789" s="12">
        <v>6.5099030032773619E-3</v>
      </c>
      <c r="Z789" s="12">
        <v>-2.8508997573582939E-2</v>
      </c>
      <c r="AA789" s="12">
        <v>1.1923408564534999E-2</v>
      </c>
      <c r="AB789" s="12">
        <v>9.0588274457270579E-4</v>
      </c>
      <c r="AC789" s="12">
        <v>2.0437823840032898E-2</v>
      </c>
    </row>
    <row r="790" spans="12:29" x14ac:dyDescent="0.2">
      <c r="L790" s="11">
        <v>45343</v>
      </c>
      <c r="M790" s="10">
        <v>67.352279663085938</v>
      </c>
      <c r="N790" s="10">
        <v>96.769599914550781</v>
      </c>
      <c r="O790" s="10">
        <v>171.64785766601562</v>
      </c>
      <c r="P790" s="10">
        <v>180.35385131835935</v>
      </c>
      <c r="Q790" s="10">
        <v>482.6500244140625</v>
      </c>
      <c r="R790" s="10">
        <v>148.7247314453125</v>
      </c>
      <c r="S790" s="10">
        <v>150.097412109375</v>
      </c>
      <c r="V790" s="11">
        <v>45344</v>
      </c>
      <c r="W790" s="12">
        <v>1.1243968740243915E-2</v>
      </c>
      <c r="X790" s="12">
        <v>1.1154505303471174E-2</v>
      </c>
      <c r="Y790" s="12">
        <v>1.1995611387705774E-2</v>
      </c>
      <c r="Z790" s="12">
        <v>0.16400898595581914</v>
      </c>
      <c r="AA790" s="12">
        <v>9.9737881811789997E-4</v>
      </c>
      <c r="AB790" s="12">
        <v>2.0695488393773331E-2</v>
      </c>
      <c r="AC790" s="12">
        <v>-8.5826115784837231E-4</v>
      </c>
    </row>
    <row r="791" spans="12:29" x14ac:dyDescent="0.2">
      <c r="L791" s="11">
        <v>45344</v>
      </c>
      <c r="M791" s="10">
        <v>78.398658752441406</v>
      </c>
      <c r="N791" s="10">
        <v>96.686546325683594</v>
      </c>
      <c r="O791" s="10">
        <v>173.70687866210938</v>
      </c>
      <c r="P791" s="10">
        <v>182.3817443847656</v>
      </c>
      <c r="Q791" s="10">
        <v>492.63870239257812</v>
      </c>
      <c r="R791" s="10">
        <v>150.38368225097656</v>
      </c>
      <c r="S791" s="10">
        <v>150.24711608886719</v>
      </c>
      <c r="V791" s="11">
        <v>45345</v>
      </c>
      <c r="W791" s="12">
        <v>-1.0034243681484201E-2</v>
      </c>
      <c r="X791" s="12">
        <v>8.6631434385413542E-3</v>
      </c>
      <c r="Y791" s="12">
        <v>5.0252748274033365E-3</v>
      </c>
      <c r="Z791" s="12">
        <v>3.5524976038523448E-3</v>
      </c>
      <c r="AA791" s="12">
        <v>2.92750945885345E-3</v>
      </c>
      <c r="AB791" s="12">
        <v>6.8965794935627045E-4</v>
      </c>
      <c r="AC791" s="12">
        <v>-8.7820474226142364E-3</v>
      </c>
    </row>
    <row r="792" spans="12:29" x14ac:dyDescent="0.2">
      <c r="L792" s="11">
        <v>45345</v>
      </c>
      <c r="M792" s="10">
        <v>78.677169799804688</v>
      </c>
      <c r="N792" s="10">
        <v>95.837440490722656</v>
      </c>
      <c r="O792" s="10">
        <v>174.57980346679688</v>
      </c>
      <c r="P792" s="10">
        <v>180.55168151855469</v>
      </c>
      <c r="Q792" s="10">
        <v>492.97845458984375</v>
      </c>
      <c r="R792" s="10">
        <v>151.68647766113281</v>
      </c>
      <c r="S792" s="10">
        <v>150.68696594238281</v>
      </c>
      <c r="V792" s="11">
        <v>45348</v>
      </c>
      <c r="W792" s="12">
        <v>-7.4512566304969496E-3</v>
      </c>
      <c r="X792" s="12">
        <v>-6.4879274313004442E-3</v>
      </c>
      <c r="Y792" s="12">
        <v>-3.4240977962046726E-3</v>
      </c>
      <c r="Z792" s="12">
        <v>3.4888183845931398E-3</v>
      </c>
      <c r="AA792" s="12">
        <v>-5.0301652962441157E-3</v>
      </c>
      <c r="AB792" s="12">
        <v>-3.6625789483393234E-3</v>
      </c>
      <c r="AC792" s="12">
        <v>3.9484604077264507E-3</v>
      </c>
    </row>
    <row r="793" spans="12:29" x14ac:dyDescent="0.2">
      <c r="L793" s="11">
        <v>45348</v>
      </c>
      <c r="M793" s="10">
        <v>78.95166015625</v>
      </c>
      <c r="N793" s="10">
        <v>96.215850830078125</v>
      </c>
      <c r="O793" s="10">
        <v>173.98202514648438</v>
      </c>
      <c r="P793" s="10">
        <v>179.20634460449219</v>
      </c>
      <c r="Q793" s="10">
        <v>491.17288208007812</v>
      </c>
      <c r="R793" s="10">
        <v>150.70234680175781</v>
      </c>
      <c r="S793" s="10">
        <v>149.92898559570312</v>
      </c>
      <c r="V793" s="11">
        <v>45349</v>
      </c>
      <c r="W793" s="12">
        <v>8.1143741985054696E-3</v>
      </c>
      <c r="X793" s="12">
        <v>1.1817024149112232E-3</v>
      </c>
      <c r="Y793" s="12">
        <v>4.9069968425086152E-4</v>
      </c>
      <c r="Z793" s="12">
        <v>-4.9434924517449685E-3</v>
      </c>
      <c r="AA793" s="12">
        <v>-5.7422611982845817E-3</v>
      </c>
      <c r="AB793" s="12">
        <v>1.8576861664170163E-3</v>
      </c>
      <c r="AC793" s="12">
        <v>-2.1103456894361328E-3</v>
      </c>
    </row>
    <row r="794" spans="12:29" x14ac:dyDescent="0.2">
      <c r="L794" s="11">
        <v>45349</v>
      </c>
      <c r="M794" s="10">
        <v>78.561363220214844</v>
      </c>
      <c r="N794" s="10">
        <v>96.012802124023438</v>
      </c>
      <c r="O794" s="10">
        <v>174.06739807128906</v>
      </c>
      <c r="P794" s="10">
        <v>180.66049194335935</v>
      </c>
      <c r="Q794" s="10">
        <v>492.0853271484375</v>
      </c>
      <c r="R794" s="10">
        <v>150.88043212890625</v>
      </c>
      <c r="S794" s="10">
        <v>149.06805419921875</v>
      </c>
      <c r="V794" s="11">
        <v>45350</v>
      </c>
      <c r="W794" s="12">
        <v>-6.6252153969933447E-3</v>
      </c>
      <c r="X794" s="12">
        <v>3.5408217958960986E-3</v>
      </c>
      <c r="Y794" s="12">
        <v>5.0697420448555519E-3</v>
      </c>
      <c r="Z794" s="12">
        <v>-1.3189320004137084E-2</v>
      </c>
      <c r="AA794" s="12">
        <v>4.708104675410496E-3</v>
      </c>
      <c r="AB794" s="12">
        <v>-1.3215789091137742E-3</v>
      </c>
      <c r="AC794" s="12">
        <v>2.7876951096541536E-3</v>
      </c>
    </row>
    <row r="795" spans="12:29" x14ac:dyDescent="0.2">
      <c r="L795" s="11">
        <v>45350</v>
      </c>
      <c r="M795" s="10">
        <v>77.525192260742188</v>
      </c>
      <c r="N795" s="10">
        <v>96.280456542968764</v>
      </c>
      <c r="O795" s="10">
        <v>174.94987487792969</v>
      </c>
      <c r="P795" s="10">
        <v>179.46357727050781</v>
      </c>
      <c r="Q795" s="10">
        <v>491.43499755859375</v>
      </c>
      <c r="R795" s="10">
        <v>151.4146728515625</v>
      </c>
      <c r="S795" s="10">
        <v>149.76988220214844</v>
      </c>
      <c r="V795" s="11">
        <v>45351</v>
      </c>
      <c r="W795" s="12">
        <v>-3.6932913596045003E-3</v>
      </c>
      <c r="X795" s="12">
        <v>-1.0522908539175591E-3</v>
      </c>
      <c r="Y795" s="12">
        <v>9.1114965180369989E-3</v>
      </c>
      <c r="Z795" s="12">
        <v>1.8657698332766204E-2</v>
      </c>
      <c r="AA795" s="12">
        <v>-6.9351795901896329E-3</v>
      </c>
      <c r="AB795" s="12">
        <v>3.5949680507312287E-3</v>
      </c>
      <c r="AC795" s="12">
        <v>1.9171655174552438E-3</v>
      </c>
    </row>
    <row r="796" spans="12:29" x14ac:dyDescent="0.2">
      <c r="L796" s="11">
        <v>45351</v>
      </c>
      <c r="M796" s="10">
        <v>78.971633911132812</v>
      </c>
      <c r="N796" s="10">
        <v>96.465042114257798</v>
      </c>
      <c r="O796" s="10">
        <v>176.54393005371094</v>
      </c>
      <c r="P796" s="10">
        <v>178.80076599121094</v>
      </c>
      <c r="Q796" s="10">
        <v>493.20169067382812</v>
      </c>
      <c r="R796" s="10">
        <v>151.25534057617188</v>
      </c>
      <c r="S796" s="10">
        <v>148.731201171875</v>
      </c>
      <c r="V796" s="11">
        <v>45352</v>
      </c>
      <c r="W796" s="12">
        <v>-6.0304387642584611E-3</v>
      </c>
      <c r="X796" s="12">
        <v>4.5854446884643352E-3</v>
      </c>
      <c r="Y796" s="12">
        <v>-4.1383811886326338E-3</v>
      </c>
      <c r="Z796" s="12">
        <v>4.0031707173337372E-2</v>
      </c>
      <c r="AA796" s="12">
        <v>-5.6621109876342501E-4</v>
      </c>
      <c r="AB796" s="12">
        <v>9.3882688282509452E-3</v>
      </c>
      <c r="AC796" s="12">
        <v>1.2629127831630171E-2</v>
      </c>
    </row>
    <row r="797" spans="12:29" x14ac:dyDescent="0.2">
      <c r="L797" s="11">
        <v>45352</v>
      </c>
      <c r="M797" s="10">
        <v>82.133003234863281</v>
      </c>
      <c r="N797" s="10">
        <v>97.683311462402344</v>
      </c>
      <c r="O797" s="10">
        <v>175.81332397460938</v>
      </c>
      <c r="P797" s="10">
        <v>177.72251892089844</v>
      </c>
      <c r="Q797" s="10">
        <v>497.83200073242188</v>
      </c>
      <c r="R797" s="10">
        <v>151.94891357421875</v>
      </c>
      <c r="S797" s="10">
        <v>148.64698791503906</v>
      </c>
      <c r="V797" s="11">
        <v>45355</v>
      </c>
      <c r="W797" s="12">
        <v>-2.5381071522370569E-2</v>
      </c>
      <c r="X797" s="12">
        <v>-1.4063693121314835E-2</v>
      </c>
      <c r="Y797" s="12">
        <v>7.5017561899730634E-3</v>
      </c>
      <c r="Z797" s="12">
        <v>3.5950941433603001E-2</v>
      </c>
      <c r="AA797" s="12">
        <v>4.4695351307759701E-3</v>
      </c>
      <c r="AB797" s="12">
        <v>-1.0723989436863812E-3</v>
      </c>
      <c r="AC797" s="12">
        <v>-1.3983234489630125E-2</v>
      </c>
    </row>
    <row r="798" spans="12:29" x14ac:dyDescent="0.2">
      <c r="L798" s="11">
        <v>45355</v>
      </c>
      <c r="M798" s="10">
        <v>85.085762023925781</v>
      </c>
      <c r="N798" s="10">
        <v>96.3173828125</v>
      </c>
      <c r="O798" s="10">
        <v>177.13223266601562</v>
      </c>
      <c r="P798" s="10">
        <v>173.21173095703125</v>
      </c>
      <c r="Q798" s="10">
        <v>497.29812622070312</v>
      </c>
      <c r="R798" s="10">
        <v>149.81195068359375</v>
      </c>
      <c r="S798" s="10">
        <v>149.31137084960938</v>
      </c>
      <c r="V798" s="11">
        <v>45356</v>
      </c>
      <c r="W798" s="12">
        <v>-2.8441002698825657E-2</v>
      </c>
      <c r="X798" s="12">
        <v>8.1339765550803023E-4</v>
      </c>
      <c r="Y798" s="12">
        <v>1.0017368250851311E-2</v>
      </c>
      <c r="Z798" s="12">
        <v>8.576479904120804E-3</v>
      </c>
      <c r="AA798" s="12">
        <v>-1.5040974853018918E-3</v>
      </c>
      <c r="AB798" s="12">
        <v>-9.9941916355256177E-3</v>
      </c>
      <c r="AC798" s="12">
        <v>1.2265107752283733E-2</v>
      </c>
    </row>
    <row r="799" spans="12:29" x14ac:dyDescent="0.2">
      <c r="L799" s="11">
        <v>45356</v>
      </c>
      <c r="M799" s="10">
        <v>85.815498352050781</v>
      </c>
      <c r="N799" s="10">
        <v>97.498725891113281</v>
      </c>
      <c r="O799" s="10">
        <v>178.90663146972656</v>
      </c>
      <c r="P799" s="10">
        <v>168.28541564941406</v>
      </c>
      <c r="Q799" s="10">
        <v>492.32803344726562</v>
      </c>
      <c r="R799" s="10">
        <v>149.93380737304688</v>
      </c>
      <c r="S799" s="10">
        <v>149.0867919921875</v>
      </c>
      <c r="V799" s="11">
        <v>45357</v>
      </c>
      <c r="W799" s="12">
        <v>-5.87836176945844E-3</v>
      </c>
      <c r="X799" s="12">
        <v>-3.9382002678183259E-3</v>
      </c>
      <c r="Y799" s="12">
        <v>5.1972630721566215E-3</v>
      </c>
      <c r="Z799" s="12">
        <v>3.1827143808295322E-2</v>
      </c>
      <c r="AA799" s="12">
        <v>1.5691027487494402E-3</v>
      </c>
      <c r="AB799" s="12">
        <v>5.0672535526654627E-3</v>
      </c>
      <c r="AC799" s="12">
        <v>1.0696785666692188E-2</v>
      </c>
    </row>
    <row r="800" spans="12:29" x14ac:dyDescent="0.2">
      <c r="L800" s="11">
        <v>45357</v>
      </c>
      <c r="M800" s="10">
        <v>88.546760559082031</v>
      </c>
      <c r="N800" s="10">
        <v>98.541648864746094</v>
      </c>
      <c r="O800" s="10">
        <v>179.83645629882812</v>
      </c>
      <c r="P800" s="10">
        <v>167.29617309570312</v>
      </c>
      <c r="Q800" s="10">
        <v>494.82278442382812</v>
      </c>
      <c r="R800" s="10">
        <v>149.34333801269531</v>
      </c>
      <c r="S800" s="10">
        <v>149.32072448730469</v>
      </c>
      <c r="V800" s="11">
        <v>45358</v>
      </c>
      <c r="W800" s="12">
        <v>-7.0932646182630954E-4</v>
      </c>
      <c r="X800" s="12">
        <v>-2.9499257461021999E-3</v>
      </c>
      <c r="Y800" s="12">
        <v>-8.7585342381765185E-3</v>
      </c>
      <c r="Z800" s="12">
        <v>4.4746420407856258E-2</v>
      </c>
      <c r="AA800" s="12">
        <v>6.5799887450115335E-3</v>
      </c>
      <c r="AB800" s="12">
        <v>9.9265138732331781E-3</v>
      </c>
      <c r="AC800" s="12">
        <v>5.6195968876244784E-3</v>
      </c>
    </row>
    <row r="801" spans="12:29" x14ac:dyDescent="0.2">
      <c r="L801" s="11">
        <v>45358</v>
      </c>
      <c r="M801" s="10">
        <v>92.5089111328125</v>
      </c>
      <c r="N801" s="10">
        <v>99.095413208007798</v>
      </c>
      <c r="O801" s="10">
        <v>178.2613525390625</v>
      </c>
      <c r="P801" s="10">
        <v>167.17750549316406</v>
      </c>
      <c r="Q801" s="10">
        <v>499.73464965820312</v>
      </c>
      <c r="R801" s="10">
        <v>148.90278625488281</v>
      </c>
      <c r="S801" s="10">
        <v>150.30325317382812</v>
      </c>
      <c r="V801" s="11">
        <v>45359</v>
      </c>
      <c r="W801" s="12">
        <v>1.0236538490500102E-2</v>
      </c>
      <c r="X801" s="12">
        <v>4.0917178502868357E-3</v>
      </c>
      <c r="Y801" s="12">
        <v>1.8630372720442878E-3</v>
      </c>
      <c r="Z801" s="12">
        <v>-5.547709719687588E-2</v>
      </c>
      <c r="AA801" s="12">
        <v>-1.6807654284540785E-3</v>
      </c>
      <c r="AB801" s="12">
        <v>-6.0022698813854136E-3</v>
      </c>
      <c r="AC801" s="12">
        <v>9.4066858762824612E-3</v>
      </c>
    </row>
    <row r="802" spans="12:29" x14ac:dyDescent="0.2">
      <c r="L802" s="11">
        <v>45359</v>
      </c>
      <c r="M802" s="10">
        <v>87.376785278320312</v>
      </c>
      <c r="N802" s="10">
        <v>100.02757263183594</v>
      </c>
      <c r="O802" s="10">
        <v>178.59346008300781</v>
      </c>
      <c r="P802" s="10">
        <v>168.88882446289062</v>
      </c>
      <c r="Q802" s="10">
        <v>496.735107421875</v>
      </c>
      <c r="R802" s="10">
        <v>149.51205444335938</v>
      </c>
      <c r="S802" s="10">
        <v>150.05062866210938</v>
      </c>
      <c r="V802" s="11">
        <v>45362</v>
      </c>
      <c r="W802" s="12">
        <v>1.1831629397762944E-2</v>
      </c>
      <c r="X802" s="12">
        <v>1.0719583214521711E-2</v>
      </c>
      <c r="Y802" s="12">
        <v>3.7182912503697096E-4</v>
      </c>
      <c r="Z802" s="12">
        <v>-2.0039204900175966E-2</v>
      </c>
      <c r="AA802" s="12">
        <v>7.4837411444990121E-3</v>
      </c>
      <c r="AB802" s="12">
        <v>-8.598013296785556E-4</v>
      </c>
      <c r="AC802" s="12">
        <v>5.9051253415691729E-3</v>
      </c>
    </row>
    <row r="803" spans="12:29" x14ac:dyDescent="0.2">
      <c r="L803" s="11">
        <v>45362</v>
      </c>
      <c r="M803" s="10">
        <v>85.625823974609375</v>
      </c>
      <c r="N803" s="10">
        <v>100.61824798583984</v>
      </c>
      <c r="O803" s="10">
        <v>178.65986633300781</v>
      </c>
      <c r="P803" s="10">
        <v>170.88705444335938</v>
      </c>
      <c r="Q803" s="10">
        <v>496.30801391601562</v>
      </c>
      <c r="R803" s="10">
        <v>151.11476135253906</v>
      </c>
      <c r="S803" s="10">
        <v>151.17356872558594</v>
      </c>
      <c r="V803" s="11">
        <v>45363</v>
      </c>
      <c r="W803" s="12">
        <v>2.7783993469565615E-3</v>
      </c>
      <c r="X803" s="12">
        <v>9.3655175157523196E-3</v>
      </c>
      <c r="Y803" s="12">
        <v>8.2320314727919452E-3</v>
      </c>
      <c r="Z803" s="12">
        <v>7.1571897652958238E-2</v>
      </c>
      <c r="AA803" s="12">
        <v>2.3520004570363184E-3</v>
      </c>
      <c r="AB803" s="12">
        <v>1.0757226471022729E-2</v>
      </c>
      <c r="AC803" s="12">
        <v>-6.4208743626421594E-3</v>
      </c>
    </row>
    <row r="804" spans="12:29" x14ac:dyDescent="0.2">
      <c r="L804" s="11">
        <v>45363</v>
      </c>
      <c r="M804" s="10">
        <v>91.754226684570327</v>
      </c>
      <c r="N804" s="10">
        <v>99.972190856933594</v>
      </c>
      <c r="O804" s="10">
        <v>180.13059997558594</v>
      </c>
      <c r="P804" s="10">
        <v>171.36184692382812</v>
      </c>
      <c r="Q804" s="10">
        <v>501.64691162109375</v>
      </c>
      <c r="R804" s="10">
        <v>152.530029296875</v>
      </c>
      <c r="S804" s="10">
        <v>151.52912902832031</v>
      </c>
      <c r="V804" s="11">
        <v>45364</v>
      </c>
      <c r="W804" s="12">
        <v>-1.2122485723978782E-2</v>
      </c>
      <c r="X804" s="12">
        <v>-1.0077521396113398E-2</v>
      </c>
      <c r="Y804" s="12">
        <v>8.1122137758291579E-3</v>
      </c>
      <c r="Z804" s="12">
        <v>-1.1151873252284061E-2</v>
      </c>
      <c r="AA804" s="12">
        <v>2.2851560120205061E-3</v>
      </c>
      <c r="AB804" s="12">
        <v>-1.5673472009857248E-3</v>
      </c>
      <c r="AC804" s="12">
        <v>1.1170632702346861E-2</v>
      </c>
    </row>
    <row r="805" spans="12:29" x14ac:dyDescent="0.2">
      <c r="L805" s="11">
        <v>45364</v>
      </c>
      <c r="M805" s="10">
        <v>90.730995178222656</v>
      </c>
      <c r="N805" s="10">
        <v>101.08894348144533</v>
      </c>
      <c r="O805" s="10">
        <v>181.59185791015625</v>
      </c>
      <c r="P805" s="10">
        <v>169.28451538085938</v>
      </c>
      <c r="Q805" s="10">
        <v>500.86065673828131</v>
      </c>
      <c r="R805" s="10">
        <v>150.99290466308594</v>
      </c>
      <c r="S805" s="10">
        <v>151.87539672851562</v>
      </c>
      <c r="V805" s="11">
        <v>45365</v>
      </c>
      <c r="W805" s="12">
        <v>1.0927572260535534E-2</v>
      </c>
      <c r="X805" s="12">
        <v>-1.1731629550528755E-2</v>
      </c>
      <c r="Y805" s="12">
        <v>-1.7818123884739245E-2</v>
      </c>
      <c r="Z805" s="12">
        <v>-3.2391566538093164E-2</v>
      </c>
      <c r="AA805" s="12">
        <v>-4.9293169525783664E-3</v>
      </c>
      <c r="AB805" s="12">
        <v>-1.9768218792336478E-3</v>
      </c>
      <c r="AC805" s="12">
        <v>1.7712093573324594E-2</v>
      </c>
    </row>
    <row r="806" spans="12:29" x14ac:dyDescent="0.2">
      <c r="L806" s="11">
        <v>45365</v>
      </c>
      <c r="M806" s="10">
        <v>87.792076110839844</v>
      </c>
      <c r="N806" s="10">
        <v>102.8794403076172</v>
      </c>
      <c r="O806" s="10">
        <v>178.35623168945312</v>
      </c>
      <c r="P806" s="10">
        <v>171.13438415527344</v>
      </c>
      <c r="Q806" s="10">
        <v>499.87054443359375</v>
      </c>
      <c r="R806" s="10">
        <v>149.22151184082031</v>
      </c>
      <c r="S806" s="10">
        <v>151.12675476074219</v>
      </c>
      <c r="V806" s="11">
        <v>45366</v>
      </c>
      <c r="W806" s="12">
        <v>-2.1967884874659616E-3</v>
      </c>
      <c r="X806" s="12">
        <v>-6.4697346386238808E-3</v>
      </c>
      <c r="Y806" s="12">
        <v>1.2395846469178906E-2</v>
      </c>
      <c r="Z806" s="12">
        <v>-1.2166419586961963E-3</v>
      </c>
      <c r="AA806" s="12">
        <v>-7.4311585448783024E-4</v>
      </c>
      <c r="AB806" s="12">
        <v>-6.8665849641978971E-3</v>
      </c>
      <c r="AC806" s="12">
        <v>-1.7942671551445244E-3</v>
      </c>
    </row>
    <row r="807" spans="12:29" x14ac:dyDescent="0.2">
      <c r="L807" s="11">
        <v>45366</v>
      </c>
      <c r="M807" s="10">
        <v>87.685264587402344</v>
      </c>
      <c r="N807" s="10">
        <v>102.69484710693359</v>
      </c>
      <c r="O807" s="10">
        <v>180.56710815429688</v>
      </c>
      <c r="P807" s="10">
        <v>170.75843811035156</v>
      </c>
      <c r="Q807" s="10">
        <v>496.43814086914062</v>
      </c>
      <c r="R807" s="10">
        <v>148.25608825683594</v>
      </c>
      <c r="S807" s="10">
        <v>151.01445007324219</v>
      </c>
      <c r="V807" s="11">
        <v>45369</v>
      </c>
      <c r="W807" s="12">
        <v>6.3725417920483807E-3</v>
      </c>
      <c r="X807" s="12">
        <v>-8.9769456112636092E-3</v>
      </c>
      <c r="Y807" s="12">
        <v>1.2401334297138744E-2</v>
      </c>
      <c r="Z807" s="12">
        <v>7.0358841052482468E-3</v>
      </c>
      <c r="AA807" s="12">
        <v>-1.053058826703368E-3</v>
      </c>
      <c r="AB807" s="12">
        <v>5.9431552345705629E-3</v>
      </c>
      <c r="AC807" s="12">
        <v>9.2568440848683764E-3</v>
      </c>
    </row>
    <row r="808" spans="12:29" x14ac:dyDescent="0.2">
      <c r="L808" s="11">
        <v>45369</v>
      </c>
      <c r="M808" s="10">
        <v>88.302207946777344</v>
      </c>
      <c r="N808" s="10">
        <v>103.64547729492188</v>
      </c>
      <c r="O808" s="10">
        <v>182.80638122558591</v>
      </c>
      <c r="P808" s="10">
        <v>171.84660339355469</v>
      </c>
      <c r="Q808" s="10">
        <v>499.3885498046875</v>
      </c>
      <c r="R808" s="10">
        <v>146.92520141601562</v>
      </c>
      <c r="S808" s="10">
        <v>150.85542297363281</v>
      </c>
      <c r="V808" s="11">
        <v>45370</v>
      </c>
      <c r="W808" s="12">
        <v>1.3584897149644393E-2</v>
      </c>
      <c r="X808" s="12">
        <v>-3.5085040954876412E-3</v>
      </c>
      <c r="Y808" s="12">
        <v>5.8653305286411328E-3</v>
      </c>
      <c r="Z808" s="12">
        <v>1.0660667445600014E-2</v>
      </c>
      <c r="AA808" s="12">
        <v>3.8457644247016365E-3</v>
      </c>
      <c r="AB808" s="12">
        <v>5.5570276248468886E-3</v>
      </c>
      <c r="AC808" s="12">
        <v>7.0345130150708535E-3</v>
      </c>
    </row>
    <row r="809" spans="12:29" x14ac:dyDescent="0.2">
      <c r="L809" s="11">
        <v>45370</v>
      </c>
      <c r="M809" s="10">
        <v>89.243568420410156</v>
      </c>
      <c r="N809" s="10">
        <v>104.37457275390624</v>
      </c>
      <c r="O809" s="10">
        <v>183.87860107421875</v>
      </c>
      <c r="P809" s="10">
        <v>174.18112182617188</v>
      </c>
      <c r="Q809" s="10">
        <v>502.16366577148438</v>
      </c>
      <c r="R809" s="10">
        <v>146.40971374511719</v>
      </c>
      <c r="S809" s="10">
        <v>151.43557739257812</v>
      </c>
      <c r="V809" s="11">
        <v>45371</v>
      </c>
      <c r="W809" s="12">
        <v>1.4709419968263138E-2</v>
      </c>
      <c r="X809" s="12">
        <v>-2.8808433298346259E-3</v>
      </c>
      <c r="Y809" s="12">
        <v>1.3106908264338468E-2</v>
      </c>
      <c r="Z809" s="12">
        <v>1.0895047614699616E-2</v>
      </c>
      <c r="AA809" s="12">
        <v>9.8856544855441264E-4</v>
      </c>
      <c r="AB809" s="12">
        <v>9.249403475524165E-3</v>
      </c>
      <c r="AC809" s="12">
        <v>-8.8409968463321054E-4</v>
      </c>
    </row>
    <row r="810" spans="12:29" x14ac:dyDescent="0.2">
      <c r="L810" s="11">
        <v>45371</v>
      </c>
      <c r="M810" s="10">
        <v>90.215881347656236</v>
      </c>
      <c r="N810" s="10">
        <v>104.28229522705078</v>
      </c>
      <c r="O810" s="10">
        <v>186.28868103027344</v>
      </c>
      <c r="P810" s="10">
        <v>176.74322509765625</v>
      </c>
      <c r="Q810" s="10">
        <v>506.80838012695312</v>
      </c>
      <c r="R810" s="10">
        <v>145.98793029785156</v>
      </c>
      <c r="S810" s="10">
        <v>151.58528137207031</v>
      </c>
      <c r="V810" s="11">
        <v>45372</v>
      </c>
      <c r="W810" s="12">
        <v>-4.0857567319954935E-2</v>
      </c>
      <c r="X810" s="12">
        <v>-6.4175829229573544E-5</v>
      </c>
      <c r="Y810" s="12">
        <v>1.3905098981334074E-2</v>
      </c>
      <c r="Z810" s="12">
        <v>1.176242154608298E-2</v>
      </c>
      <c r="AA810" s="12">
        <v>-8.0247280808010135E-4</v>
      </c>
      <c r="AB810" s="12">
        <v>3.3046112755288348E-3</v>
      </c>
      <c r="AC810" s="12">
        <v>4.4251416524532239E-3</v>
      </c>
    </row>
    <row r="811" spans="12:29" x14ac:dyDescent="0.2">
      <c r="L811" s="11">
        <v>45372</v>
      </c>
      <c r="M811" s="10">
        <v>91.277038574218764</v>
      </c>
      <c r="N811" s="10">
        <v>104.74375915527344</v>
      </c>
      <c r="O811" s="10">
        <v>188.87904357910156</v>
      </c>
      <c r="P811" s="10">
        <v>169.52192687988281</v>
      </c>
      <c r="Q811" s="10">
        <v>508.48318481445312</v>
      </c>
      <c r="R811" s="10">
        <v>145.97856140136719</v>
      </c>
      <c r="S811" s="10">
        <v>151.46363830566406</v>
      </c>
      <c r="V811" s="11">
        <v>45373</v>
      </c>
      <c r="W811" s="12">
        <v>5.3100018371186053E-3</v>
      </c>
      <c r="X811" s="12">
        <v>-3.3386116288420808E-3</v>
      </c>
      <c r="Y811" s="12">
        <v>-1.2257665120395056E-2</v>
      </c>
      <c r="Z811" s="12">
        <v>3.1213494235641459E-2</v>
      </c>
      <c r="AA811" s="12">
        <v>-1.2358052897947225E-3</v>
      </c>
      <c r="AB811" s="12">
        <v>-1.8956934102117851E-3</v>
      </c>
      <c r="AC811" s="12">
        <v>0</v>
      </c>
    </row>
    <row r="812" spans="12:29" x14ac:dyDescent="0.2">
      <c r="L812" s="11">
        <v>45373</v>
      </c>
      <c r="M812" s="10">
        <v>94.126113891601562</v>
      </c>
      <c r="N812" s="10">
        <v>104.74375915527344</v>
      </c>
      <c r="O812" s="10">
        <v>186.56382751464844</v>
      </c>
      <c r="P812" s="10">
        <v>170.42208862304688</v>
      </c>
      <c r="Q812" s="10">
        <v>507.51925659179688</v>
      </c>
      <c r="R812" s="10">
        <v>145.49119567871094</v>
      </c>
      <c r="S812" s="10">
        <v>151.27645874023438</v>
      </c>
      <c r="V812" s="11">
        <v>45376</v>
      </c>
      <c r="W812" s="12">
        <v>-8.3001888657151524E-3</v>
      </c>
      <c r="X812" s="12">
        <v>-6.4499815467633503E-5</v>
      </c>
      <c r="Y812" s="12">
        <v>-9.1545948778924968E-3</v>
      </c>
      <c r="Z812" s="12">
        <v>7.5617854087661751E-3</v>
      </c>
      <c r="AA812" s="12">
        <v>-9.0930511373046308E-3</v>
      </c>
      <c r="AB812" s="12">
        <v>-2.7628935483237083E-3</v>
      </c>
      <c r="AC812" s="12">
        <v>1.0221084255822799E-2</v>
      </c>
    </row>
    <row r="813" spans="12:29" x14ac:dyDescent="0.2">
      <c r="L813" s="11">
        <v>45376</v>
      </c>
      <c r="M813" s="10">
        <v>94.837875366210938</v>
      </c>
      <c r="N813" s="10">
        <v>105.81435394287109</v>
      </c>
      <c r="O813" s="10">
        <v>184.85591125488281</v>
      </c>
      <c r="P813" s="10">
        <v>169.00755310058594</v>
      </c>
      <c r="Q813" s="10">
        <v>506.11703491210938</v>
      </c>
      <c r="R813" s="10">
        <v>145.4818115234375</v>
      </c>
      <c r="S813" s="10">
        <v>149.90089416503906</v>
      </c>
      <c r="V813" s="11">
        <v>45377</v>
      </c>
      <c r="W813" s="12">
        <v>-6.6726681888058526E-3</v>
      </c>
      <c r="X813" s="12">
        <v>3.5434184128539936E-3</v>
      </c>
      <c r="Y813" s="12">
        <v>4.670930406381002E-3</v>
      </c>
      <c r="Z813" s="12">
        <v>-2.5694194724465991E-2</v>
      </c>
      <c r="AA813" s="12">
        <v>2.2474769452676124E-3</v>
      </c>
      <c r="AB813" s="12">
        <v>-1.8470321855247329E-3</v>
      </c>
      <c r="AC813" s="12">
        <v>-7.5009558882536131E-3</v>
      </c>
    </row>
    <row r="814" spans="12:29" x14ac:dyDescent="0.2">
      <c r="L814" s="11">
        <v>45377</v>
      </c>
      <c r="M814" s="10">
        <v>92.401092529296875</v>
      </c>
      <c r="N814" s="10">
        <v>105.02064514160156</v>
      </c>
      <c r="O814" s="10">
        <v>185.7193603515625</v>
      </c>
      <c r="P814" s="10">
        <v>167.87982177734375</v>
      </c>
      <c r="Q814" s="10">
        <v>505.18222045898438</v>
      </c>
      <c r="R814" s="10">
        <v>145.997314453125</v>
      </c>
      <c r="S814" s="10">
        <v>150.23779296875</v>
      </c>
      <c r="V814" s="11">
        <v>45378</v>
      </c>
      <c r="W814" s="12">
        <v>2.1212629651672366E-2</v>
      </c>
      <c r="X814" s="12">
        <v>1.4059142482086173E-2</v>
      </c>
      <c r="Y814" s="12">
        <v>1.9363414141985169E-2</v>
      </c>
      <c r="Z814" s="12">
        <v>-2.4967146101838367E-2</v>
      </c>
      <c r="AA814" s="12">
        <v>1.2830815081560143E-2</v>
      </c>
      <c r="AB814" s="12">
        <v>8.4039862482421235E-3</v>
      </c>
      <c r="AC814" s="12">
        <v>1.0369868624406031E-2</v>
      </c>
    </row>
    <row r="815" spans="12:29" x14ac:dyDescent="0.2">
      <c r="L815" s="11">
        <v>45378</v>
      </c>
      <c r="M815" s="10">
        <v>90.094100952148438</v>
      </c>
      <c r="N815" s="10">
        <v>106.10969543457033</v>
      </c>
      <c r="O815" s="10">
        <v>189.3155212402344</v>
      </c>
      <c r="P815" s="10">
        <v>171.44099426269531</v>
      </c>
      <c r="Q815" s="10">
        <v>509.42776489257812</v>
      </c>
      <c r="R815" s="10">
        <v>148.04991149902344</v>
      </c>
      <c r="S815" s="10">
        <v>152.16546630859375</v>
      </c>
      <c r="V815" s="11">
        <v>45379</v>
      </c>
      <c r="W815" s="12">
        <v>-1.055915607922242E-2</v>
      </c>
      <c r="X815" s="12">
        <v>1.4561046993697424E-3</v>
      </c>
      <c r="Y815" s="12">
        <v>3.9094116522453426E-3</v>
      </c>
      <c r="Z815" s="12">
        <v>1.1744617198645724E-3</v>
      </c>
      <c r="AA815" s="12">
        <v>-2.2138287635490306E-3</v>
      </c>
      <c r="AB815" s="12">
        <v>-1.9127859466727681E-4</v>
      </c>
      <c r="AC815" s="12">
        <v>1.1046512045935986E-2</v>
      </c>
    </row>
    <row r="816" spans="12:29" x14ac:dyDescent="0.2">
      <c r="L816" s="11">
        <v>45379</v>
      </c>
      <c r="M816" s="10">
        <v>90.199913024902344</v>
      </c>
      <c r="N816" s="10">
        <v>107.28183746337891</v>
      </c>
      <c r="O816" s="10">
        <v>190.05563354492188</v>
      </c>
      <c r="P816" s="10">
        <v>169.63072204589844</v>
      </c>
      <c r="Q816" s="10">
        <v>509.330322265625</v>
      </c>
      <c r="R816" s="10">
        <v>148.26548767089844</v>
      </c>
      <c r="S816" s="10">
        <v>151.82859802246094</v>
      </c>
      <c r="V816" s="11">
        <v>45383</v>
      </c>
      <c r="W816" s="12">
        <v>-8.4556701366628184E-3</v>
      </c>
      <c r="X816" s="12">
        <v>-2.5920250718168836E-3</v>
      </c>
      <c r="Y816" s="12">
        <v>-6.7897792185708239E-3</v>
      </c>
      <c r="Z816" s="12">
        <v>7.7393600082187319E-5</v>
      </c>
      <c r="AA816" s="12">
        <v>-1.0292818092108136E-2</v>
      </c>
      <c r="AB816" s="12">
        <v>-1.7398118220683934E-3</v>
      </c>
      <c r="AC816" s="12">
        <v>6.4521611802885737E-3</v>
      </c>
    </row>
    <row r="817" spans="12:29" x14ac:dyDescent="0.2">
      <c r="L817" s="11">
        <v>45383</v>
      </c>
      <c r="M817" s="10">
        <v>90.206893920898438</v>
      </c>
      <c r="N817" s="10">
        <v>107.97403717041016</v>
      </c>
      <c r="O817" s="10">
        <v>188.76519775390625</v>
      </c>
      <c r="P817" s="10">
        <v>168.19638061523438</v>
      </c>
      <c r="Q817" s="10">
        <v>508.44418334960938</v>
      </c>
      <c r="R817" s="10">
        <v>147.88117980957031</v>
      </c>
      <c r="S817" s="10">
        <v>150.26585388183594</v>
      </c>
      <c r="V817" s="11">
        <v>45384</v>
      </c>
      <c r="W817" s="12">
        <v>-6.9988727122890504E-3</v>
      </c>
      <c r="X817" s="12">
        <v>-3.167710893448028E-4</v>
      </c>
      <c r="Y817" s="12">
        <v>-4.0215292060830077E-4</v>
      </c>
      <c r="Z817" s="12">
        <v>-1.0081533556875022E-2</v>
      </c>
      <c r="AA817" s="12">
        <v>-6.2145714844752398E-5</v>
      </c>
      <c r="AB817" s="12">
        <v>-6.358076572897664E-3</v>
      </c>
      <c r="AC817" s="12">
        <v>1.9574243838824668E-2</v>
      </c>
    </row>
    <row r="818" spans="12:29" x14ac:dyDescent="0.2">
      <c r="L818" s="11">
        <v>45384</v>
      </c>
      <c r="M818" s="10">
        <v>89.297470092773438</v>
      </c>
      <c r="N818" s="10">
        <v>110.08754730224609</v>
      </c>
      <c r="O818" s="10">
        <v>188.68928527832031</v>
      </c>
      <c r="P818" s="10">
        <v>167.01919555664062</v>
      </c>
      <c r="Q818" s="10">
        <v>505.21145629882812</v>
      </c>
      <c r="R818" s="10">
        <v>147.83433532714844</v>
      </c>
      <c r="S818" s="10">
        <v>150.25651550292969</v>
      </c>
      <c r="V818" s="11">
        <v>45385</v>
      </c>
      <c r="W818" s="12">
        <v>4.7975610669692692E-3</v>
      </c>
      <c r="X818" s="12">
        <v>-2.1999756205081322E-2</v>
      </c>
      <c r="Y818" s="12">
        <v>-2.8161221212360532E-3</v>
      </c>
      <c r="Z818" s="12">
        <v>-5.4553852321153062E-3</v>
      </c>
      <c r="AA818" s="12">
        <v>-2.7527083556958432E-2</v>
      </c>
      <c r="AB818" s="12">
        <v>1.0984750074134464E-3</v>
      </c>
      <c r="AC818" s="12">
        <v>1.6771319934072437E-4</v>
      </c>
    </row>
    <row r="819" spans="12:29" x14ac:dyDescent="0.2">
      <c r="L819" s="11">
        <v>45385</v>
      </c>
      <c r="M819" s="10">
        <v>88.810317993164062</v>
      </c>
      <c r="N819" s="10">
        <v>110.10601043701172</v>
      </c>
      <c r="O819" s="10">
        <v>188.15791320800781</v>
      </c>
      <c r="P819" s="10">
        <v>167.82048034667969</v>
      </c>
      <c r="Q819" s="10">
        <v>505.76641845703131</v>
      </c>
      <c r="R819" s="10">
        <v>144.58201599121094</v>
      </c>
      <c r="S819" s="10">
        <v>146.12039184570312</v>
      </c>
      <c r="V819" s="11">
        <v>45386</v>
      </c>
      <c r="W819" s="12">
        <v>-4.89230909952032E-3</v>
      </c>
      <c r="X819" s="12">
        <v>-1.1409210468409148E-2</v>
      </c>
      <c r="Y819" s="12">
        <v>-7.6083942760415413E-3</v>
      </c>
      <c r="Z819" s="12">
        <v>-3.4384813220960653E-2</v>
      </c>
      <c r="AA819" s="12">
        <v>-4.4830143567151648E-3</v>
      </c>
      <c r="AB819" s="12">
        <v>-1.2206031586161514E-2</v>
      </c>
      <c r="AC819" s="12">
        <v>3.5204858155402086E-3</v>
      </c>
    </row>
    <row r="820" spans="12:29" x14ac:dyDescent="0.2">
      <c r="L820" s="11">
        <v>45386</v>
      </c>
      <c r="M820" s="10">
        <v>85.756591796875</v>
      </c>
      <c r="N820" s="10">
        <v>110.49363708496094</v>
      </c>
      <c r="O820" s="10">
        <v>186.72633361816409</v>
      </c>
      <c r="P820" s="10">
        <v>166.99945068359375</v>
      </c>
      <c r="Q820" s="10">
        <v>499.593017578125</v>
      </c>
      <c r="R820" s="10">
        <v>142.93244934082031</v>
      </c>
      <c r="S820" s="10">
        <v>145.46533203125</v>
      </c>
      <c r="V820" s="11">
        <v>45387</v>
      </c>
      <c r="W820" s="12">
        <v>4.501631690726926E-3</v>
      </c>
      <c r="X820" s="12">
        <v>-7.2113169957233048E-4</v>
      </c>
      <c r="Y820" s="12">
        <v>9.2000708980093382E-3</v>
      </c>
      <c r="Z820" s="12">
        <v>2.4480867394145012E-2</v>
      </c>
      <c r="AA820" s="12">
        <v>4.1815899272605872E-3</v>
      </c>
      <c r="AB820" s="12">
        <v>1.0446918952096151E-2</v>
      </c>
      <c r="AC820" s="12">
        <v>1.378231096551441E-2</v>
      </c>
    </row>
    <row r="821" spans="12:29" x14ac:dyDescent="0.2">
      <c r="L821" s="11">
        <v>45387</v>
      </c>
      <c r="M821" s="10">
        <v>87.855987548828125</v>
      </c>
      <c r="N821" s="10">
        <v>112.01649475097656</v>
      </c>
      <c r="O821" s="10">
        <v>188.44422912597656</v>
      </c>
      <c r="P821" s="10">
        <v>167.751220703125</v>
      </c>
      <c r="Q821" s="10">
        <v>504.81222534179688</v>
      </c>
      <c r="R821" s="10">
        <v>142.82937622070312</v>
      </c>
      <c r="S821" s="10">
        <v>146.0736083984375</v>
      </c>
      <c r="V821" s="11">
        <v>45390</v>
      </c>
      <c r="W821" s="12">
        <v>-6.6635169965755248E-3</v>
      </c>
      <c r="X821" s="12">
        <v>-5.2499522993834091E-3</v>
      </c>
      <c r="Y821" s="12">
        <v>5.2166494559744425E-3</v>
      </c>
      <c r="Z821" s="12">
        <v>-9.9426336420777028E-3</v>
      </c>
      <c r="AA821" s="12">
        <v>-3.8430682706092067E-4</v>
      </c>
      <c r="AB821" s="12">
        <v>5.5943508059375091E-4</v>
      </c>
      <c r="AC821" s="12">
        <v>-6.7564005621491008E-3</v>
      </c>
    </row>
    <row r="822" spans="12:29" x14ac:dyDescent="0.2">
      <c r="L822" s="11">
        <v>45390</v>
      </c>
      <c r="M822" s="10">
        <v>86.982467651367188</v>
      </c>
      <c r="N822" s="10">
        <v>111.25966644287109</v>
      </c>
      <c r="O822" s="10">
        <v>189.42727661132812</v>
      </c>
      <c r="P822" s="10">
        <v>166.63340759277344</v>
      </c>
      <c r="Q822" s="10">
        <v>505.09463500976562</v>
      </c>
      <c r="R822" s="10">
        <v>142.07952880859375</v>
      </c>
      <c r="S822" s="10">
        <v>146.01747131347656</v>
      </c>
      <c r="V822" s="11">
        <v>45391</v>
      </c>
      <c r="W822" s="12">
        <v>7.2424425760500011E-3</v>
      </c>
      <c r="X822" s="12">
        <v>4.6179254421820914E-3</v>
      </c>
      <c r="Y822" s="12">
        <v>-6.7010592456799856E-3</v>
      </c>
      <c r="Z822" s="12">
        <v>-2.0417041854172702E-2</v>
      </c>
      <c r="AA822" s="12">
        <v>3.9731849464768043E-3</v>
      </c>
      <c r="AB822" s="12">
        <v>1.1567922331425784E-3</v>
      </c>
      <c r="AC822" s="12">
        <v>5.2260069188654334E-3</v>
      </c>
    </row>
    <row r="823" spans="12:29" x14ac:dyDescent="0.2">
      <c r="L823" s="11">
        <v>45391</v>
      </c>
      <c r="M823" s="10">
        <v>85.20654296875</v>
      </c>
      <c r="N823" s="10">
        <v>111.8411102294922</v>
      </c>
      <c r="O823" s="10">
        <v>188.15791320800781</v>
      </c>
      <c r="P823" s="10">
        <v>167.84024047851562</v>
      </c>
      <c r="Q823" s="10">
        <v>505.67892456054688</v>
      </c>
      <c r="R823" s="10">
        <v>142.73564147949219</v>
      </c>
      <c r="S823" s="10">
        <v>146.59762573242188</v>
      </c>
      <c r="V823" s="11">
        <v>45392</v>
      </c>
      <c r="W823" s="12">
        <v>-1.1139063698625495E-2</v>
      </c>
      <c r="X823" s="12">
        <v>-1.372402898638414E-2</v>
      </c>
      <c r="Y823" s="12">
        <v>-8.5213691509049561E-3</v>
      </c>
      <c r="Z823" s="12">
        <v>1.974142278356239E-2</v>
      </c>
      <c r="AA823" s="12">
        <v>3.7023459571152717E-3</v>
      </c>
      <c r="AB823" s="12">
        <v>-1.0013345132104612E-2</v>
      </c>
      <c r="AC823" s="12">
        <v>8.4172178663037833E-3</v>
      </c>
    </row>
    <row r="824" spans="12:29" x14ac:dyDescent="0.2">
      <c r="L824" s="11">
        <v>45392</v>
      </c>
      <c r="M824" s="10">
        <v>86.888641357421875</v>
      </c>
      <c r="N824" s="10">
        <v>112.78250122070312</v>
      </c>
      <c r="O824" s="10">
        <v>186.55455017089844</v>
      </c>
      <c r="P824" s="10">
        <v>165.97065734863281</v>
      </c>
      <c r="Q824" s="10">
        <v>500.61538696289062</v>
      </c>
      <c r="R824" s="10">
        <v>140.7767333984375</v>
      </c>
      <c r="S824" s="10">
        <v>147.140380859375</v>
      </c>
      <c r="V824" s="11">
        <v>45393</v>
      </c>
      <c r="W824" s="12">
        <v>4.3270727834092471E-2</v>
      </c>
      <c r="X824" s="12">
        <v>-9.3873320713847574E-3</v>
      </c>
      <c r="Y824" s="12">
        <v>-2.0472697657847316E-4</v>
      </c>
      <c r="Z824" s="12">
        <v>4.1096377557059416E-2</v>
      </c>
      <c r="AA824" s="12">
        <v>-8.9035643708923473E-3</v>
      </c>
      <c r="AB824" s="12">
        <v>7.5468638604891947E-3</v>
      </c>
      <c r="AC824" s="12">
        <v>-3.3550191481516167E-3</v>
      </c>
    </row>
    <row r="825" spans="12:29" x14ac:dyDescent="0.2">
      <c r="L825" s="11">
        <v>45393</v>
      </c>
      <c r="M825" s="10">
        <v>90.459449768066406</v>
      </c>
      <c r="N825" s="10">
        <v>112.40411376953124</v>
      </c>
      <c r="O825" s="10">
        <v>186.516357421875</v>
      </c>
      <c r="P825" s="10">
        <v>173.15232849121094</v>
      </c>
      <c r="Q825" s="10">
        <v>504.39346313476562</v>
      </c>
      <c r="R825" s="10">
        <v>139.45521545410156</v>
      </c>
      <c r="S825" s="10">
        <v>145.83030700683594</v>
      </c>
      <c r="V825" s="11">
        <v>45394</v>
      </c>
      <c r="W825" s="12">
        <v>8.6267618200710494E-3</v>
      </c>
      <c r="X825" s="12">
        <v>-8.5355206838307884E-3</v>
      </c>
      <c r="Y825" s="12">
        <v>-6.467784771935059E-2</v>
      </c>
      <c r="Z825" s="12">
        <v>-2.6816396905007589E-2</v>
      </c>
      <c r="AA825" s="12">
        <v>-3.2725288488653081E-3</v>
      </c>
      <c r="AB825" s="12">
        <v>-1.3802969694091338E-2</v>
      </c>
      <c r="AC825" s="12">
        <v>-1.1659514484187561E-2</v>
      </c>
    </row>
    <row r="826" spans="12:29" x14ac:dyDescent="0.2">
      <c r="L826" s="11">
        <v>45394</v>
      </c>
      <c r="M826" s="10">
        <v>88.033653259277344</v>
      </c>
      <c r="N826" s="10">
        <v>111.09353637695312</v>
      </c>
      <c r="O826" s="10">
        <v>174.452880859375</v>
      </c>
      <c r="P826" s="10">
        <v>174.64607238769531</v>
      </c>
      <c r="Q826" s="10">
        <v>497.43133544921869</v>
      </c>
      <c r="R826" s="10">
        <v>138.264892578125</v>
      </c>
      <c r="S826" s="10">
        <v>145.35307312011719</v>
      </c>
      <c r="V826" s="11">
        <v>45397</v>
      </c>
      <c r="W826" s="12">
        <v>-2.1863501317754719E-2</v>
      </c>
      <c r="X826" s="12">
        <v>4.7454412863112694E-4</v>
      </c>
      <c r="Y826" s="12">
        <v>5.4710317832395994E-4</v>
      </c>
      <c r="Z826" s="12">
        <v>-2.4777127013877687E-2</v>
      </c>
      <c r="AA826" s="12">
        <v>7.7231880085570914E-4</v>
      </c>
      <c r="AB826" s="12">
        <v>-1.252816747168517E-2</v>
      </c>
      <c r="AC826" s="12">
        <v>-5.732336752361844E-3</v>
      </c>
    </row>
    <row r="827" spans="12:29" x14ac:dyDescent="0.2">
      <c r="L827" s="11">
        <v>45397</v>
      </c>
      <c r="M827" s="10">
        <v>85.852432250976562</v>
      </c>
      <c r="N827" s="10">
        <v>110.45671081542967</v>
      </c>
      <c r="O827" s="10">
        <v>174.54832458496094</v>
      </c>
      <c r="P827" s="10">
        <v>170.82769775390625</v>
      </c>
      <c r="Q827" s="10">
        <v>491.19943237304688</v>
      </c>
      <c r="R827" s="10">
        <v>138.33050537109375</v>
      </c>
      <c r="S827" s="10">
        <v>145.46533203125</v>
      </c>
      <c r="V827" s="11">
        <v>45398</v>
      </c>
      <c r="W827" s="12">
        <v>-1.9167308896789748E-2</v>
      </c>
      <c r="X827" s="12">
        <v>-2.1275084307452286E-2</v>
      </c>
      <c r="Y827" s="12">
        <v>-1.1427548379917107E-2</v>
      </c>
      <c r="Z827" s="12">
        <v>1.6441612569260133E-2</v>
      </c>
      <c r="AA827" s="12">
        <v>3.2167528775179921E-3</v>
      </c>
      <c r="AB827" s="12">
        <v>-1.8237256178279537E-3</v>
      </c>
      <c r="AC827" s="12">
        <v>-8.271916236893051E-3</v>
      </c>
    </row>
    <row r="828" spans="12:29" x14ac:dyDescent="0.2">
      <c r="L828" s="11">
        <v>45398</v>
      </c>
      <c r="M828" s="10">
        <v>87.263984680175781</v>
      </c>
      <c r="N828" s="10">
        <v>109.54302215576172</v>
      </c>
      <c r="O828" s="10">
        <v>172.55366516113281</v>
      </c>
      <c r="P828" s="10">
        <v>167.55339050292969</v>
      </c>
      <c r="Q828" s="10">
        <v>490.30361938476562</v>
      </c>
      <c r="R828" s="10">
        <v>135.38751220703125</v>
      </c>
      <c r="S828" s="10">
        <v>145.93325805664062</v>
      </c>
      <c r="V828" s="11">
        <v>45399</v>
      </c>
      <c r="W828" s="12">
        <v>-8.147327252465475E-3</v>
      </c>
      <c r="X828" s="12">
        <v>2.2152079917445722E-3</v>
      </c>
      <c r="Y828" s="12">
        <v>-3.9824107171991807E-3</v>
      </c>
      <c r="Z828" s="12">
        <v>-3.8666044755730211E-2</v>
      </c>
      <c r="AA828" s="12">
        <v>6.4763450657379096E-3</v>
      </c>
      <c r="AB828" s="12">
        <v>-5.9182377688310472E-3</v>
      </c>
      <c r="AC828" s="12">
        <v>-5.0564064425862032E-4</v>
      </c>
    </row>
    <row r="829" spans="12:29" x14ac:dyDescent="0.2">
      <c r="L829" s="11">
        <v>45399</v>
      </c>
      <c r="M829" s="10">
        <v>83.88983154296875</v>
      </c>
      <c r="N829" s="10">
        <v>109.48763275146484</v>
      </c>
      <c r="O829" s="10">
        <v>171.86648559570312</v>
      </c>
      <c r="P829" s="10">
        <v>166.18827819824219</v>
      </c>
      <c r="Q829" s="10">
        <v>487.40188598632812</v>
      </c>
      <c r="R829" s="10">
        <v>135.68742370605469</v>
      </c>
      <c r="S829" s="10">
        <v>146.87837219238281</v>
      </c>
      <c r="V829" s="11">
        <v>45400</v>
      </c>
      <c r="W829" s="12">
        <v>-5.7141860280416346E-3</v>
      </c>
      <c r="X829" s="12">
        <v>6.7003200819215625E-3</v>
      </c>
      <c r="Y829" s="12">
        <v>6.4971258341810501E-3</v>
      </c>
      <c r="Z829" s="12">
        <v>7.5682035954718341E-3</v>
      </c>
      <c r="AA829" s="12">
        <v>8.5731907958812581E-3</v>
      </c>
      <c r="AB829" s="12">
        <v>-2.0577684122999873E-3</v>
      </c>
      <c r="AC829" s="12">
        <v>-9.2726776966489677E-4</v>
      </c>
    </row>
    <row r="830" spans="12:29" x14ac:dyDescent="0.2">
      <c r="L830" s="11">
        <v>45400</v>
      </c>
      <c r="M830" s="10">
        <v>84.524726867675781</v>
      </c>
      <c r="N830" s="10">
        <v>109.3861083984375</v>
      </c>
      <c r="O830" s="10">
        <v>172.98312377929688</v>
      </c>
      <c r="P830" s="10">
        <v>165.2386474609375</v>
      </c>
      <c r="Q830" s="10">
        <v>486.39892578125</v>
      </c>
      <c r="R830" s="10">
        <v>136.59657287597656</v>
      </c>
      <c r="S830" s="10">
        <v>148.13758850097656</v>
      </c>
      <c r="V830" s="11">
        <v>45401</v>
      </c>
      <c r="W830" s="12">
        <v>-1.2212764149863164E-2</v>
      </c>
      <c r="X830" s="12">
        <v>1.4889533537392197E-2</v>
      </c>
      <c r="Y830" s="12">
        <v>2.5103509669811785E-2</v>
      </c>
      <c r="Z830" s="12">
        <v>-0.10004598863146585</v>
      </c>
      <c r="AA830" s="12">
        <v>5.4040106732919924E-3</v>
      </c>
      <c r="AB830" s="12">
        <v>-8.728272490450828E-3</v>
      </c>
      <c r="AC830" s="12">
        <v>1.1474978545705561E-2</v>
      </c>
    </row>
    <row r="831" spans="12:29" x14ac:dyDescent="0.2">
      <c r="L831" s="11">
        <v>45401</v>
      </c>
      <c r="M831" s="10">
        <v>76.068367004394531</v>
      </c>
      <c r="N831" s="10">
        <v>110.6413116455078</v>
      </c>
      <c r="O831" s="10">
        <v>177.32560729980469</v>
      </c>
      <c r="P831" s="10">
        <v>163.22062683105469</v>
      </c>
      <c r="Q831" s="10">
        <v>482.15350341796869</v>
      </c>
      <c r="R831" s="10">
        <v>138.63043212890625</v>
      </c>
      <c r="S831" s="10">
        <v>148.93812561035156</v>
      </c>
      <c r="V831" s="11">
        <v>45404</v>
      </c>
      <c r="W831" s="12">
        <v>5.0909489328003765E-3</v>
      </c>
      <c r="X831" s="12">
        <v>8.1804817548907227E-3</v>
      </c>
      <c r="Y831" s="12">
        <v>1.9429558589031837E-2</v>
      </c>
      <c r="Z831" s="12">
        <v>4.3543244310452645E-2</v>
      </c>
      <c r="AA831" s="12">
        <v>1.5176303521562629E-2</v>
      </c>
      <c r="AB831" s="12">
        <v>9.2091336741859653E-3</v>
      </c>
      <c r="AC831" s="12">
        <v>5.6723986203812693E-3</v>
      </c>
    </row>
    <row r="832" spans="12:29" x14ac:dyDescent="0.2">
      <c r="L832" s="11">
        <v>45404</v>
      </c>
      <c r="M832" s="10">
        <v>79.380630493164062</v>
      </c>
      <c r="N832" s="10">
        <v>111.26891326904295</v>
      </c>
      <c r="O832" s="10">
        <v>180.77096557617188</v>
      </c>
      <c r="P832" s="10">
        <v>164.05157470703125</v>
      </c>
      <c r="Q832" s="10">
        <v>486.59371948242188</v>
      </c>
      <c r="R832" s="10">
        <v>139.76449584960938</v>
      </c>
      <c r="S832" s="10">
        <v>151.19845581054688</v>
      </c>
      <c r="V832" s="11">
        <v>45405</v>
      </c>
      <c r="W832" s="12">
        <v>6.3915156552463159E-3</v>
      </c>
      <c r="X832" s="12">
        <v>2.9507819441141336E-3</v>
      </c>
      <c r="Y832" s="12">
        <v>1.4413093063344373E-2</v>
      </c>
      <c r="Z832" s="12">
        <v>3.6532668600302687E-2</v>
      </c>
      <c r="AA832" s="12">
        <v>5.9797504112952815E-3</v>
      </c>
      <c r="AB832" s="12">
        <v>1.1866636838578914E-2</v>
      </c>
      <c r="AC832" s="12">
        <v>3.8984550376610638E-3</v>
      </c>
    </row>
    <row r="833" spans="12:29" x14ac:dyDescent="0.2">
      <c r="L833" s="11">
        <v>45405</v>
      </c>
      <c r="M833" s="10">
        <v>82.280616760253906</v>
      </c>
      <c r="N833" s="10">
        <v>111.70269012451172</v>
      </c>
      <c r="O833" s="10">
        <v>183.37643432617188</v>
      </c>
      <c r="P833" s="10">
        <v>165.10011291503906</v>
      </c>
      <c r="Q833" s="10">
        <v>492.36795043945312</v>
      </c>
      <c r="R833" s="10">
        <v>140.17691040039062</v>
      </c>
      <c r="S833" s="10">
        <v>152.10258483886719</v>
      </c>
      <c r="V833" s="11">
        <v>45406</v>
      </c>
      <c r="W833" s="12">
        <v>1.2702401783511785E-2</v>
      </c>
      <c r="X833" s="12">
        <v>-6.8868532261109339E-3</v>
      </c>
      <c r="Y833" s="12">
        <v>4.8922602701768625E-3</v>
      </c>
      <c r="Z833" s="12">
        <v>-3.3315854844160997E-2</v>
      </c>
      <c r="AA833" s="12">
        <v>6.8112632226797754E-3</v>
      </c>
      <c r="AB833" s="12">
        <v>-4.7459038610164761E-4</v>
      </c>
      <c r="AC833" s="12">
        <v>1.6521988280238098E-4</v>
      </c>
    </row>
    <row r="834" spans="12:29" x14ac:dyDescent="0.2">
      <c r="L834" s="11">
        <v>45406</v>
      </c>
      <c r="M834" s="10">
        <v>79.53936767578125</v>
      </c>
      <c r="N834" s="10">
        <v>111.7211456298828</v>
      </c>
      <c r="O834" s="10">
        <v>184.2735595703125</v>
      </c>
      <c r="P834" s="10">
        <v>167.19728088378906</v>
      </c>
      <c r="Q834" s="10">
        <v>492.13427734375</v>
      </c>
      <c r="R834" s="10">
        <v>139.21153259277344</v>
      </c>
      <c r="S834" s="10">
        <v>153.13859558105469</v>
      </c>
      <c r="V834" s="11">
        <v>45407</v>
      </c>
      <c r="W834" s="12">
        <v>5.1472784567125895E-3</v>
      </c>
      <c r="X834" s="12">
        <v>-1.1512964457091379E-2</v>
      </c>
      <c r="Y834" s="12">
        <v>1.5019187595930461E-3</v>
      </c>
      <c r="Z834" s="12">
        <v>3.708717108165982E-2</v>
      </c>
      <c r="AA834" s="12">
        <v>-3.0749023698573019E-4</v>
      </c>
      <c r="AB834" s="12">
        <v>-3.7990839287185274E-3</v>
      </c>
      <c r="AC834" s="12">
        <v>2.3131059935479481E-3</v>
      </c>
    </row>
    <row r="835" spans="12:29" x14ac:dyDescent="0.2">
      <c r="L835" s="11">
        <v>45407</v>
      </c>
      <c r="M835" s="10">
        <v>82.4892578125</v>
      </c>
      <c r="N835" s="10">
        <v>111.97956848144533</v>
      </c>
      <c r="O835" s="10">
        <v>184.55032348632812</v>
      </c>
      <c r="P835" s="10">
        <v>168.05789184570312</v>
      </c>
      <c r="Q835" s="10">
        <v>490.26461791992188</v>
      </c>
      <c r="R835" s="10">
        <v>137.60879516601562</v>
      </c>
      <c r="S835" s="10">
        <v>153.09150695800781</v>
      </c>
      <c r="V835" s="11">
        <v>45408</v>
      </c>
      <c r="W835" s="12">
        <v>-3.4728117581493967E-3</v>
      </c>
      <c r="X835" s="12">
        <v>-4.6314561565168333E-3</v>
      </c>
      <c r="Y835" s="12">
        <v>6.2060292574672715E-4</v>
      </c>
      <c r="Z835" s="12">
        <v>6.1755829061549194E-2</v>
      </c>
      <c r="AA835" s="12">
        <v>-7.7516157920782813E-3</v>
      </c>
      <c r="AB835" s="12">
        <v>9.4740793816816549E-3</v>
      </c>
      <c r="AC835" s="12">
        <v>-2.7775381801636967E-2</v>
      </c>
    </row>
    <row r="836" spans="12:29" x14ac:dyDescent="0.2">
      <c r="L836" s="11">
        <v>45408</v>
      </c>
      <c r="M836" s="10">
        <v>87.583450317382812</v>
      </c>
      <c r="N836" s="10">
        <v>108.86929321289062</v>
      </c>
      <c r="O836" s="10">
        <v>184.66485595703125</v>
      </c>
      <c r="P836" s="10">
        <v>167.47425842285156</v>
      </c>
      <c r="Q836" s="10">
        <v>494.909423828125</v>
      </c>
      <c r="R836" s="10">
        <v>136.97146606445312</v>
      </c>
      <c r="S836" s="10">
        <v>151.90480041503906</v>
      </c>
      <c r="V836" s="11">
        <v>45411</v>
      </c>
      <c r="W836" s="12">
        <v>2.4807953429031082E-2</v>
      </c>
      <c r="X836" s="12">
        <v>4.6530063514294007E-3</v>
      </c>
      <c r="Y836" s="12">
        <v>-1.085422843920214E-3</v>
      </c>
      <c r="Z836" s="12">
        <v>2.5061547571914033E-4</v>
      </c>
      <c r="AA836" s="12">
        <v>2.2940698625537603E-3</v>
      </c>
      <c r="AB836" s="12">
        <v>3.5413652375824167E-3</v>
      </c>
      <c r="AC836" s="12">
        <v>1.4241909229307792E-2</v>
      </c>
    </row>
    <row r="837" spans="12:29" x14ac:dyDescent="0.2">
      <c r="L837" s="11">
        <v>45411</v>
      </c>
      <c r="M837" s="10">
        <v>87.605400085449219</v>
      </c>
      <c r="N837" s="10">
        <v>110.4197998046875</v>
      </c>
      <c r="O837" s="10">
        <v>184.46441650390625</v>
      </c>
      <c r="P837" s="10">
        <v>171.62895202636719</v>
      </c>
      <c r="Q837" s="10">
        <v>496.66207885742188</v>
      </c>
      <c r="R837" s="10">
        <v>137.60879516601562</v>
      </c>
      <c r="S837" s="10">
        <v>152.25328063964844</v>
      </c>
      <c r="V837" s="11">
        <v>45412</v>
      </c>
      <c r="W837" s="12">
        <v>-1.8270917840036427E-2</v>
      </c>
      <c r="X837" s="12">
        <v>-1.5188510511369602E-2</v>
      </c>
      <c r="Y837" s="12">
        <v>-7.9675342830625162E-3</v>
      </c>
      <c r="Z837" s="12">
        <v>-1.5440298224751015E-2</v>
      </c>
      <c r="AA837" s="12">
        <v>9.5262902017834161E-3</v>
      </c>
      <c r="AB837" s="12">
        <v>-1.5841227166982663E-2</v>
      </c>
      <c r="AC837" s="12">
        <v>-1.1451021989720922E-2</v>
      </c>
    </row>
    <row r="838" spans="12:29" x14ac:dyDescent="0.2">
      <c r="L838" s="11">
        <v>45412</v>
      </c>
      <c r="M838" s="10">
        <v>86.25274658203125</v>
      </c>
      <c r="N838" s="10">
        <v>109.15538024902344</v>
      </c>
      <c r="O838" s="10">
        <v>182.99468994140625</v>
      </c>
      <c r="P838" s="10">
        <v>168.49313354492188</v>
      </c>
      <c r="Q838" s="10">
        <v>488.79434204101562</v>
      </c>
      <c r="R838" s="10">
        <v>135.51872253417969</v>
      </c>
      <c r="S838" s="10">
        <v>153.70368957519531</v>
      </c>
      <c r="V838" s="11">
        <v>45413</v>
      </c>
      <c r="W838" s="12">
        <v>-6.0469830469302988E-3</v>
      </c>
      <c r="X838" s="12">
        <v>4.557694180673999E-2</v>
      </c>
      <c r="Y838" s="12">
        <v>6.2571188902627028E-4</v>
      </c>
      <c r="Z838" s="12">
        <v>-3.8899827691741606E-2</v>
      </c>
      <c r="AA838" s="12">
        <v>1.2255382515355961E-3</v>
      </c>
      <c r="AB838" s="12">
        <v>-3.2470879194256286E-3</v>
      </c>
      <c r="AC838" s="12">
        <v>-1.8939746060973262E-2</v>
      </c>
    </row>
    <row r="839" spans="12:29" x14ac:dyDescent="0.2">
      <c r="L839" s="11">
        <v>45413</v>
      </c>
      <c r="M839" s="10">
        <v>82.897529602050781</v>
      </c>
      <c r="N839" s="10">
        <v>107.08800506591795</v>
      </c>
      <c r="O839" s="10">
        <v>183.10919189453125</v>
      </c>
      <c r="P839" s="10">
        <v>167.47425842285156</v>
      </c>
      <c r="Q839" s="10">
        <v>487.20718383789062</v>
      </c>
      <c r="R839" s="10">
        <v>141.69525146484375</v>
      </c>
      <c r="S839" s="10">
        <v>153.89205932617188</v>
      </c>
      <c r="V839" s="11">
        <v>45414</v>
      </c>
      <c r="W839" s="12">
        <v>2.2031975857705444E-2</v>
      </c>
      <c r="X839" s="12">
        <v>-8.3341409886131812E-3</v>
      </c>
      <c r="Y839" s="12">
        <v>-1.0423121396531121E-3</v>
      </c>
      <c r="Z839" s="12">
        <v>3.3429432209797216E-2</v>
      </c>
      <c r="AA839" s="12">
        <v>2.6926856160396362E-3</v>
      </c>
      <c r="AB839" s="12">
        <v>9.3534496663127964E-3</v>
      </c>
      <c r="AC839" s="12">
        <v>1.8100290255818052E-3</v>
      </c>
    </row>
    <row r="840" spans="12:29" x14ac:dyDescent="0.2">
      <c r="L840" s="11">
        <v>45414</v>
      </c>
      <c r="M840" s="10">
        <v>85.668746948242188</v>
      </c>
      <c r="N840" s="10">
        <v>107.28183746337891</v>
      </c>
      <c r="O840" s="10">
        <v>182.9183349609375</v>
      </c>
      <c r="P840" s="10">
        <v>171.16404724121094</v>
      </c>
      <c r="Q840" s="10">
        <v>491.76425170898438</v>
      </c>
      <c r="R840" s="10">
        <v>140.51434326171875</v>
      </c>
      <c r="S840" s="10">
        <v>154.30644226074219</v>
      </c>
      <c r="V840" s="11">
        <v>45415</v>
      </c>
      <c r="W840" s="12">
        <v>5.981623025713545E-2</v>
      </c>
      <c r="X840" s="12">
        <v>-4.3357685539879842E-3</v>
      </c>
      <c r="Y840" s="12">
        <v>-6.0003823908033604E-3</v>
      </c>
      <c r="Z840" s="12">
        <v>3.4631919744755768E-2</v>
      </c>
      <c r="AA840" s="12">
        <v>3.7841799168505386E-3</v>
      </c>
      <c r="AB840" s="12">
        <v>1.2395207659662288E-2</v>
      </c>
      <c r="AC840" s="12">
        <v>-2.0646944223097208E-3</v>
      </c>
    </row>
    <row r="841" spans="12:29" x14ac:dyDescent="0.2">
      <c r="L841" s="11">
        <v>45415</v>
      </c>
      <c r="M841" s="10">
        <v>88.6356201171875</v>
      </c>
      <c r="N841" s="10">
        <v>107.06033325195312</v>
      </c>
      <c r="O841" s="10">
        <v>181.82075500488281</v>
      </c>
      <c r="P841" s="10">
        <v>181.4024353027344</v>
      </c>
      <c r="Q841" s="10">
        <v>497.85977172851562</v>
      </c>
      <c r="R841" s="10">
        <v>139.90510559082031</v>
      </c>
      <c r="S841" s="10">
        <v>154.89036560058594</v>
      </c>
      <c r="V841" s="11">
        <v>45418</v>
      </c>
      <c r="W841" s="12">
        <v>-9.1067840136470624E-3</v>
      </c>
      <c r="X841" s="12">
        <v>-4.6226226905291545E-3</v>
      </c>
      <c r="Y841" s="12">
        <v>7.8211249680570916E-3</v>
      </c>
      <c r="Z841" s="12">
        <v>3.7741029853891161E-2</v>
      </c>
      <c r="AA841" s="12">
        <v>-1.2176266230712329E-4</v>
      </c>
      <c r="AB841" s="12">
        <v>1.0326796175695652E-2</v>
      </c>
      <c r="AC841" s="12">
        <v>6.4655104837216815E-3</v>
      </c>
    </row>
    <row r="842" spans="12:29" x14ac:dyDescent="0.2">
      <c r="L842" s="11">
        <v>45418</v>
      </c>
      <c r="M842" s="10">
        <v>91.980819702148438</v>
      </c>
      <c r="N842" s="10">
        <v>107.75253295898438</v>
      </c>
      <c r="O842" s="10">
        <v>183.2427978515625</v>
      </c>
      <c r="P842" s="10">
        <v>179.75044250488281</v>
      </c>
      <c r="Q842" s="10">
        <v>503.00106811523438</v>
      </c>
      <c r="R842" s="10">
        <v>139.25837707519531</v>
      </c>
      <c r="S842" s="10">
        <v>154.87150573730469</v>
      </c>
      <c r="V842" s="11">
        <v>45419</v>
      </c>
      <c r="W842" s="12">
        <v>3.7971583493383587E-3</v>
      </c>
      <c r="X842" s="12">
        <v>9.4253650137510192E-4</v>
      </c>
      <c r="Y842" s="12">
        <v>-1.3020234823881705E-3</v>
      </c>
      <c r="Z842" s="12">
        <v>-1.7212765975094912E-2</v>
      </c>
      <c r="AA842" s="12">
        <v>8.0272647583530254E-3</v>
      </c>
      <c r="AB842" s="12">
        <v>1.1036055016220292E-3</v>
      </c>
      <c r="AC842" s="12">
        <v>-4.9679466755029322E-3</v>
      </c>
    </row>
    <row r="843" spans="12:29" x14ac:dyDescent="0.2">
      <c r="L843" s="11">
        <v>45419</v>
      </c>
      <c r="M843" s="10">
        <v>90.397575378417955</v>
      </c>
      <c r="N843" s="10">
        <v>107.21722412109376</v>
      </c>
      <c r="O843" s="10">
        <v>183.00421142578125</v>
      </c>
      <c r="P843" s="10">
        <v>180.4329833984375</v>
      </c>
      <c r="Q843" s="10">
        <v>503.55618286132812</v>
      </c>
      <c r="R843" s="10">
        <v>139.38963317871094</v>
      </c>
      <c r="S843" s="10">
        <v>156.11470031738281</v>
      </c>
      <c r="V843" s="11">
        <v>45420</v>
      </c>
      <c r="W843" s="12">
        <v>1.8640396128291048E-3</v>
      </c>
      <c r="X843" s="12">
        <v>1.5463535514188553E-3</v>
      </c>
      <c r="Y843" s="12">
        <v>2.033899746559853E-2</v>
      </c>
      <c r="Z843" s="12">
        <v>-1.5681189434252341E-3</v>
      </c>
      <c r="AA843" s="12">
        <v>-4.1625888354691609E-3</v>
      </c>
      <c r="AB843" s="12">
        <v>9.6542359339091277E-5</v>
      </c>
      <c r="AC843" s="12">
        <v>-1.7220306641019256E-4</v>
      </c>
    </row>
    <row r="844" spans="12:29" x14ac:dyDescent="0.2">
      <c r="L844" s="11">
        <v>45420</v>
      </c>
      <c r="M844" s="10">
        <v>90.255821228027344</v>
      </c>
      <c r="N844" s="10">
        <v>107.19876098632812</v>
      </c>
      <c r="O844" s="10">
        <v>186.72633361816409</v>
      </c>
      <c r="P844" s="10">
        <v>180.76931762695312</v>
      </c>
      <c r="Q844" s="10">
        <v>503.60479736328131</v>
      </c>
      <c r="R844" s="10">
        <v>139.60517883300781</v>
      </c>
      <c r="S844" s="10">
        <v>155.46485900878906</v>
      </c>
      <c r="V844" s="11">
        <v>45421</v>
      </c>
      <c r="W844" s="12">
        <v>1.0014351436131053E-2</v>
      </c>
      <c r="X844" s="12">
        <v>6.042300035030479E-3</v>
      </c>
      <c r="Y844" s="12">
        <v>9.4556829012157895E-3</v>
      </c>
      <c r="Z844" s="12">
        <v>-1.8415790145926314E-2</v>
      </c>
      <c r="AA844" s="12">
        <v>5.8764033529812298E-3</v>
      </c>
      <c r="AB844" s="12">
        <v>5.7619256481074022E-3</v>
      </c>
      <c r="AC844" s="12">
        <v>1.9716020974245074E-2</v>
      </c>
    </row>
    <row r="845" spans="12:29" x14ac:dyDescent="0.2">
      <c r="L845" s="11">
        <v>45421</v>
      </c>
      <c r="M845" s="10">
        <v>88.59368896484375</v>
      </c>
      <c r="N845" s="10">
        <v>109.31229400634766</v>
      </c>
      <c r="O845" s="10">
        <v>188.49195861816409</v>
      </c>
      <c r="P845" s="10">
        <v>182.57960510253903</v>
      </c>
      <c r="Q845" s="10">
        <v>506.50653076171869</v>
      </c>
      <c r="R845" s="10">
        <v>140.44871520996094</v>
      </c>
      <c r="S845" s="10">
        <v>156.37843322753906</v>
      </c>
      <c r="V845" s="11">
        <v>45422</v>
      </c>
      <c r="W845" s="12">
        <v>-6.8902047605551298E-3</v>
      </c>
      <c r="X845" s="12">
        <v>4.0045860441151326E-4</v>
      </c>
      <c r="Y845" s="12">
        <v>6.4304170749003298E-3</v>
      </c>
      <c r="Z845" s="12">
        <v>1.2744149404864791E-2</v>
      </c>
      <c r="AA845" s="12">
        <v>4.8785095298131687E-3</v>
      </c>
      <c r="AB845" s="12">
        <v>1.2881686230805656E-3</v>
      </c>
      <c r="AC845" s="12">
        <v>-4.0526163821180683E-3</v>
      </c>
    </row>
    <row r="846" spans="12:29" x14ac:dyDescent="0.2">
      <c r="L846" s="11">
        <v>45422</v>
      </c>
      <c r="M846" s="10">
        <v>89.722740173339844</v>
      </c>
      <c r="N846" s="10">
        <v>108.86929321289062</v>
      </c>
      <c r="O846" s="10">
        <v>189.70404052734375</v>
      </c>
      <c r="P846" s="10">
        <v>181.32159423828125</v>
      </c>
      <c r="Q846" s="10">
        <v>507.15899658203131</v>
      </c>
      <c r="R846" s="10">
        <v>140.50495910644531</v>
      </c>
      <c r="S846" s="10">
        <v>157.14132690429688</v>
      </c>
      <c r="V846" s="11">
        <v>45425</v>
      </c>
      <c r="W846" s="12">
        <v>1.7645239134730151E-2</v>
      </c>
      <c r="X846" s="12">
        <v>8.7385792537966189E-3</v>
      </c>
      <c r="Y846" s="12">
        <v>-2.0116720413143607E-4</v>
      </c>
      <c r="Z846" s="12">
        <v>5.7967852250724317E-3</v>
      </c>
      <c r="AA846" s="12">
        <v>-5.8737199728036149E-3</v>
      </c>
      <c r="AB846" s="12">
        <v>1.3412693474634807E-4</v>
      </c>
      <c r="AC846" s="12">
        <v>-4.2397480090006212E-4</v>
      </c>
    </row>
    <row r="847" spans="12:29" x14ac:dyDescent="0.2">
      <c r="L847" s="11">
        <v>45425</v>
      </c>
      <c r="M847" s="10">
        <v>90.242843627929673</v>
      </c>
      <c r="N847" s="10">
        <v>108.82313537597656</v>
      </c>
      <c r="O847" s="10">
        <v>189.66587829589844</v>
      </c>
      <c r="P847" s="10">
        <v>184.52105712890625</v>
      </c>
      <c r="Q847" s="10">
        <v>507.22702026367188</v>
      </c>
      <c r="R847" s="10">
        <v>141.73277282714844</v>
      </c>
      <c r="S847" s="10">
        <v>156.21832275390625</v>
      </c>
      <c r="V847" s="11">
        <v>45426</v>
      </c>
      <c r="W847" s="12">
        <v>6.1735224975711933E-3</v>
      </c>
      <c r="X847" s="12">
        <v>1.0578559802183474E-3</v>
      </c>
      <c r="Y847" s="12">
        <v>1.3988720624060758E-2</v>
      </c>
      <c r="Z847" s="12">
        <v>1.0586381317365001E-2</v>
      </c>
      <c r="AA847" s="12">
        <v>-6.6331807112463004E-4</v>
      </c>
      <c r="AB847" s="12">
        <v>4.5883429904007844E-3</v>
      </c>
      <c r="AC847" s="12">
        <v>6.0703889168465253E-3</v>
      </c>
    </row>
    <row r="848" spans="12:29" x14ac:dyDescent="0.2">
      <c r="L848" s="11">
        <v>45426</v>
      </c>
      <c r="M848" s="10">
        <v>91.198188781738281</v>
      </c>
      <c r="N848" s="10">
        <v>109.48373413085938</v>
      </c>
      <c r="O848" s="10">
        <v>192.31906127929688</v>
      </c>
      <c r="P848" s="10">
        <v>185.66020202636719</v>
      </c>
      <c r="Q848" s="10">
        <v>509.55435180664062</v>
      </c>
      <c r="R848" s="10">
        <v>141.88270568847656</v>
      </c>
      <c r="S848" s="10">
        <v>156.11470031738281</v>
      </c>
      <c r="V848" s="11">
        <v>45427</v>
      </c>
      <c r="W848" s="12">
        <v>1.2217948790652189E-2</v>
      </c>
      <c r="X848" s="12">
        <v>8.5217657829148585E-3</v>
      </c>
      <c r="Y848" s="12">
        <v>2.9775095205248903E-3</v>
      </c>
      <c r="Z848" s="12">
        <v>3.5837868465454781E-2</v>
      </c>
      <c r="AA848" s="12">
        <v>4.5245233348056857E-3</v>
      </c>
      <c r="AB848" s="12">
        <v>1.2382945829380709E-2</v>
      </c>
      <c r="AC848" s="12">
        <v>7.7335227283814589E-3</v>
      </c>
    </row>
    <row r="849" spans="12:29" x14ac:dyDescent="0.2">
      <c r="L849" s="11">
        <v>45427</v>
      </c>
      <c r="M849" s="10">
        <v>94.466537475585938</v>
      </c>
      <c r="N849" s="10">
        <v>110.33042907714844</v>
      </c>
      <c r="O849" s="10">
        <v>192.8916931152344</v>
      </c>
      <c r="P849" s="10">
        <v>187.9285888671875</v>
      </c>
      <c r="Q849" s="10">
        <v>515.8641357421875</v>
      </c>
      <c r="R849" s="10">
        <v>143.091796875</v>
      </c>
      <c r="S849" s="10">
        <v>156.821044921875</v>
      </c>
      <c r="V849" s="11">
        <v>45428</v>
      </c>
      <c r="W849" s="12">
        <v>6.3250603600772948E-4</v>
      </c>
      <c r="X849" s="12">
        <v>1.054559003180322E-2</v>
      </c>
      <c r="Y849" s="12">
        <v>1.7812970924782068E-3</v>
      </c>
      <c r="Z849" s="12">
        <v>-2.8639343274604601E-3</v>
      </c>
      <c r="AA849" s="12">
        <v>8.107965575809617E-3</v>
      </c>
      <c r="AB849" s="12">
        <v>-2.057639461244154E-3</v>
      </c>
      <c r="AC849" s="12">
        <v>-5.98745749842855E-3</v>
      </c>
    </row>
    <row r="850" spans="12:29" x14ac:dyDescent="0.2">
      <c r="L850" s="11">
        <v>45428</v>
      </c>
      <c r="M850" s="10">
        <v>94.195991516113281</v>
      </c>
      <c r="N850" s="10">
        <v>109.66983032226562</v>
      </c>
      <c r="O850" s="10">
        <v>193.23529052734375</v>
      </c>
      <c r="P850" s="10">
        <v>188.0474548339844</v>
      </c>
      <c r="Q850" s="10">
        <v>514.80267333984375</v>
      </c>
      <c r="R850" s="10">
        <v>144.60078430175781</v>
      </c>
      <c r="S850" s="10">
        <v>158.09254455566406</v>
      </c>
      <c r="V850" s="11">
        <v>45429</v>
      </c>
      <c r="W850" s="12">
        <v>1.5814827118521002E-4</v>
      </c>
      <c r="X850" s="12">
        <v>2.3334424095164952E-3</v>
      </c>
      <c r="Y850" s="12">
        <v>1.1458347481196007E-2</v>
      </c>
      <c r="Z850" s="12">
        <v>-1.9923934453422554E-2</v>
      </c>
      <c r="AA850" s="12">
        <v>-1.3106190254704719E-3</v>
      </c>
      <c r="AB850" s="12">
        <v>1.4376621237919274E-3</v>
      </c>
      <c r="AC850" s="12">
        <v>1.5016441450654394E-2</v>
      </c>
    </row>
    <row r="851" spans="12:29" x14ac:dyDescent="0.2">
      <c r="L851" s="11">
        <v>45429</v>
      </c>
      <c r="M851" s="10">
        <v>92.319236755371094</v>
      </c>
      <c r="N851" s="10">
        <v>111.31668090820312</v>
      </c>
      <c r="O851" s="10">
        <v>195.44944763183591</v>
      </c>
      <c r="P851" s="10">
        <v>188.07719421386719</v>
      </c>
      <c r="Q851" s="10">
        <v>515.54278564453125</v>
      </c>
      <c r="R851" s="10">
        <v>144.93820190429688</v>
      </c>
      <c r="S851" s="10">
        <v>157.88534545898438</v>
      </c>
      <c r="V851" s="11">
        <v>45432</v>
      </c>
      <c r="W851" s="12">
        <v>6.1618583483284972E-3</v>
      </c>
      <c r="X851" s="12">
        <v>-1.3885207086886897E-2</v>
      </c>
      <c r="Y851" s="12">
        <v>-4.4972919378794995E-2</v>
      </c>
      <c r="Z851" s="12">
        <v>2.488143639414897E-2</v>
      </c>
      <c r="AA851" s="12">
        <v>-1.9685568252741925E-3</v>
      </c>
      <c r="AB851" s="12">
        <v>1.1520539555727183E-3</v>
      </c>
      <c r="AC851" s="12">
        <v>-8.1076728007950516E-3</v>
      </c>
    </row>
    <row r="852" spans="12:29" x14ac:dyDescent="0.2">
      <c r="L852" s="11">
        <v>45432</v>
      </c>
      <c r="M852" s="10">
        <v>94.616271972656236</v>
      </c>
      <c r="N852" s="10">
        <v>110.41416168212891</v>
      </c>
      <c r="O852" s="10">
        <v>186.65951538085935</v>
      </c>
      <c r="P852" s="10">
        <v>189.23609924316409</v>
      </c>
      <c r="Q852" s="10">
        <v>516.13671875</v>
      </c>
      <c r="R852" s="10">
        <v>142.92570495605469</v>
      </c>
      <c r="S852" s="10">
        <v>157.57453918457031</v>
      </c>
      <c r="V852" s="11">
        <v>45433</v>
      </c>
      <c r="W852" s="12">
        <v>6.857323752878175E-3</v>
      </c>
      <c r="X852" s="12">
        <v>-1.9836061040834352E-4</v>
      </c>
      <c r="Y852" s="12">
        <v>2.0145316105282474E-2</v>
      </c>
      <c r="Z852" s="12">
        <v>6.3937200077668344E-3</v>
      </c>
      <c r="AA852" s="12">
        <v>6.2159593407642433E-3</v>
      </c>
      <c r="AB852" s="12">
        <v>2.4525849346481721E-3</v>
      </c>
      <c r="AC852" s="12">
        <v>-6.9098661883244539E-3</v>
      </c>
    </row>
    <row r="853" spans="12:29" x14ac:dyDescent="0.2">
      <c r="L853" s="11">
        <v>45433</v>
      </c>
      <c r="M853" s="10">
        <v>95.221221923828125</v>
      </c>
      <c r="N853" s="10">
        <v>109.65121459960938</v>
      </c>
      <c r="O853" s="10">
        <v>190.4198303222656</v>
      </c>
      <c r="P853" s="10">
        <v>190.53375244140625</v>
      </c>
      <c r="Q853" s="10">
        <v>517.402587890625</v>
      </c>
      <c r="R853" s="10">
        <v>142.89735412597656</v>
      </c>
      <c r="S853" s="10">
        <v>158.55401611328125</v>
      </c>
      <c r="V853" s="11">
        <v>45434</v>
      </c>
      <c r="W853" s="12">
        <v>-7.5382683501483694E-3</v>
      </c>
      <c r="X853" s="12">
        <v>1.4943105232815057E-2</v>
      </c>
      <c r="Y853" s="12">
        <v>-6.0644164754041219E-3</v>
      </c>
      <c r="Z853" s="12">
        <v>-4.5710079036370699E-3</v>
      </c>
      <c r="AA853" s="12">
        <v>-3.2075847204637853E-3</v>
      </c>
      <c r="AB853" s="12">
        <v>-2.8793963613130691E-3</v>
      </c>
      <c r="AC853" s="12">
        <v>-2.0110346332406492E-2</v>
      </c>
    </row>
    <row r="854" spans="12:29" x14ac:dyDescent="0.2">
      <c r="L854" s="11">
        <v>45434</v>
      </c>
      <c r="M854" s="10">
        <v>94.785964965820327</v>
      </c>
      <c r="N854" s="10">
        <v>107.4460906982422</v>
      </c>
      <c r="O854" s="10">
        <v>189.2650451660156</v>
      </c>
      <c r="P854" s="10">
        <v>189.09745788574219</v>
      </c>
      <c r="Q854" s="10">
        <v>515.91278076171875</v>
      </c>
      <c r="R854" s="10">
        <v>145.03268432617188</v>
      </c>
      <c r="S854" s="10">
        <v>158.04544067382812</v>
      </c>
      <c r="V854" s="11">
        <v>45435</v>
      </c>
      <c r="W854" s="12">
        <v>-2.1058218913067361E-2</v>
      </c>
      <c r="X854" s="12">
        <v>-2.4755751319692987E-2</v>
      </c>
      <c r="Y854" s="12">
        <v>-7.0092941817075927E-3</v>
      </c>
      <c r="Z854" s="12">
        <v>9.3196631043065192E-2</v>
      </c>
      <c r="AA854" s="12">
        <v>-1.3825315471651667E-2</v>
      </c>
      <c r="AB854" s="12">
        <v>-7.3042803406953016E-3</v>
      </c>
      <c r="AC854" s="12">
        <v>-1.7059151580460785E-2</v>
      </c>
    </row>
    <row r="855" spans="12:29" x14ac:dyDescent="0.2">
      <c r="L855" s="11">
        <v>45435</v>
      </c>
      <c r="M855" s="10">
        <v>103.61969757080078</v>
      </c>
      <c r="N855" s="10">
        <v>105.61315155029295</v>
      </c>
      <c r="O855" s="10">
        <v>187.93843078613281</v>
      </c>
      <c r="P855" s="10">
        <v>185.11540222167969</v>
      </c>
      <c r="Q855" s="10">
        <v>512.1444091796875</v>
      </c>
      <c r="R855" s="10">
        <v>141.44229125976562</v>
      </c>
      <c r="S855" s="10">
        <v>155.86041259765625</v>
      </c>
      <c r="V855" s="11">
        <v>45436</v>
      </c>
      <c r="W855" s="12">
        <v>1.6588245544346902E-2</v>
      </c>
      <c r="X855" s="12">
        <v>-1.8236352483536944E-2</v>
      </c>
      <c r="Y855" s="12">
        <v>1.9246337482512699E-2</v>
      </c>
      <c r="Z855" s="12">
        <v>2.5722664882689816E-2</v>
      </c>
      <c r="AA855" s="12">
        <v>-9.6666806337830646E-4</v>
      </c>
      <c r="AB855" s="12">
        <v>6.6165143641250257E-3</v>
      </c>
      <c r="AC855" s="12">
        <v>-7.9296813455698167E-4</v>
      </c>
    </row>
    <row r="856" spans="12:29" x14ac:dyDescent="0.2">
      <c r="L856" s="11">
        <v>45436</v>
      </c>
      <c r="M856" s="10">
        <v>106.28507232666016</v>
      </c>
      <c r="N856" s="10">
        <v>105.52940368652344</v>
      </c>
      <c r="O856" s="10">
        <v>191.55555725097656</v>
      </c>
      <c r="P856" s="10">
        <v>188.18614196777344</v>
      </c>
      <c r="Q856" s="10">
        <v>515.53302001953125</v>
      </c>
      <c r="R856" s="10">
        <v>138.86289978027344</v>
      </c>
      <c r="S856" s="10">
        <v>155.70974731445312</v>
      </c>
      <c r="V856" s="11">
        <v>45440</v>
      </c>
      <c r="W856" s="12">
        <v>5.2704268161951617E-5</v>
      </c>
      <c r="X856" s="12">
        <v>-1.7622731187089458E-2</v>
      </c>
      <c r="Y856" s="12">
        <v>-6.028620053633249E-3</v>
      </c>
      <c r="Z856" s="12">
        <v>6.9804336329984285E-2</v>
      </c>
      <c r="AA856" s="12">
        <v>-1.3427775764523364E-2</v>
      </c>
      <c r="AB856" s="12">
        <v>6.9886993335588343E-4</v>
      </c>
      <c r="AC856" s="12">
        <v>1.2696329873951306E-2</v>
      </c>
    </row>
    <row r="857" spans="12:29" x14ac:dyDescent="0.2">
      <c r="L857" s="11">
        <v>45440</v>
      </c>
      <c r="M857" s="10">
        <v>113.70423126220705</v>
      </c>
      <c r="N857" s="10">
        <v>106.86923980712891</v>
      </c>
      <c r="O857" s="10">
        <v>190.40074157714844</v>
      </c>
      <c r="P857" s="10">
        <v>188.19606018066409</v>
      </c>
      <c r="Q857" s="10">
        <v>515.893310546875</v>
      </c>
      <c r="R857" s="10">
        <v>136.41575622558594</v>
      </c>
      <c r="S857" s="10">
        <v>153.61891174316406</v>
      </c>
      <c r="V857" s="11">
        <v>45441</v>
      </c>
      <c r="W857" s="12">
        <v>1.5788555782134672E-3</v>
      </c>
      <c r="X857" s="12">
        <v>4.1565330666415434E-4</v>
      </c>
      <c r="Y857" s="12">
        <v>-6.9674853621581878E-3</v>
      </c>
      <c r="Z857" s="12">
        <v>8.1122205267896152E-3</v>
      </c>
      <c r="AA857" s="12">
        <v>-8.9509195318154822E-3</v>
      </c>
      <c r="AB857" s="12">
        <v>-7.002629786867498E-3</v>
      </c>
      <c r="AC857" s="12">
        <v>-1.0708856250176146E-2</v>
      </c>
    </row>
    <row r="858" spans="12:29" x14ac:dyDescent="0.2">
      <c r="L858" s="11">
        <v>45441</v>
      </c>
      <c r="M858" s="10">
        <v>114.62662506103516</v>
      </c>
      <c r="N858" s="10">
        <v>105.72479248046876</v>
      </c>
      <c r="O858" s="10">
        <v>189.0741271972656</v>
      </c>
      <c r="P858" s="10">
        <v>188.49319458007812</v>
      </c>
      <c r="Q858" s="10">
        <v>512.28070068359375</v>
      </c>
      <c r="R858" s="10">
        <v>136.47245788574219</v>
      </c>
      <c r="S858" s="10">
        <v>152.24388122558594</v>
      </c>
      <c r="V858" s="11">
        <v>45442</v>
      </c>
      <c r="W858" s="12">
        <v>5.2552033539785548E-3</v>
      </c>
      <c r="X858" s="12">
        <v>5.8153868481156668E-3</v>
      </c>
      <c r="Y858" s="12">
        <v>6.1581795153675678E-3</v>
      </c>
      <c r="Z858" s="12">
        <v>-3.7665944882374514E-2</v>
      </c>
      <c r="AA858" s="12">
        <v>5.7530702969845748E-3</v>
      </c>
      <c r="AB858" s="12">
        <v>-6.6336383696958823E-3</v>
      </c>
      <c r="AC858" s="12">
        <v>3.1682345232493248E-3</v>
      </c>
    </row>
    <row r="859" spans="12:29" x14ac:dyDescent="0.2">
      <c r="L859" s="11">
        <v>45442</v>
      </c>
      <c r="M859" s="10">
        <v>110.30910491943359</v>
      </c>
      <c r="N859" s="10">
        <v>106.05975341796876</v>
      </c>
      <c r="O859" s="10">
        <v>190.23847961425781</v>
      </c>
      <c r="P859" s="10">
        <v>189.4837646484375</v>
      </c>
      <c r="Q859" s="10">
        <v>508.88241577148438</v>
      </c>
      <c r="R859" s="10">
        <v>137.26609802246094</v>
      </c>
      <c r="S859" s="10">
        <v>153.1197509765625</v>
      </c>
      <c r="V859" s="11">
        <v>45443</v>
      </c>
      <c r="W859" s="12">
        <v>5.0185987961999245E-3</v>
      </c>
      <c r="X859" s="12">
        <v>9.567833954043925E-3</v>
      </c>
      <c r="Y859" s="12">
        <v>1.655556552817572E-2</v>
      </c>
      <c r="Z859" s="12">
        <v>-7.8461465573556044E-3</v>
      </c>
      <c r="AA859" s="12">
        <v>1.2055678726231811E-2</v>
      </c>
      <c r="AB859" s="12">
        <v>9.1081536802957164E-3</v>
      </c>
      <c r="AC859" s="12">
        <v>2.8686762775488761E-2</v>
      </c>
    </row>
    <row r="860" spans="12:29" x14ac:dyDescent="0.2">
      <c r="L860" s="11">
        <v>45443</v>
      </c>
      <c r="M860" s="10">
        <v>109.443603515625</v>
      </c>
      <c r="N860" s="10">
        <v>109.10226440429688</v>
      </c>
      <c r="O860" s="10">
        <v>193.38798522949219</v>
      </c>
      <c r="P860" s="10">
        <v>190.43470764160156</v>
      </c>
      <c r="Q860" s="10">
        <v>513.51739501953125</v>
      </c>
      <c r="R860" s="10">
        <v>138.57943725585938</v>
      </c>
      <c r="S860" s="10">
        <v>154.96571350097656</v>
      </c>
      <c r="V860" s="11">
        <v>45446</v>
      </c>
      <c r="W860" s="12">
        <v>9.2587302786648618E-3</v>
      </c>
      <c r="X860" s="12">
        <v>7.2952458846355928E-3</v>
      </c>
      <c r="Y860" s="12">
        <v>-3.9972778648992291E-3</v>
      </c>
      <c r="Z860" s="12">
        <v>4.8954227370778369E-2</v>
      </c>
      <c r="AA860" s="12">
        <v>6.6858129707325631E-4</v>
      </c>
      <c r="AB860" s="12">
        <v>8.1535927689269094E-4</v>
      </c>
      <c r="AC860" s="12">
        <v>-2.3963983292042634E-2</v>
      </c>
    </row>
    <row r="861" spans="12:29" x14ac:dyDescent="0.2">
      <c r="L861" s="11">
        <v>45446</v>
      </c>
      <c r="M861" s="10">
        <v>114.80133056640624</v>
      </c>
      <c r="N861" s="10">
        <v>106.48773956298828</v>
      </c>
      <c r="O861" s="10">
        <v>192.61495971679688</v>
      </c>
      <c r="P861" s="10">
        <v>192.19789123535156</v>
      </c>
      <c r="Q861" s="10">
        <v>513.93609619140625</v>
      </c>
      <c r="R861" s="10">
        <v>139.59040832519531</v>
      </c>
      <c r="S861" s="10">
        <v>155.06932067871094</v>
      </c>
      <c r="V861" s="11">
        <v>45447</v>
      </c>
      <c r="W861" s="12">
        <v>1.6493487037547716E-3</v>
      </c>
      <c r="X861" s="12">
        <v>4.063095711646092E-4</v>
      </c>
      <c r="Y861" s="12">
        <v>-1.3180320004081314E-2</v>
      </c>
      <c r="Z861" s="12">
        <v>1.2495713499618644E-2</v>
      </c>
      <c r="AA861" s="12">
        <v>1.4333405853980796E-2</v>
      </c>
      <c r="AB861" s="12">
        <v>1.1178898116688263E-3</v>
      </c>
      <c r="AC861" s="12">
        <v>-1.5552573977645534E-2</v>
      </c>
    </row>
    <row r="862" spans="12:29" x14ac:dyDescent="0.2">
      <c r="L862" s="11">
        <v>45447</v>
      </c>
      <c r="M862" s="10">
        <v>116.23585510253906</v>
      </c>
      <c r="N862" s="10">
        <v>104.83158111572266</v>
      </c>
      <c r="O862" s="10">
        <v>190.07623291015625</v>
      </c>
      <c r="P862" s="10">
        <v>192.514892578125</v>
      </c>
      <c r="Q862" s="10">
        <v>514.5106201171875</v>
      </c>
      <c r="R862" s="10">
        <v>139.64712524414062</v>
      </c>
      <c r="S862" s="10">
        <v>157.2919921875</v>
      </c>
      <c r="V862" s="11">
        <v>45448</v>
      </c>
      <c r="W862" s="12">
        <v>7.8208520546172444E-3</v>
      </c>
      <c r="X862" s="12">
        <v>-1.2381781559573257E-2</v>
      </c>
      <c r="Y862" s="12">
        <v>-9.539982705078609E-3</v>
      </c>
      <c r="Z862" s="12">
        <v>5.1555844184144828E-2</v>
      </c>
      <c r="AA862" s="12">
        <v>-5.7481901941428548E-3</v>
      </c>
      <c r="AB862" s="12">
        <v>1.1885179878577512E-2</v>
      </c>
      <c r="AC862" s="12">
        <v>3.9940366006003813E-3</v>
      </c>
    </row>
    <row r="863" spans="12:29" x14ac:dyDescent="0.2">
      <c r="L863" s="11">
        <v>45448</v>
      </c>
      <c r="M863" s="10">
        <v>122.22849273681641</v>
      </c>
      <c r="N863" s="10">
        <v>105.25028228759766</v>
      </c>
      <c r="O863" s="10">
        <v>188.26290893554688</v>
      </c>
      <c r="P863" s="10">
        <v>194.02052307128903</v>
      </c>
      <c r="Q863" s="10">
        <v>520.62567138671875</v>
      </c>
      <c r="R863" s="10">
        <v>137.91804504394531</v>
      </c>
      <c r="S863" s="10">
        <v>156.38784790039062</v>
      </c>
      <c r="V863" s="11">
        <v>45449</v>
      </c>
      <c r="W863" s="12">
        <v>-7.096552515471366E-3</v>
      </c>
      <c r="X863" s="12">
        <v>3.0826686929399383E-3</v>
      </c>
      <c r="Y863" s="12">
        <v>-1.7742748864119084E-3</v>
      </c>
      <c r="Z863" s="12">
        <v>-1.177717648749288E-2</v>
      </c>
      <c r="AA863" s="12">
        <v>1.4573958872611703E-2</v>
      </c>
      <c r="AB863" s="12">
        <v>-1.8874713054506387E-5</v>
      </c>
      <c r="AC863" s="12">
        <v>7.514117966433087E-3</v>
      </c>
    </row>
    <row r="864" spans="12:29" x14ac:dyDescent="0.2">
      <c r="L864" s="11">
        <v>45449</v>
      </c>
      <c r="M864" s="10">
        <v>120.78898620605467</v>
      </c>
      <c r="N864" s="10">
        <v>106.04114532470705</v>
      </c>
      <c r="O864" s="10">
        <v>187.92887878417969</v>
      </c>
      <c r="P864" s="10">
        <v>192.6436462402344</v>
      </c>
      <c r="Q864" s="10">
        <v>520.6158447265625</v>
      </c>
      <c r="R864" s="10">
        <v>138.34320068359375</v>
      </c>
      <c r="S864" s="10">
        <v>158.66703796386719</v>
      </c>
      <c r="V864" s="11">
        <v>45450</v>
      </c>
      <c r="W864" s="12">
        <v>1.2392145357492002E-2</v>
      </c>
      <c r="X864" s="12">
        <v>4.5078233400908108E-3</v>
      </c>
      <c r="Y864" s="12">
        <v>1.5438563500625779E-2</v>
      </c>
      <c r="Z864" s="12">
        <v>-9.0916819763231516E-4</v>
      </c>
      <c r="AA864" s="12">
        <v>-8.3695544402346833E-3</v>
      </c>
      <c r="AB864" s="12">
        <v>-1.215742042282475E-3</v>
      </c>
      <c r="AC864" s="12">
        <v>-1.0704563809332046E-2</v>
      </c>
    </row>
    <row r="865" spans="12:29" x14ac:dyDescent="0.2">
      <c r="L865" s="11">
        <v>45450</v>
      </c>
      <c r="M865" s="10">
        <v>120.67916870117188</v>
      </c>
      <c r="N865" s="10">
        <v>104.90602111816406</v>
      </c>
      <c r="O865" s="10">
        <v>190.83023071289065</v>
      </c>
      <c r="P865" s="10">
        <v>195.03091430664065</v>
      </c>
      <c r="Q865" s="10">
        <v>519.98291015625</v>
      </c>
      <c r="R865" s="10">
        <v>138.96682739257812</v>
      </c>
      <c r="S865" s="10">
        <v>157.33906555175781</v>
      </c>
      <c r="V865" s="11">
        <v>45453</v>
      </c>
      <c r="W865" s="12">
        <v>-1.9147840175202768E-2</v>
      </c>
      <c r="X865" s="12">
        <v>3.4005575728568438E-4</v>
      </c>
      <c r="Y865" s="12">
        <v>-1.7005897051477481E-3</v>
      </c>
      <c r="Z865" s="12">
        <v>7.4614702806863331E-3</v>
      </c>
      <c r="AA865" s="12">
        <v>1.7359472884939109E-3</v>
      </c>
      <c r="AB865" s="12">
        <v>3.0900063384744492E-3</v>
      </c>
      <c r="AC865" s="12">
        <v>2.9267848522227524E-3</v>
      </c>
    </row>
    <row r="866" spans="12:29" x14ac:dyDescent="0.2">
      <c r="L866" s="11">
        <v>45453</v>
      </c>
      <c r="M866" s="10">
        <v>121.57961273193359</v>
      </c>
      <c r="N866" s="10">
        <v>105.21305847167967</v>
      </c>
      <c r="O866" s="10">
        <v>190.50570678710935</v>
      </c>
      <c r="P866" s="10">
        <v>191.29649353027344</v>
      </c>
      <c r="Q866" s="10">
        <v>521.58966064453125</v>
      </c>
      <c r="R866" s="10">
        <v>139.01408386230469</v>
      </c>
      <c r="S866" s="10">
        <v>157.61219787597656</v>
      </c>
      <c r="V866" s="11">
        <v>45454</v>
      </c>
      <c r="W866" s="12">
        <v>7.2649120306310877E-2</v>
      </c>
      <c r="X866" s="12">
        <v>-2.5149205410459619E-3</v>
      </c>
      <c r="Y866" s="12">
        <v>-2.6301279409133183E-2</v>
      </c>
      <c r="Z866" s="12">
        <v>-7.1440301617445856E-3</v>
      </c>
      <c r="AA866" s="12">
        <v>7.7672455747856972E-4</v>
      </c>
      <c r="AB866" s="12">
        <v>2.4081046371138282E-3</v>
      </c>
      <c r="AC866" s="12">
        <v>-8.0473596071957143E-3</v>
      </c>
    </row>
    <row r="867" spans="12:29" x14ac:dyDescent="0.2">
      <c r="L867" s="11">
        <v>45454</v>
      </c>
      <c r="M867" s="10">
        <v>120.71104431152344</v>
      </c>
      <c r="N867" s="10">
        <v>104.36637115478516</v>
      </c>
      <c r="O867" s="10">
        <v>185.49516296386719</v>
      </c>
      <c r="P867" s="10">
        <v>205.19401550292969</v>
      </c>
      <c r="Q867" s="10">
        <v>522.845703125</v>
      </c>
      <c r="R867" s="10">
        <v>138.66447448730469</v>
      </c>
      <c r="S867" s="10">
        <v>157.734619140625</v>
      </c>
      <c r="V867" s="11">
        <v>45455</v>
      </c>
      <c r="W867" s="12">
        <v>2.8578269943436041E-2</v>
      </c>
      <c r="X867" s="12">
        <v>-9.1987743624082352E-3</v>
      </c>
      <c r="Y867" s="12">
        <v>-1.4560472486945586E-2</v>
      </c>
      <c r="Z867" s="12">
        <v>3.5480959923872346E-2</v>
      </c>
      <c r="AA867" s="12">
        <v>-1.3732894946608898E-2</v>
      </c>
      <c r="AB867" s="12">
        <v>8.2131103449047949E-3</v>
      </c>
      <c r="AC867" s="12">
        <v>-1.105470963906674E-2</v>
      </c>
    </row>
    <row r="868" spans="12:29" x14ac:dyDescent="0.2">
      <c r="L868" s="11">
        <v>45455</v>
      </c>
      <c r="M868" s="10">
        <v>124.99398803710938</v>
      </c>
      <c r="N868" s="10">
        <v>103.21263122558594</v>
      </c>
      <c r="O868" s="10">
        <v>182.79426574707031</v>
      </c>
      <c r="P868" s="10">
        <v>211.05810546875</v>
      </c>
      <c r="Q868" s="10">
        <v>527.139892578125</v>
      </c>
      <c r="R868" s="10">
        <v>137.38893127441406</v>
      </c>
      <c r="S868" s="10">
        <v>155.56846618652344</v>
      </c>
      <c r="V868" s="11">
        <v>45456</v>
      </c>
      <c r="W868" s="12">
        <v>5.4912179841617448E-3</v>
      </c>
      <c r="X868" s="12">
        <v>2.7510236928995901E-4</v>
      </c>
      <c r="Y868" s="12">
        <v>1.1120984373024001E-2</v>
      </c>
      <c r="Z868" s="12">
        <v>3.5223495856612219E-2</v>
      </c>
      <c r="AA868" s="12">
        <v>7.446542953223112E-3</v>
      </c>
      <c r="AB868" s="12">
        <v>2.0133940666877681E-3</v>
      </c>
      <c r="AC868" s="12">
        <v>-8.0231154190560927E-3</v>
      </c>
    </row>
    <row r="869" spans="12:29" x14ac:dyDescent="0.2">
      <c r="L869" s="11">
        <v>45456</v>
      </c>
      <c r="M869" s="10">
        <v>129.39671325683594</v>
      </c>
      <c r="N869" s="10">
        <v>102.38454437255859</v>
      </c>
      <c r="O869" s="10">
        <v>184.82711791992188</v>
      </c>
      <c r="P869" s="10">
        <v>212.21707153320312</v>
      </c>
      <c r="Q869" s="10">
        <v>528.20123291015625</v>
      </c>
      <c r="R869" s="10">
        <v>137.42672729492188</v>
      </c>
      <c r="S869" s="10">
        <v>156.72691345214844</v>
      </c>
      <c r="V869" s="11">
        <v>45457</v>
      </c>
      <c r="W869" s="12">
        <v>-8.1684037901451623E-3</v>
      </c>
      <c r="X869" s="12">
        <v>6.1889336891396418E-4</v>
      </c>
      <c r="Y869" s="12">
        <v>6.19590962640304E-4</v>
      </c>
      <c r="Z869" s="12">
        <v>1.7514209371233491E-2</v>
      </c>
      <c r="AA869" s="12">
        <v>2.2834600056176324E-3</v>
      </c>
      <c r="AB869" s="12">
        <v>6.0850129228517957E-4</v>
      </c>
      <c r="AC869" s="12">
        <v>-8.4514260961849885E-3</v>
      </c>
    </row>
    <row r="870" spans="12:29" x14ac:dyDescent="0.2">
      <c r="L870" s="11">
        <v>45457</v>
      </c>
      <c r="M870" s="10">
        <v>131.66299438476562</v>
      </c>
      <c r="N870" s="10">
        <v>101.51924896240234</v>
      </c>
      <c r="O870" s="10">
        <v>184.94163513183591</v>
      </c>
      <c r="P870" s="10">
        <v>210.48359680175781</v>
      </c>
      <c r="Q870" s="10">
        <v>528.52264404296875</v>
      </c>
      <c r="R870" s="10">
        <v>137.51177978515625</v>
      </c>
      <c r="S870" s="10">
        <v>157.08479309082031</v>
      </c>
      <c r="V870" s="11">
        <v>45460</v>
      </c>
      <c r="W870" s="12">
        <v>1.9671525525883915E-2</v>
      </c>
      <c r="X870" s="12">
        <v>2.8170305012042984E-3</v>
      </c>
      <c r="Y870" s="12">
        <v>6.1925681097101393E-3</v>
      </c>
      <c r="Z870" s="12">
        <v>-6.8244616259338642E-3</v>
      </c>
      <c r="AA870" s="12">
        <v>4.2568468909611745E-3</v>
      </c>
      <c r="AB870" s="12">
        <v>7.9590591172626901E-3</v>
      </c>
      <c r="AC870" s="12">
        <v>-6.8737956390834132E-3</v>
      </c>
    </row>
    <row r="871" spans="12:29" x14ac:dyDescent="0.2">
      <c r="L871" s="11">
        <v>45460</v>
      </c>
      <c r="M871" s="10">
        <v>130.76446533203125</v>
      </c>
      <c r="N871" s="10">
        <v>100.82142639160156</v>
      </c>
      <c r="O871" s="10">
        <v>186.08689880371097</v>
      </c>
      <c r="P871" s="10">
        <v>214.62413024902344</v>
      </c>
      <c r="Q871" s="10">
        <v>532.72918701171875</v>
      </c>
      <c r="R871" s="10">
        <v>137.89915466308594</v>
      </c>
      <c r="S871" s="10">
        <v>157.75347900390625</v>
      </c>
      <c r="V871" s="11">
        <v>45461</v>
      </c>
      <c r="W871" s="12">
        <v>-1.0984524165931653E-2</v>
      </c>
      <c r="X871" s="12">
        <v>-2.0554677533558552E-3</v>
      </c>
      <c r="Y871" s="12">
        <v>1.0359979438133493E-2</v>
      </c>
      <c r="Z871" s="12">
        <v>3.5119804709105695E-2</v>
      </c>
      <c r="AA871" s="12">
        <v>6.3283646072769262E-3</v>
      </c>
      <c r="AB871" s="12">
        <v>2.540605288468889E-3</v>
      </c>
      <c r="AC871" s="12">
        <v>9.4130352891961255E-3</v>
      </c>
    </row>
    <row r="872" spans="12:29" x14ac:dyDescent="0.2">
      <c r="L872" s="11">
        <v>45461</v>
      </c>
      <c r="M872" s="10">
        <v>135.35688781738281</v>
      </c>
      <c r="N872" s="10">
        <v>101.7704620361328</v>
      </c>
      <c r="O872" s="10">
        <v>188.01475524902344</v>
      </c>
      <c r="P872" s="10">
        <v>212.26658630371097</v>
      </c>
      <c r="Q872" s="10">
        <v>534.0826416015625</v>
      </c>
      <c r="R872" s="10">
        <v>137.61570739746094</v>
      </c>
      <c r="S872" s="10">
        <v>158.75180053710938</v>
      </c>
      <c r="V872" s="11">
        <v>45463</v>
      </c>
      <c r="W872" s="12">
        <v>-2.1512959827844291E-2</v>
      </c>
      <c r="X872" s="12">
        <v>1.4623924314400183E-2</v>
      </c>
      <c r="Y872" s="12">
        <v>8.4772152622987207E-3</v>
      </c>
      <c r="Z872" s="12">
        <v>-3.5403323890688343E-2</v>
      </c>
      <c r="AA872" s="12">
        <v>-5.2800097808930468E-3</v>
      </c>
      <c r="AB872" s="12">
        <v>-2.7166727044789507E-3</v>
      </c>
      <c r="AC872" s="12">
        <v>2.15762375988231E-2</v>
      </c>
    </row>
    <row r="873" spans="12:29" x14ac:dyDescent="0.2">
      <c r="L873" s="11">
        <v>45463</v>
      </c>
      <c r="M873" s="10">
        <v>130.56480407714844</v>
      </c>
      <c r="N873" s="10">
        <v>103.96628570556641</v>
      </c>
      <c r="O873" s="10">
        <v>189.60859680175781</v>
      </c>
      <c r="P873" s="10">
        <v>207.7001037597656</v>
      </c>
      <c r="Q873" s="10">
        <v>532.6317138671875</v>
      </c>
      <c r="R873" s="10">
        <v>139.62818908691406</v>
      </c>
      <c r="S873" s="10">
        <v>157.91358947753906</v>
      </c>
      <c r="V873" s="11">
        <v>45464</v>
      </c>
      <c r="W873" s="12">
        <v>-1.0444441211962974E-2</v>
      </c>
      <c r="X873" s="12">
        <v>6.5638887981245286E-3</v>
      </c>
      <c r="Y873" s="12">
        <v>-1.192932121022805E-2</v>
      </c>
      <c r="Z873" s="12">
        <v>-3.2191459436149095E-2</v>
      </c>
      <c r="AA873" s="12">
        <v>3.5186889586216186E-3</v>
      </c>
      <c r="AB873" s="12">
        <v>-1.3406079179634212E-3</v>
      </c>
      <c r="AC873" s="12">
        <v>-8.7703379207957344E-3</v>
      </c>
    </row>
    <row r="874" spans="12:29" x14ac:dyDescent="0.2">
      <c r="L874" s="11">
        <v>45464</v>
      </c>
      <c r="M874" s="10">
        <v>126.36173248291016</v>
      </c>
      <c r="N874" s="10">
        <v>103.05446624755859</v>
      </c>
      <c r="O874" s="10">
        <v>187.34669494628903</v>
      </c>
      <c r="P874" s="10">
        <v>205.53079223632812</v>
      </c>
      <c r="Q874" s="10">
        <v>531.91766357421875</v>
      </c>
      <c r="R874" s="10">
        <v>140.54469299316406</v>
      </c>
      <c r="S874" s="10">
        <v>158.46923828125</v>
      </c>
      <c r="V874" s="11">
        <v>45467</v>
      </c>
      <c r="W874" s="12">
        <v>3.1327428608844965E-3</v>
      </c>
      <c r="X874" s="12">
        <v>2.4874231019733628E-3</v>
      </c>
      <c r="Y874" s="12">
        <v>1.3143151794114294E-2</v>
      </c>
      <c r="Z874" s="12">
        <v>-6.6840513364993193E-2</v>
      </c>
      <c r="AA874" s="12">
        <v>1.1293695789489355E-3</v>
      </c>
      <c r="AB874" s="12">
        <v>-3.2505104166534737E-3</v>
      </c>
      <c r="AC874" s="12">
        <v>2.9703821305928413E-2</v>
      </c>
    </row>
    <row r="875" spans="12:29" x14ac:dyDescent="0.2">
      <c r="L875" s="11">
        <v>45467</v>
      </c>
      <c r="M875" s="10">
        <v>117.9156494140625</v>
      </c>
      <c r="N875" s="10">
        <v>106.11557769775391</v>
      </c>
      <c r="O875" s="10">
        <v>189.80902099609375</v>
      </c>
      <c r="P875" s="10">
        <v>206.17466735839844</v>
      </c>
      <c r="Q875" s="10">
        <v>530.18865966796875</v>
      </c>
      <c r="R875" s="10">
        <v>140.894287109375</v>
      </c>
      <c r="S875" s="10">
        <v>158.64820861816406</v>
      </c>
      <c r="V875" s="11">
        <v>45468</v>
      </c>
      <c r="W875" s="12">
        <v>4.4681477306274253E-3</v>
      </c>
      <c r="X875" s="12">
        <v>-1.2942663614640693E-2</v>
      </c>
      <c r="Y875" s="12">
        <v>-4.0728097443237798E-3</v>
      </c>
      <c r="Z875" s="12">
        <v>6.756423628185293E-2</v>
      </c>
      <c r="AA875" s="12">
        <v>-9.4982586125127444E-3</v>
      </c>
      <c r="AB875" s="12">
        <v>3.8506386437702211E-3</v>
      </c>
      <c r="AC875" s="12">
        <v>2.8057814699937733E-3</v>
      </c>
    </row>
    <row r="876" spans="12:29" x14ac:dyDescent="0.2">
      <c r="L876" s="11">
        <v>45468</v>
      </c>
      <c r="M876" s="10">
        <v>125.88253021240234</v>
      </c>
      <c r="N876" s="10">
        <v>106.41331481933594</v>
      </c>
      <c r="O876" s="10">
        <v>189.03596496582031</v>
      </c>
      <c r="P876" s="10">
        <v>207.09588623046875</v>
      </c>
      <c r="Q876" s="10">
        <v>532.230224609375</v>
      </c>
      <c r="R876" s="10">
        <v>139.07073974609375</v>
      </c>
      <c r="S876" s="10">
        <v>157.14132690429688</v>
      </c>
      <c r="V876" s="11">
        <v>45469</v>
      </c>
      <c r="W876" s="12">
        <v>1.9993168406443829E-2</v>
      </c>
      <c r="X876" s="12">
        <v>-2.5135668313192028E-3</v>
      </c>
      <c r="Y876" s="12">
        <v>-3.2312612315408273E-3</v>
      </c>
      <c r="Z876" s="12">
        <v>2.4584726668857027E-3</v>
      </c>
      <c r="AA876" s="12">
        <v>3.5957964012711674E-3</v>
      </c>
      <c r="AB876" s="12">
        <v>1.2483859056016122E-3</v>
      </c>
      <c r="AC876" s="12">
        <v>3.4980411973029035E-4</v>
      </c>
    </row>
    <row r="877" spans="12:29" x14ac:dyDescent="0.2">
      <c r="L877" s="11">
        <v>45469</v>
      </c>
      <c r="M877" s="10">
        <v>126.19200897216795</v>
      </c>
      <c r="N877" s="10">
        <v>106.45053863525391</v>
      </c>
      <c r="O877" s="10">
        <v>188.42514038085935</v>
      </c>
      <c r="P877" s="10">
        <v>211.23638916015625</v>
      </c>
      <c r="Q877" s="10">
        <v>532.8946533203125</v>
      </c>
      <c r="R877" s="10">
        <v>138.72117614746094</v>
      </c>
      <c r="S877" s="10">
        <v>157.70637512207031</v>
      </c>
      <c r="V877" s="11">
        <v>45470</v>
      </c>
      <c r="W877" s="12">
        <v>3.9862498074920705E-3</v>
      </c>
      <c r="X877" s="12">
        <v>-6.9471340019849892E-3</v>
      </c>
      <c r="Y877" s="12">
        <v>8.8132853604003802E-3</v>
      </c>
      <c r="Z877" s="12">
        <v>-1.9066411313645393E-2</v>
      </c>
      <c r="AA877" s="12">
        <v>-4.9568257583491038E-3</v>
      </c>
      <c r="AB877" s="12">
        <v>1.5765760090602488E-3</v>
      </c>
      <c r="AC877" s="12">
        <v>4.2828315840284237E-3</v>
      </c>
    </row>
    <row r="878" spans="12:29" x14ac:dyDescent="0.2">
      <c r="L878" s="11">
        <v>45470</v>
      </c>
      <c r="M878" s="10">
        <v>123.78598022460938</v>
      </c>
      <c r="N878" s="10">
        <v>106.9064483642578</v>
      </c>
      <c r="O878" s="10">
        <v>190.08578491210935</v>
      </c>
      <c r="P878" s="10">
        <v>212.07843017578125</v>
      </c>
      <c r="Q878" s="10">
        <v>533.73480224609375</v>
      </c>
      <c r="R878" s="10">
        <v>137.75746154785156</v>
      </c>
      <c r="S878" s="10">
        <v>156.92465209960938</v>
      </c>
      <c r="V878" s="11">
        <v>45471</v>
      </c>
      <c r="W878" s="12">
        <v>-1.6254241741644693E-2</v>
      </c>
      <c r="X878" s="12">
        <v>2.468854649270158E-3</v>
      </c>
      <c r="Y878" s="12">
        <v>1.551447638371295E-2</v>
      </c>
      <c r="Z878" s="12">
        <v>-3.629303545987006E-3</v>
      </c>
      <c r="AA878" s="12">
        <v>-1.0202821528217942E-2</v>
      </c>
      <c r="AB878" s="12">
        <v>-3.9354073565153191E-3</v>
      </c>
      <c r="AC878" s="12">
        <v>1.9145841959598009E-3</v>
      </c>
    </row>
    <row r="879" spans="12:29" x14ac:dyDescent="0.2">
      <c r="L879" s="11">
        <v>45471</v>
      </c>
      <c r="M879" s="10">
        <v>123.33672332763672</v>
      </c>
      <c r="N879" s="10">
        <v>107.1111297607422</v>
      </c>
      <c r="O879" s="10">
        <v>193.03486633300781</v>
      </c>
      <c r="P879" s="10">
        <v>208.6312561035156</v>
      </c>
      <c r="Q879" s="10">
        <v>531.63433837890625</v>
      </c>
      <c r="R879" s="10">
        <v>138.09756469726562</v>
      </c>
      <c r="S879" s="10">
        <v>155.32357788085938</v>
      </c>
      <c r="V879" s="11">
        <v>45474</v>
      </c>
      <c r="W879" s="12">
        <v>2.91045222586237E-2</v>
      </c>
      <c r="X879" s="12">
        <v>1.9157244759933079E-3</v>
      </c>
      <c r="Y879" s="12">
        <v>1.5771734333496878E-2</v>
      </c>
      <c r="Z879" s="12">
        <v>6.1518034990863946E-3</v>
      </c>
      <c r="AA879" s="12">
        <v>-1.3339737187853862E-2</v>
      </c>
      <c r="AB879" s="12">
        <v>2.0581387752909297E-3</v>
      </c>
      <c r="AC879" s="12">
        <v>-1.3897446234742983E-3</v>
      </c>
    </row>
    <row r="880" spans="12:29" x14ac:dyDescent="0.2">
      <c r="L880" s="11">
        <v>45474</v>
      </c>
      <c r="M880" s="10">
        <v>124.09546661376952</v>
      </c>
      <c r="N880" s="10">
        <v>106.96227264404295</v>
      </c>
      <c r="O880" s="10">
        <v>196.07936096191409</v>
      </c>
      <c r="P880" s="10">
        <v>214.703369140625</v>
      </c>
      <c r="Q880" s="10">
        <v>532.728515625</v>
      </c>
      <c r="R880" s="10">
        <v>138.36212158203125</v>
      </c>
      <c r="S880" s="10">
        <v>153.25160217285156</v>
      </c>
      <c r="V880" s="11">
        <v>45475</v>
      </c>
      <c r="W880" s="12">
        <v>1.6239872644057129E-2</v>
      </c>
      <c r="X880" s="12">
        <v>-2.7998279607839294E-3</v>
      </c>
      <c r="Y880" s="12">
        <v>1.6451655402689225E-2</v>
      </c>
      <c r="Z880" s="12">
        <v>-1.3113447093134223E-2</v>
      </c>
      <c r="AA880" s="12">
        <v>7.2516574655221433E-3</v>
      </c>
      <c r="AB880" s="12">
        <v>6.729776870987747E-3</v>
      </c>
      <c r="AC880" s="12">
        <v>-6.7850667047842927E-3</v>
      </c>
    </row>
    <row r="881" spans="12:29" x14ac:dyDescent="0.2">
      <c r="L881" s="11">
        <v>45475</v>
      </c>
      <c r="M881" s="10">
        <v>122.46814727783205</v>
      </c>
      <c r="N881" s="10">
        <v>106.2365264892578</v>
      </c>
      <c r="O881" s="10">
        <v>199.30519104003903</v>
      </c>
      <c r="P881" s="10">
        <v>218.19012451171875</v>
      </c>
      <c r="Q881" s="10">
        <v>536.31365966796875</v>
      </c>
      <c r="R881" s="10">
        <v>137.9747314453125</v>
      </c>
      <c r="S881" s="10">
        <v>154.36293029785156</v>
      </c>
      <c r="V881" s="11">
        <v>45476</v>
      </c>
      <c r="W881" s="12">
        <v>5.8110504368462657E-3</v>
      </c>
      <c r="X881" s="12">
        <v>-2.3282762196217277E-3</v>
      </c>
      <c r="Y881" s="12">
        <v>-6.7043520102516574E-4</v>
      </c>
      <c r="Z881" s="12">
        <v>4.5732392773675912E-2</v>
      </c>
      <c r="AA881" s="12">
        <v>-4.2693352499700854E-4</v>
      </c>
      <c r="AB881" s="12">
        <v>4.4626340181470603E-3</v>
      </c>
      <c r="AC881" s="12">
        <v>5.0797744486497098E-3</v>
      </c>
    </row>
    <row r="882" spans="12:29" x14ac:dyDescent="0.2">
      <c r="L882" s="11">
        <v>45476</v>
      </c>
      <c r="M882" s="10">
        <v>128.06890869140625</v>
      </c>
      <c r="N882" s="10">
        <v>106.77618408203124</v>
      </c>
      <c r="O882" s="10">
        <v>199.17156982421875</v>
      </c>
      <c r="P882" s="10">
        <v>219.45803833007812</v>
      </c>
      <c r="Q882" s="10">
        <v>538.70703125</v>
      </c>
      <c r="R882" s="10">
        <v>137.65348815917969</v>
      </c>
      <c r="S882" s="10">
        <v>154.29702758789062</v>
      </c>
      <c r="V882" s="11">
        <v>45478</v>
      </c>
      <c r="W882" s="12">
        <v>2.1620449769099714E-2</v>
      </c>
      <c r="X882" s="12">
        <v>5.42263557669731E-3</v>
      </c>
      <c r="Y882" s="12">
        <v>-1.3250380681454232E-2</v>
      </c>
      <c r="Z882" s="12">
        <v>-1.9098788484478435E-2</v>
      </c>
      <c r="AA882" s="12">
        <v>8.4235478406369246E-3</v>
      </c>
      <c r="AB882" s="12">
        <v>5.7663703964208057E-3</v>
      </c>
      <c r="AC882" s="12">
        <v>-1.2112221700779746E-2</v>
      </c>
    </row>
    <row r="883" spans="12:29" x14ac:dyDescent="0.2">
      <c r="L883" s="11">
        <v>45478</v>
      </c>
      <c r="M883" s="10">
        <v>125.62294769287109</v>
      </c>
      <c r="N883" s="10">
        <v>105.48288726806641</v>
      </c>
      <c r="O883" s="10">
        <v>196.532470703125</v>
      </c>
      <c r="P883" s="10">
        <v>224.20281982421875</v>
      </c>
      <c r="Q883" s="10">
        <v>541.81341552734375</v>
      </c>
      <c r="R883" s="10">
        <v>138.39993286132812</v>
      </c>
      <c r="S883" s="10">
        <v>155.59675598144531</v>
      </c>
      <c r="V883" s="11">
        <v>45481</v>
      </c>
      <c r="W883" s="12">
        <v>6.5388057023867407E-3</v>
      </c>
      <c r="X883" s="12">
        <v>-6.826878149469584E-3</v>
      </c>
      <c r="Y883" s="12">
        <v>1.8555193373390733E-3</v>
      </c>
      <c r="Z883" s="12">
        <v>1.8834906679365382E-2</v>
      </c>
      <c r="AA883" s="12">
        <v>7.9291459636572359E-3</v>
      </c>
      <c r="AB883" s="12">
        <v>1.153984236467176E-3</v>
      </c>
      <c r="AC883" s="12">
        <v>-1.0496712210089298E-2</v>
      </c>
    </row>
    <row r="884" spans="12:29" x14ac:dyDescent="0.2">
      <c r="L884" s="11">
        <v>45481</v>
      </c>
      <c r="M884" s="10">
        <v>127.98904418945312</v>
      </c>
      <c r="N884" s="10">
        <v>104.37566375732422</v>
      </c>
      <c r="O884" s="10">
        <v>196.89714050292969</v>
      </c>
      <c r="P884" s="10">
        <v>225.66883850097656</v>
      </c>
      <c r="Q884" s="10">
        <v>542.43865966796875</v>
      </c>
      <c r="R884" s="10">
        <v>137.45509338378906</v>
      </c>
      <c r="S884" s="10">
        <v>156.83050537109375</v>
      </c>
      <c r="V884" s="11">
        <v>45482</v>
      </c>
      <c r="W884" s="12">
        <v>3.7749249751495295E-3</v>
      </c>
      <c r="X884" s="12">
        <v>1.0791654811802109E-2</v>
      </c>
      <c r="Y884" s="12">
        <v>1.1990064051421445E-2</v>
      </c>
      <c r="Z884" s="12">
        <v>2.4805046322734281E-2</v>
      </c>
      <c r="AA884" s="12">
        <v>-5.1647959475558114E-3</v>
      </c>
      <c r="AB884" s="12">
        <v>9.7250969499795836E-4</v>
      </c>
      <c r="AC884" s="12">
        <v>-1.1053579243266776E-2</v>
      </c>
    </row>
    <row r="885" spans="12:29" x14ac:dyDescent="0.2">
      <c r="L885" s="11">
        <v>45482</v>
      </c>
      <c r="M885" s="10">
        <v>131.163818359375</v>
      </c>
      <c r="N885" s="10">
        <v>103.22193908691406</v>
      </c>
      <c r="O885" s="10">
        <v>199.25794982910156</v>
      </c>
      <c r="P885" s="10">
        <v>226.52072143554688</v>
      </c>
      <c r="Q885" s="10">
        <v>542.9661865234375</v>
      </c>
      <c r="R885" s="10">
        <v>138.93846130371094</v>
      </c>
      <c r="S885" s="10">
        <v>156.0205078125</v>
      </c>
      <c r="V885" s="11">
        <v>45483</v>
      </c>
      <c r="W885" s="12">
        <v>1.8803575174355158E-2</v>
      </c>
      <c r="X885" s="12">
        <v>1.6185214361783107E-2</v>
      </c>
      <c r="Y885" s="12">
        <v>8.1877271544827934E-4</v>
      </c>
      <c r="Z885" s="12">
        <v>2.6868460875537625E-2</v>
      </c>
      <c r="AA885" s="12">
        <v>6.8818851125089786E-3</v>
      </c>
      <c r="AB885" s="12">
        <v>9.8950557095704994E-3</v>
      </c>
      <c r="AC885" s="12">
        <v>8.8335819504421487E-3</v>
      </c>
    </row>
    <row r="886" spans="12:29" x14ac:dyDescent="0.2">
      <c r="L886" s="11">
        <v>45483</v>
      </c>
      <c r="M886" s="10">
        <v>134.68798828125</v>
      </c>
      <c r="N886" s="10">
        <v>104.13375854492188</v>
      </c>
      <c r="O886" s="10">
        <v>199.42109680175781</v>
      </c>
      <c r="P886" s="10">
        <v>230.78012084960935</v>
      </c>
      <c r="Q886" s="10">
        <v>548.3388671875</v>
      </c>
      <c r="R886" s="10">
        <v>141.18721008300781</v>
      </c>
      <c r="S886" s="10">
        <v>157.09422302246094</v>
      </c>
      <c r="V886" s="11">
        <v>45484</v>
      </c>
      <c r="W886" s="12">
        <v>-2.3220812771093224E-2</v>
      </c>
      <c r="X886" s="12">
        <v>1.8066875647435587E-3</v>
      </c>
      <c r="Y886" s="12">
        <v>-1.6842574342954553E-3</v>
      </c>
      <c r="Z886" s="12">
        <v>-5.566657966002142E-2</v>
      </c>
      <c r="AA886" s="12">
        <v>-7.5542039606901756E-3</v>
      </c>
      <c r="AB886" s="12">
        <v>-8.6223439400604507E-3</v>
      </c>
      <c r="AC886" s="12">
        <v>1.1883563801650121E-2</v>
      </c>
    </row>
    <row r="887" spans="12:29" x14ac:dyDescent="0.2">
      <c r="L887" s="11">
        <v>45484</v>
      </c>
      <c r="M887" s="10">
        <v>127.19036865234376</v>
      </c>
      <c r="N887" s="10">
        <v>105.37123870849609</v>
      </c>
      <c r="O887" s="10">
        <v>199.08522033691409</v>
      </c>
      <c r="P887" s="10">
        <v>225.42121887207031</v>
      </c>
      <c r="Q887" s="10">
        <v>543.61090087890625</v>
      </c>
      <c r="R887" s="10">
        <v>141.44229125976562</v>
      </c>
      <c r="S887" s="10">
        <v>155.90750122070312</v>
      </c>
      <c r="V887" s="11">
        <v>45485</v>
      </c>
      <c r="W887" s="12">
        <v>1.3050722575094431E-2</v>
      </c>
      <c r="X887" s="12">
        <v>1.2024300608810545E-3</v>
      </c>
      <c r="Y887" s="12">
        <v>-1.209925555954372E-2</v>
      </c>
      <c r="Z887" s="12">
        <v>1.4442841670397666E-2</v>
      </c>
      <c r="AA887" s="12">
        <v>6.4638757964969873E-3</v>
      </c>
      <c r="AB887" s="12">
        <v>6.3075133376995218E-3</v>
      </c>
      <c r="AC887" s="12">
        <v>1.7652315845539945E-4</v>
      </c>
    </row>
    <row r="888" spans="12:29" x14ac:dyDescent="0.2">
      <c r="L888" s="11">
        <v>45485</v>
      </c>
      <c r="M888" s="10">
        <v>129.02735900878906</v>
      </c>
      <c r="N888" s="10">
        <v>105.38983917236328</v>
      </c>
      <c r="O888" s="10">
        <v>196.67643737792969</v>
      </c>
      <c r="P888" s="10">
        <v>228.36312866210935</v>
      </c>
      <c r="Q888" s="10">
        <v>547.03973388671875</v>
      </c>
      <c r="R888" s="10">
        <v>141.61236572265625</v>
      </c>
      <c r="S888" s="10">
        <v>156.91526794433594</v>
      </c>
      <c r="V888" s="11">
        <v>45488</v>
      </c>
      <c r="W888" s="12">
        <v>1.6743344884400102E-2</v>
      </c>
      <c r="X888" s="12">
        <v>-4.2700406046607409E-3</v>
      </c>
      <c r="Y888" s="12">
        <v>2.4934157070464202E-2</v>
      </c>
      <c r="Z888" s="12">
        <v>-6.1902069516364122E-3</v>
      </c>
      <c r="AA888" s="12">
        <v>-1.2184352968255596E-2</v>
      </c>
      <c r="AB888" s="12">
        <v>2.7500644616091918E-3</v>
      </c>
      <c r="AC888" s="12">
        <v>1.7127253123484953E-2</v>
      </c>
    </row>
    <row r="889" spans="12:29" x14ac:dyDescent="0.2">
      <c r="L889" s="11">
        <v>45488</v>
      </c>
      <c r="M889" s="10">
        <v>128.22865295410156</v>
      </c>
      <c r="N889" s="10">
        <v>107.19487762451172</v>
      </c>
      <c r="O889" s="10">
        <v>201.58039855957031</v>
      </c>
      <c r="P889" s="10">
        <v>232.18669128417969</v>
      </c>
      <c r="Q889" s="10">
        <v>548.54412841796875</v>
      </c>
      <c r="R889" s="10">
        <v>141.00767517089844</v>
      </c>
      <c r="S889" s="10">
        <v>155.00335693359375</v>
      </c>
      <c r="V889" s="11">
        <v>45489</v>
      </c>
      <c r="W889" s="12">
        <v>1.7919918573066074E-3</v>
      </c>
      <c r="X889" s="12">
        <v>1.1860195113579275E-2</v>
      </c>
      <c r="Y889" s="12">
        <v>1.6995901753818821E-2</v>
      </c>
      <c r="Z889" s="12">
        <v>-1.6194323071095917E-2</v>
      </c>
      <c r="AA889" s="12">
        <v>1.4400441018674437E-2</v>
      </c>
      <c r="AB889" s="12">
        <v>5.9298923252879554E-3</v>
      </c>
      <c r="AC889" s="12">
        <v>7.2042149863984495E-3</v>
      </c>
    </row>
    <row r="890" spans="12:29" x14ac:dyDescent="0.2">
      <c r="L890" s="11">
        <v>45489</v>
      </c>
      <c r="M890" s="10">
        <v>126.15207672119141</v>
      </c>
      <c r="N890" s="10">
        <v>107.96713256835938</v>
      </c>
      <c r="O890" s="10">
        <v>205.0064392089844</v>
      </c>
      <c r="P890" s="10">
        <v>232.60276794433591</v>
      </c>
      <c r="Q890" s="10">
        <v>551.79693603515625</v>
      </c>
      <c r="R890" s="10">
        <v>142.6800537109375</v>
      </c>
      <c r="S890" s="10">
        <v>157.2354736328125</v>
      </c>
      <c r="V890" s="11">
        <v>45490</v>
      </c>
      <c r="W890" s="12">
        <v>-2.5295963521038356E-2</v>
      </c>
      <c r="X890" s="12">
        <v>3.6884804099808877E-2</v>
      </c>
      <c r="Y890" s="12">
        <v>1.5213874611824663E-2</v>
      </c>
      <c r="Z890" s="12">
        <v>-6.6239411478859478E-2</v>
      </c>
      <c r="AA890" s="12">
        <v>1.4914721448240797E-2</v>
      </c>
      <c r="AB890" s="12">
        <v>-1.4021019084819342E-2</v>
      </c>
      <c r="AC890" s="12">
        <v>1.3788392836700858E-2</v>
      </c>
    </row>
    <row r="891" spans="12:29" x14ac:dyDescent="0.2">
      <c r="L891" s="11">
        <v>45490</v>
      </c>
      <c r="M891" s="10">
        <v>117.79583740234376</v>
      </c>
      <c r="N891" s="10">
        <v>109.45582580566406</v>
      </c>
      <c r="O891" s="10">
        <v>208.12538146972656</v>
      </c>
      <c r="P891" s="10">
        <v>226.71885681152344</v>
      </c>
      <c r="Q891" s="10">
        <v>544.0601806640625</v>
      </c>
      <c r="R891" s="10">
        <v>147.94277954101562</v>
      </c>
      <c r="S891" s="10">
        <v>159.58059692382812</v>
      </c>
      <c r="V891" s="11">
        <v>45491</v>
      </c>
      <c r="W891" s="12">
        <v>-2.0534993125366663E-2</v>
      </c>
      <c r="X891" s="12">
        <v>-7.4084288734513892E-3</v>
      </c>
      <c r="Y891" s="12">
        <v>-3.1770261893494078E-2</v>
      </c>
      <c r="Z891" s="12">
        <v>2.6273506230935384E-2</v>
      </c>
      <c r="AA891" s="12">
        <v>-5.9018342797291234E-3</v>
      </c>
      <c r="AB891" s="12">
        <v>-7.6846428974491898E-3</v>
      </c>
      <c r="AC891" s="12">
        <v>9.86059827161756E-3</v>
      </c>
    </row>
    <row r="892" spans="12:29" x14ac:dyDescent="0.2">
      <c r="L892" s="11">
        <v>45491</v>
      </c>
      <c r="M892" s="10">
        <v>120.8907470703125</v>
      </c>
      <c r="N892" s="10">
        <v>110.53512573242188</v>
      </c>
      <c r="O892" s="10">
        <v>201.51318359375</v>
      </c>
      <c r="P892" s="10">
        <v>222.06318664550781</v>
      </c>
      <c r="Q892" s="10">
        <v>539.8792724609375</v>
      </c>
      <c r="R892" s="10">
        <v>146.84675598144531</v>
      </c>
      <c r="S892" s="10">
        <v>158.63877868652344</v>
      </c>
      <c r="V892" s="11">
        <v>45492</v>
      </c>
      <c r="W892" s="12">
        <v>5.8001256499218279E-4</v>
      </c>
      <c r="X892" s="12">
        <v>-4.6969221661953275E-3</v>
      </c>
      <c r="Y892" s="12">
        <v>-9.5241931771095079E-4</v>
      </c>
      <c r="Z892" s="12">
        <v>-2.6096356593765524E-2</v>
      </c>
      <c r="AA892" s="12">
        <v>3.1476784945314584E-3</v>
      </c>
      <c r="AB892" s="12">
        <v>-6.640753333208238E-3</v>
      </c>
      <c r="AC892" s="12">
        <v>-2.2979819244260402E-2</v>
      </c>
    </row>
    <row r="893" spans="12:29" x14ac:dyDescent="0.2">
      <c r="L893" s="11">
        <v>45492</v>
      </c>
      <c r="M893" s="10">
        <v>117.73593902587891</v>
      </c>
      <c r="N893" s="10">
        <v>107.99504852294922</v>
      </c>
      <c r="O893" s="10">
        <v>201.32125854492188</v>
      </c>
      <c r="P893" s="10">
        <v>222.1919860839844</v>
      </c>
      <c r="Q893" s="10">
        <v>536.2940673828125</v>
      </c>
      <c r="R893" s="10">
        <v>146.15702819824219</v>
      </c>
      <c r="S893" s="10">
        <v>159.13812255859375</v>
      </c>
      <c r="V893" s="11">
        <v>45495</v>
      </c>
      <c r="W893" s="12">
        <v>-1.560270888298243E-3</v>
      </c>
      <c r="X893" s="12">
        <v>-2.9088963075506458E-3</v>
      </c>
      <c r="Y893" s="12">
        <v>2.3834697990494647E-3</v>
      </c>
      <c r="Z893" s="12">
        <v>4.757072774972082E-2</v>
      </c>
      <c r="AA893" s="12">
        <v>1.7263902115545182E-3</v>
      </c>
      <c r="AB893" s="12">
        <v>1.0310082054099778E-2</v>
      </c>
      <c r="AC893" s="12">
        <v>-6.8924849632221452E-3</v>
      </c>
    </row>
    <row r="894" spans="12:29" x14ac:dyDescent="0.2">
      <c r="L894" s="11">
        <v>45495</v>
      </c>
      <c r="M894" s="10">
        <v>123.33672332763672</v>
      </c>
      <c r="N894" s="10">
        <v>107.25069427490234</v>
      </c>
      <c r="O894" s="10">
        <v>201.80110168457031</v>
      </c>
      <c r="P894" s="10">
        <v>221.8453063964844</v>
      </c>
      <c r="Q894" s="10">
        <v>541.82330322265625</v>
      </c>
      <c r="R894" s="10">
        <v>145.73187255859375</v>
      </c>
      <c r="S894" s="10">
        <v>159.41285705566406</v>
      </c>
      <c r="V894" s="11">
        <v>45496</v>
      </c>
      <c r="W894" s="12">
        <v>4.6881961948306294E-3</v>
      </c>
      <c r="X894" s="12">
        <v>-1.2253677328241674E-2</v>
      </c>
      <c r="Y894" s="12">
        <v>2.3772730878102166E-4</v>
      </c>
      <c r="Z894" s="12">
        <v>-7.6899090194965103E-3</v>
      </c>
      <c r="AA894" s="12">
        <v>-9.6878795544984575E-3</v>
      </c>
      <c r="AB894" s="12">
        <v>-1.5687320587394193E-3</v>
      </c>
      <c r="AC894" s="12">
        <v>-1.6136011625912605E-2</v>
      </c>
    </row>
    <row r="895" spans="12:29" x14ac:dyDescent="0.2">
      <c r="L895" s="11">
        <v>45496</v>
      </c>
      <c r="M895" s="10">
        <v>122.38827514648438</v>
      </c>
      <c r="N895" s="10">
        <v>105.52009582519533</v>
      </c>
      <c r="O895" s="10">
        <v>201.84907531738281</v>
      </c>
      <c r="P895" s="10">
        <v>222.88536071777344</v>
      </c>
      <c r="Q895" s="10">
        <v>540.97332763671875</v>
      </c>
      <c r="R895" s="10">
        <v>143.94612121582031</v>
      </c>
      <c r="S895" s="10">
        <v>157.86848449707031</v>
      </c>
      <c r="V895" s="11">
        <v>45497</v>
      </c>
      <c r="W895" s="12">
        <v>-2.8754197897380207E-2</v>
      </c>
      <c r="X895" s="12">
        <v>2.5795839639215057E-2</v>
      </c>
      <c r="Y895" s="12">
        <v>-8.2727432782591093E-3</v>
      </c>
      <c r="Z895" s="12">
        <v>-6.8031607171220698E-2</v>
      </c>
      <c r="AA895" s="12">
        <v>8.2823727543281933E-3</v>
      </c>
      <c r="AB895" s="12">
        <v>-2.2662421599522586E-2</v>
      </c>
      <c r="AC895" s="12">
        <v>1.4108221330327186E-2</v>
      </c>
    </row>
    <row r="896" spans="12:29" x14ac:dyDescent="0.2">
      <c r="L896" s="11">
        <v>45497</v>
      </c>
      <c r="M896" s="10">
        <v>114.06200408935548</v>
      </c>
      <c r="N896" s="10">
        <v>107.00879669189452</v>
      </c>
      <c r="O896" s="10">
        <v>200.17922973632812</v>
      </c>
      <c r="P896" s="10">
        <v>216.4764709472656</v>
      </c>
      <c r="Q896" s="10">
        <v>528.71356201171875</v>
      </c>
      <c r="R896" s="10">
        <v>147.65933227539062</v>
      </c>
      <c r="S896" s="10">
        <v>159.17601013183594</v>
      </c>
      <c r="V896" s="11">
        <v>45498</v>
      </c>
      <c r="W896" s="12">
        <v>-4.8045386897103137E-3</v>
      </c>
      <c r="X896" s="12">
        <v>2.1499943887580031E-2</v>
      </c>
      <c r="Y896" s="12">
        <v>3.8356739939326978E-4</v>
      </c>
      <c r="Z896" s="12">
        <v>-1.724295810093901E-2</v>
      </c>
      <c r="AA896" s="12">
        <v>-6.547697277132225E-3</v>
      </c>
      <c r="AB896" s="12">
        <v>-5.2105393363049979E-3</v>
      </c>
      <c r="AC896" s="12">
        <v>2.1041566301438941E-2</v>
      </c>
    </row>
    <row r="897" spans="12:29" x14ac:dyDescent="0.2">
      <c r="L897" s="11">
        <v>45498</v>
      </c>
      <c r="M897" s="10">
        <v>112.09523773193359</v>
      </c>
      <c r="N897" s="10">
        <v>109.26042938232422</v>
      </c>
      <c r="O897" s="10">
        <v>200.25601196289065</v>
      </c>
      <c r="P897" s="10">
        <v>215.4364013671875</v>
      </c>
      <c r="Q897" s="10">
        <v>525.95867919921875</v>
      </c>
      <c r="R897" s="10">
        <v>150.83399963378906</v>
      </c>
      <c r="S897" s="10">
        <v>158.13377380371094</v>
      </c>
      <c r="V897" s="11">
        <v>45499</v>
      </c>
      <c r="W897" s="12">
        <v>2.1609424003672384E-3</v>
      </c>
      <c r="X897" s="12">
        <v>6.2642026242236692E-3</v>
      </c>
      <c r="Y897" s="12">
        <v>1.7108455987963289E-2</v>
      </c>
      <c r="Z897" s="12">
        <v>6.9469234980157335E-3</v>
      </c>
      <c r="AA897" s="12">
        <v>1.3241529972388477E-2</v>
      </c>
      <c r="AB897" s="12">
        <v>1.11997866618887E-2</v>
      </c>
      <c r="AC897" s="12">
        <v>-8.5147786293715555E-4</v>
      </c>
    </row>
    <row r="898" spans="12:29" x14ac:dyDescent="0.2">
      <c r="L898" s="11">
        <v>45499</v>
      </c>
      <c r="M898" s="10">
        <v>112.87395477294922</v>
      </c>
      <c r="N898" s="10">
        <v>109.16739654541016</v>
      </c>
      <c r="O898" s="10">
        <v>203.68208312988281</v>
      </c>
      <c r="P898" s="10">
        <v>215.9019470214844</v>
      </c>
      <c r="Q898" s="10">
        <v>531.84930419921875</v>
      </c>
      <c r="R898" s="10">
        <v>151.77885437011719</v>
      </c>
      <c r="S898" s="10">
        <v>160.22770690917969</v>
      </c>
      <c r="V898" s="11">
        <v>45502</v>
      </c>
      <c r="W898" s="12">
        <v>1.2846526518883739E-3</v>
      </c>
      <c r="X898" s="12">
        <v>-1.2948353464906304E-2</v>
      </c>
      <c r="Y898" s="12">
        <v>-6.5493456984596632E-3</v>
      </c>
      <c r="Z898" s="12">
        <v>-1.300202810279294E-2</v>
      </c>
      <c r="AA898" s="12">
        <v>4.8488274524618458E-3</v>
      </c>
      <c r="AB898" s="12">
        <v>5.8780197293506475E-4</v>
      </c>
      <c r="AC898" s="12">
        <v>-1.0483416870568196E-2</v>
      </c>
    </row>
    <row r="899" spans="12:29" x14ac:dyDescent="0.2">
      <c r="L899" s="11">
        <v>45502</v>
      </c>
      <c r="M899" s="10">
        <v>111.40636444091795</v>
      </c>
      <c r="N899" s="10">
        <v>108.02294921875</v>
      </c>
      <c r="O899" s="10">
        <v>202.34809875488281</v>
      </c>
      <c r="P899" s="10">
        <v>216.17930603027344</v>
      </c>
      <c r="Q899" s="10">
        <v>532.16192626953125</v>
      </c>
      <c r="R899" s="10">
        <v>149.81356811523438</v>
      </c>
      <c r="S899" s="10">
        <v>161.00462341308594</v>
      </c>
      <c r="V899" s="11">
        <v>45503</v>
      </c>
      <c r="W899" s="12">
        <v>2.5659382897240679E-3</v>
      </c>
      <c r="X899" s="12">
        <v>1.7469527454267997E-2</v>
      </c>
      <c r="Y899" s="12">
        <v>2.058353445438299E-2</v>
      </c>
      <c r="Z899" s="12">
        <v>-7.0436312747585772E-2</v>
      </c>
      <c r="AA899" s="12">
        <v>-4.8431711629678076E-2</v>
      </c>
      <c r="AB899" s="12">
        <v>-5.0664409817660072E-3</v>
      </c>
      <c r="AC899" s="12">
        <v>1.7829497222360269E-2</v>
      </c>
    </row>
    <row r="900" spans="12:29" x14ac:dyDescent="0.2">
      <c r="L900" s="11">
        <v>45503</v>
      </c>
      <c r="M900" s="10">
        <v>103.55931091308594</v>
      </c>
      <c r="N900" s="10">
        <v>109.94894409179688</v>
      </c>
      <c r="O900" s="10">
        <v>206.51313781738281</v>
      </c>
      <c r="P900" s="10">
        <v>216.7340087890625</v>
      </c>
      <c r="Q900" s="10">
        <v>529.46575927734375</v>
      </c>
      <c r="R900" s="10">
        <v>152.43074035644531</v>
      </c>
      <c r="S900" s="10">
        <v>153.20689392089844</v>
      </c>
      <c r="V900" s="11">
        <v>45504</v>
      </c>
      <c r="W900" s="12">
        <v>1.4990974297163895E-2</v>
      </c>
      <c r="X900" s="12">
        <v>-2.1570615576982699E-2</v>
      </c>
      <c r="Y900" s="12">
        <v>-1.1106583434590367E-2</v>
      </c>
      <c r="Z900" s="12">
        <v>0.12812104797164769</v>
      </c>
      <c r="AA900" s="12">
        <v>-5.8132175204846925E-3</v>
      </c>
      <c r="AB900" s="12">
        <v>1.625438469990037E-2</v>
      </c>
      <c r="AC900" s="12">
        <v>3.5543119573155924E-3</v>
      </c>
    </row>
    <row r="901" spans="12:29" x14ac:dyDescent="0.2">
      <c r="L901" s="11">
        <v>45504</v>
      </c>
      <c r="M901" s="10">
        <v>116.8274383544922</v>
      </c>
      <c r="N901" s="10">
        <v>110.33973693847656</v>
      </c>
      <c r="O901" s="10">
        <v>204.219482421875</v>
      </c>
      <c r="P901" s="10">
        <v>219.98306274414065</v>
      </c>
      <c r="Q901" s="10">
        <v>538.0718994140625</v>
      </c>
      <c r="R901" s="10">
        <v>149.14271545410156</v>
      </c>
      <c r="S901" s="10">
        <v>152.31626892089844</v>
      </c>
      <c r="V901" s="11">
        <v>45505</v>
      </c>
      <c r="W901" s="12">
        <v>-1.6750723634424203E-2</v>
      </c>
      <c r="X901" s="12">
        <v>1.8435031675683167E-2</v>
      </c>
      <c r="Y901" s="12">
        <v>-2.2744335509508273E-2</v>
      </c>
      <c r="Z901" s="12">
        <v>-6.6740739744237665E-2</v>
      </c>
      <c r="AA901" s="12">
        <v>3.0666890131122448E-2</v>
      </c>
      <c r="AB901" s="12">
        <v>-1.4160759638692899E-2</v>
      </c>
      <c r="AC901" s="12">
        <v>-1.3829261293902495E-2</v>
      </c>
    </row>
    <row r="902" spans="12:29" x14ac:dyDescent="0.2">
      <c r="L902" s="11">
        <v>45505</v>
      </c>
      <c r="M902" s="10">
        <v>109.03028869628906</v>
      </c>
      <c r="N902" s="10">
        <v>108.81381988525391</v>
      </c>
      <c r="O902" s="10">
        <v>199.57464599609375</v>
      </c>
      <c r="P902" s="10">
        <v>216.29818725585935</v>
      </c>
      <c r="Q902" s="10">
        <v>530.452392578125</v>
      </c>
      <c r="R902" s="10">
        <v>151.89216613769531</v>
      </c>
      <c r="S902" s="10">
        <v>156.98733520507812</v>
      </c>
      <c r="V902" s="11">
        <v>45506</v>
      </c>
      <c r="W902" s="12">
        <v>6.86933443045179E-3</v>
      </c>
      <c r="X902" s="12">
        <v>2.1025365152412379E-2</v>
      </c>
      <c r="Y902" s="12">
        <v>-4.2411977866745998E-2</v>
      </c>
      <c r="Z902" s="12">
        <v>-1.7763923660632952E-2</v>
      </c>
      <c r="AA902" s="12">
        <v>2.6495185512273034E-2</v>
      </c>
      <c r="AB902" s="12">
        <v>-1.8618371424376612E-2</v>
      </c>
      <c r="AC902" s="12">
        <v>-5.9856497255550423E-4</v>
      </c>
    </row>
    <row r="903" spans="12:29" x14ac:dyDescent="0.2">
      <c r="L903" s="11">
        <v>45506</v>
      </c>
      <c r="M903" s="10">
        <v>107.09348297119141</v>
      </c>
      <c r="N903" s="10">
        <v>108.74868774414062</v>
      </c>
      <c r="O903" s="10">
        <v>191.11029052734375</v>
      </c>
      <c r="P903" s="10">
        <v>217.78401184082031</v>
      </c>
      <c r="Q903" s="10">
        <v>520.57623291015625</v>
      </c>
      <c r="R903" s="10">
        <v>155.08575439453125</v>
      </c>
      <c r="S903" s="10">
        <v>161.14674377441406</v>
      </c>
      <c r="V903" s="11">
        <v>45509</v>
      </c>
      <c r="W903" s="12">
        <v>-4.8167013751364229E-2</v>
      </c>
      <c r="X903" s="12">
        <v>-1.7606875448901493E-2</v>
      </c>
      <c r="Y903" s="12">
        <v>-2.1291531452810819E-2</v>
      </c>
      <c r="Z903" s="12">
        <v>-6.3577953540785215E-2</v>
      </c>
      <c r="AA903" s="12">
        <v>-1.1876719370758959E-2</v>
      </c>
      <c r="AB903" s="12">
        <v>-2.9123810062021582E-2</v>
      </c>
      <c r="AC903" s="12">
        <v>-1.8052663171391314E-2</v>
      </c>
    </row>
    <row r="904" spans="12:29" x14ac:dyDescent="0.2">
      <c r="L904" s="11">
        <v>45509</v>
      </c>
      <c r="M904" s="10">
        <v>100.28469848632812</v>
      </c>
      <c r="N904" s="10">
        <v>106.78548431396484</v>
      </c>
      <c r="O904" s="10">
        <v>187.041259765625</v>
      </c>
      <c r="P904" s="10">
        <v>207.29400634765625</v>
      </c>
      <c r="Q904" s="10">
        <v>505.41506958007812</v>
      </c>
      <c r="R904" s="10">
        <v>152.35517883300781</v>
      </c>
      <c r="S904" s="10">
        <v>159.23284912109375</v>
      </c>
      <c r="V904" s="11">
        <v>45510</v>
      </c>
      <c r="W904" s="12">
        <v>-9.7483147126068426E-3</v>
      </c>
      <c r="X904" s="12">
        <v>-1.4139464096693866E-2</v>
      </c>
      <c r="Y904" s="12">
        <v>2.7911713684914075E-2</v>
      </c>
      <c r="Z904" s="12">
        <v>3.7829920858249988E-2</v>
      </c>
      <c r="AA904" s="12">
        <v>1.7852550011099311E-4</v>
      </c>
      <c r="AB904" s="12">
        <v>9.2196687474235262E-3</v>
      </c>
      <c r="AC904" s="12">
        <v>-5.3148671172479345E-3</v>
      </c>
    </row>
    <row r="905" spans="12:29" x14ac:dyDescent="0.2">
      <c r="L905" s="11">
        <v>45510</v>
      </c>
      <c r="M905" s="10">
        <v>104.07846069335938</v>
      </c>
      <c r="N905" s="10">
        <v>106.21793365478516</v>
      </c>
      <c r="O905" s="10">
        <v>192.26190185546875</v>
      </c>
      <c r="P905" s="10">
        <v>205.27323913574219</v>
      </c>
      <c r="Q905" s="10">
        <v>510.0748291015625</v>
      </c>
      <c r="R905" s="10">
        <v>150.20095825195312</v>
      </c>
      <c r="S905" s="10">
        <v>159.26127624511719</v>
      </c>
      <c r="V905" s="11">
        <v>45511</v>
      </c>
      <c r="W905" s="12">
        <v>1.2498302396373395E-2</v>
      </c>
      <c r="X905" s="12">
        <v>-4.4038900520848578E-4</v>
      </c>
      <c r="Y905" s="12">
        <v>2.9936327368185189E-4</v>
      </c>
      <c r="Z905" s="12">
        <v>-5.1223110897909874E-2</v>
      </c>
      <c r="AA905" s="12">
        <v>1.1481940765215581E-2</v>
      </c>
      <c r="AB905" s="12">
        <v>-6.6840443763397372E-3</v>
      </c>
      <c r="AC905" s="12">
        <v>1.3314637050459766E-2</v>
      </c>
    </row>
    <row r="906" spans="12:29" x14ac:dyDescent="0.2">
      <c r="L906" s="11">
        <v>45511</v>
      </c>
      <c r="M906" s="10">
        <v>98.747238159179673</v>
      </c>
      <c r="N906" s="10">
        <v>107.63218688964844</v>
      </c>
      <c r="O906" s="10">
        <v>192.3194580078125</v>
      </c>
      <c r="P906" s="10">
        <v>207.83880615234375</v>
      </c>
      <c r="Q906" s="10">
        <v>506.66546630859375</v>
      </c>
      <c r="R906" s="10">
        <v>150.13481140136719</v>
      </c>
      <c r="S906" s="10">
        <v>161.08990478515625</v>
      </c>
      <c r="V906" s="11">
        <v>45512</v>
      </c>
      <c r="W906" s="12">
        <v>1.6633306227976874E-2</v>
      </c>
      <c r="X906" s="12">
        <v>8.3070482613740726E-3</v>
      </c>
      <c r="Y906" s="12">
        <v>1.8263628694982659E-2</v>
      </c>
      <c r="Z906" s="12">
        <v>6.1267799006072821E-2</v>
      </c>
      <c r="AA906" s="12">
        <v>4.9993426279801856E-3</v>
      </c>
      <c r="AB906" s="12">
        <v>2.3117481590327671E-2</v>
      </c>
      <c r="AC906" s="12">
        <v>1.9104358611542027E-2</v>
      </c>
    </row>
    <row r="907" spans="12:29" x14ac:dyDescent="0.2">
      <c r="L907" s="11">
        <v>45512</v>
      </c>
      <c r="M907" s="10">
        <v>104.79726409912109</v>
      </c>
      <c r="N907" s="10">
        <v>109.6884307861328</v>
      </c>
      <c r="O907" s="10">
        <v>195.8319091796875</v>
      </c>
      <c r="P907" s="10">
        <v>211.29585266113281</v>
      </c>
      <c r="Q907" s="10">
        <v>518.3782958984375</v>
      </c>
      <c r="R907" s="10">
        <v>151.38198852539062</v>
      </c>
      <c r="S907" s="10">
        <v>161.89524841308594</v>
      </c>
      <c r="V907" s="11">
        <v>45513</v>
      </c>
      <c r="W907" s="12">
        <v>1.3735851672704413E-2</v>
      </c>
      <c r="X907" s="12">
        <v>2.4963284840091582E-3</v>
      </c>
      <c r="Y907" s="12">
        <v>8.526855144599832E-3</v>
      </c>
      <c r="Z907" s="12">
        <v>-2.0957358215321076E-3</v>
      </c>
      <c r="AA907" s="12">
        <v>-1.9312972415465035E-3</v>
      </c>
      <c r="AB907" s="12">
        <v>4.4095743490899508E-3</v>
      </c>
      <c r="AC907" s="12">
        <v>8.1430293017736854E-3</v>
      </c>
    </row>
    <row r="908" spans="12:29" x14ac:dyDescent="0.2">
      <c r="L908" s="11">
        <v>45513</v>
      </c>
      <c r="M908" s="10">
        <v>104.57763671875</v>
      </c>
      <c r="N908" s="10">
        <v>110.58162689208984</v>
      </c>
      <c r="O908" s="10">
        <v>197.50173950195312</v>
      </c>
      <c r="P908" s="10">
        <v>214.19818115234375</v>
      </c>
      <c r="Q908" s="10">
        <v>520.66412353515625</v>
      </c>
      <c r="R908" s="10">
        <v>151.7598876953125</v>
      </c>
      <c r="S908" s="10">
        <v>161.58258056640625</v>
      </c>
      <c r="V908" s="11">
        <v>45516</v>
      </c>
      <c r="W908" s="12">
        <v>7.1300182394655742E-3</v>
      </c>
      <c r="X908" s="12">
        <v>-4.6068988760610274E-3</v>
      </c>
      <c r="Y908" s="12">
        <v>1.8950862805457991E-3</v>
      </c>
      <c r="Z908" s="12">
        <v>4.0763686237889507E-2</v>
      </c>
      <c r="AA908" s="12">
        <v>-2.1871714898829775E-2</v>
      </c>
      <c r="AB908" s="12">
        <v>5.2540507007692305E-4</v>
      </c>
      <c r="AC908" s="12">
        <v>1.262370935042334E-3</v>
      </c>
    </row>
    <row r="909" spans="12:29" x14ac:dyDescent="0.2">
      <c r="L909" s="11">
        <v>45516</v>
      </c>
      <c r="M909" s="10">
        <v>108.84060668945312</v>
      </c>
      <c r="N909" s="10">
        <v>110.72122192382812</v>
      </c>
      <c r="O909" s="10">
        <v>197.87602233886719</v>
      </c>
      <c r="P909" s="10">
        <v>215.72541809082031</v>
      </c>
      <c r="Q909" s="10">
        <v>520.93768310546875</v>
      </c>
      <c r="R909" s="10">
        <v>151.06074523925781</v>
      </c>
      <c r="S909" s="10">
        <v>158.04849243164062</v>
      </c>
      <c r="V909" s="11">
        <v>45517</v>
      </c>
      <c r="W909" s="12">
        <v>1.719308001729547E-2</v>
      </c>
      <c r="X909" s="12">
        <v>-9.3193710613937997E-3</v>
      </c>
      <c r="Y909" s="12">
        <v>8.4873515220500462E-3</v>
      </c>
      <c r="Z909" s="12">
        <v>6.5309117734556388E-2</v>
      </c>
      <c r="AA909" s="12">
        <v>2.8776197722581998E-3</v>
      </c>
      <c r="AB909" s="12">
        <v>1.644549418204444E-2</v>
      </c>
      <c r="AC909" s="12">
        <v>-9.57998000613558E-3</v>
      </c>
    </row>
    <row r="910" spans="12:29" x14ac:dyDescent="0.2">
      <c r="L910" s="11">
        <v>45517</v>
      </c>
      <c r="M910" s="10">
        <v>115.94889068603516</v>
      </c>
      <c r="N910" s="10">
        <v>109.66051483154295</v>
      </c>
      <c r="O910" s="10">
        <v>199.55546569824219</v>
      </c>
      <c r="P910" s="10">
        <v>219.43440246582031</v>
      </c>
      <c r="Q910" s="10">
        <v>529.5047607421875</v>
      </c>
      <c r="R910" s="10">
        <v>149.6529541015625</v>
      </c>
      <c r="S910" s="10">
        <v>158.5032958984375</v>
      </c>
      <c r="V910" s="11">
        <v>45518</v>
      </c>
      <c r="W910" s="12">
        <v>2.033606768666596E-3</v>
      </c>
      <c r="X910" s="12">
        <v>5.6812759338220609E-4</v>
      </c>
      <c r="Y910" s="12">
        <v>1.106080891006278E-2</v>
      </c>
      <c r="Z910" s="12">
        <v>1.6703895002734948E-2</v>
      </c>
      <c r="AA910" s="12">
        <v>9.0263728003734389E-3</v>
      </c>
      <c r="AB910" s="12">
        <v>3.1547803065354874E-3</v>
      </c>
      <c r="AC910" s="12">
        <v>9.2483189286229894E-3</v>
      </c>
    </row>
    <row r="911" spans="12:29" x14ac:dyDescent="0.2">
      <c r="L911" s="11">
        <v>45518</v>
      </c>
      <c r="M911" s="10">
        <v>117.88568878173828</v>
      </c>
      <c r="N911" s="10">
        <v>110.67469024658205</v>
      </c>
      <c r="O911" s="10">
        <v>201.76271057128903</v>
      </c>
      <c r="P911" s="10">
        <v>219.88064575195312</v>
      </c>
      <c r="Q911" s="10">
        <v>531.17523193359375</v>
      </c>
      <c r="R911" s="10">
        <v>149.73797607421875</v>
      </c>
      <c r="S911" s="10">
        <v>159.93400573730469</v>
      </c>
      <c r="V911" s="11">
        <v>45519</v>
      </c>
      <c r="W911" s="12">
        <v>1.353058112443084E-2</v>
      </c>
      <c r="X911" s="12">
        <v>3.848988324738789E-3</v>
      </c>
      <c r="Y911" s="12">
        <v>6.2310170501216344E-3</v>
      </c>
      <c r="Z911" s="12">
        <v>4.0481084279578194E-2</v>
      </c>
      <c r="AA911" s="12">
        <v>-5.2135036853255823E-3</v>
      </c>
      <c r="AB911" s="12">
        <v>1.7140165062293322E-2</v>
      </c>
      <c r="AC911" s="12">
        <v>6.1865308254940299E-3</v>
      </c>
    </row>
    <row r="912" spans="12:29" x14ac:dyDescent="0.2">
      <c r="L912" s="11">
        <v>45519</v>
      </c>
      <c r="M912" s="10">
        <v>122.65782928466795</v>
      </c>
      <c r="N912" s="10">
        <v>111.35938262939452</v>
      </c>
      <c r="O912" s="10">
        <v>203.0198974609375</v>
      </c>
      <c r="P912" s="10">
        <v>222.85575866699219</v>
      </c>
      <c r="Q912" s="10">
        <v>540.2796630859375</v>
      </c>
      <c r="R912" s="10">
        <v>150.31431579589844</v>
      </c>
      <c r="S912" s="10">
        <v>159.10018920898438</v>
      </c>
      <c r="V912" s="11">
        <v>45520</v>
      </c>
      <c r="W912" s="12">
        <v>5.9184221922856661E-3</v>
      </c>
      <c r="X912" s="12">
        <v>1.8857985875340155E-3</v>
      </c>
      <c r="Y912" s="12">
        <v>1.1439287395701658E-2</v>
      </c>
      <c r="Z912" s="12">
        <v>1.3999682901177035E-2</v>
      </c>
      <c r="AA912" s="12">
        <v>-1.7857845031887809E-4</v>
      </c>
      <c r="AB912" s="12">
        <v>2.2421068732714211E-3</v>
      </c>
      <c r="AC912" s="12">
        <v>-4.7168088839090183E-3</v>
      </c>
    </row>
    <row r="913" spans="12:29" x14ac:dyDescent="0.2">
      <c r="L913" s="11">
        <v>45520</v>
      </c>
      <c r="M913" s="10">
        <v>124.375</v>
      </c>
      <c r="N913" s="10">
        <v>110.83412170410156</v>
      </c>
      <c r="O913" s="10">
        <v>205.34230041503903</v>
      </c>
      <c r="P913" s="10">
        <v>224.1747131347656</v>
      </c>
      <c r="Q913" s="10">
        <v>541.49102783203125</v>
      </c>
      <c r="R913" s="10">
        <v>150.5977783203125</v>
      </c>
      <c r="S913" s="10">
        <v>159.07177734375</v>
      </c>
      <c r="V913" s="11">
        <v>45523</v>
      </c>
      <c r="W913" s="12">
        <v>-7.0775551110646706E-4</v>
      </c>
      <c r="X913" s="12">
        <v>1.5057384430698928E-3</v>
      </c>
      <c r="Y913" s="12">
        <v>6.9167596830066458E-3</v>
      </c>
      <c r="Z913" s="12">
        <v>4.3506227426193478E-2</v>
      </c>
      <c r="AA913" s="12">
        <v>3.1566644872751404E-3</v>
      </c>
      <c r="AB913" s="12">
        <v>9.5614311837217691E-3</v>
      </c>
      <c r="AC913" s="12">
        <v>3.046550448295493E-3</v>
      </c>
    </row>
    <row r="914" spans="12:29" x14ac:dyDescent="0.2">
      <c r="L914" s="11">
        <v>45523</v>
      </c>
      <c r="M914" s="10">
        <v>129.78608703613281</v>
      </c>
      <c r="N914" s="10">
        <v>111.17178344726562</v>
      </c>
      <c r="O914" s="10">
        <v>206.7626037597656</v>
      </c>
      <c r="P914" s="10">
        <v>224.01605224609375</v>
      </c>
      <c r="Q914" s="10">
        <v>546.66845703125</v>
      </c>
      <c r="R914" s="10">
        <v>150.82453918457031</v>
      </c>
      <c r="S914" s="10">
        <v>159.57391357421875</v>
      </c>
      <c r="V914" s="11">
        <v>45524</v>
      </c>
      <c r="W914" s="12">
        <v>2.7446823524859276E-3</v>
      </c>
      <c r="X914" s="12">
        <v>3.3202700366241622E-3</v>
      </c>
      <c r="Y914" s="12">
        <v>-4.316479653654226E-3</v>
      </c>
      <c r="Z914" s="12">
        <v>-2.1153793926186326E-2</v>
      </c>
      <c r="AA914" s="12">
        <v>1.1815828819652596E-2</v>
      </c>
      <c r="AB914" s="12">
        <v>-1.6261722061099437E-3</v>
      </c>
      <c r="AC914" s="12">
        <v>-3.3324828150936736E-2</v>
      </c>
    </row>
    <row r="915" spans="12:29" x14ac:dyDescent="0.2">
      <c r="L915" s="11">
        <v>45524</v>
      </c>
      <c r="M915" s="10">
        <v>127.04061889648438</v>
      </c>
      <c r="N915" s="10">
        <v>107.46700286865234</v>
      </c>
      <c r="O915" s="10">
        <v>205.8701171875</v>
      </c>
      <c r="P915" s="10">
        <v>224.63090515136719</v>
      </c>
      <c r="Q915" s="10">
        <v>545.77947998046875</v>
      </c>
      <c r="R915" s="10">
        <v>151.3253173828125</v>
      </c>
      <c r="S915" s="10">
        <v>161.45941162109375</v>
      </c>
      <c r="V915" s="11">
        <v>45525</v>
      </c>
      <c r="W915" s="12">
        <v>-4.8555128309368811E-4</v>
      </c>
      <c r="X915" s="12">
        <v>7.9295119537097225E-3</v>
      </c>
      <c r="Y915" s="12">
        <v>3.7303852740122601E-4</v>
      </c>
      <c r="Z915" s="12">
        <v>9.8230378246531025E-3</v>
      </c>
      <c r="AA915" s="12">
        <v>-1.467102097226447E-3</v>
      </c>
      <c r="AB915" s="12">
        <v>3.4366835975325749E-3</v>
      </c>
      <c r="AC915" s="12">
        <v>-6.3712580971841959E-3</v>
      </c>
    </row>
    <row r="916" spans="12:29" x14ac:dyDescent="0.2">
      <c r="L916" s="11">
        <v>45525</v>
      </c>
      <c r="M916" s="10">
        <v>128.28854370117188</v>
      </c>
      <c r="N916" s="10">
        <v>106.78230285644533</v>
      </c>
      <c r="O916" s="10">
        <v>205.94691467285156</v>
      </c>
      <c r="P916" s="10">
        <v>224.52183532714844</v>
      </c>
      <c r="Q916" s="10">
        <v>547.6551513671875</v>
      </c>
      <c r="R916" s="10">
        <v>152.52525329589844</v>
      </c>
      <c r="S916" s="10">
        <v>161.2225341796875</v>
      </c>
      <c r="V916" s="11">
        <v>45526</v>
      </c>
      <c r="W916" s="12">
        <v>-8.2597409058136062E-3</v>
      </c>
      <c r="X916" s="12">
        <v>5.6989394146296224E-3</v>
      </c>
      <c r="Y916" s="12">
        <v>9.4594795841456136E-3</v>
      </c>
      <c r="Z916" s="12">
        <v>-3.7042739605196329E-2</v>
      </c>
      <c r="AA916" s="12">
        <v>-5.8774091698965414E-5</v>
      </c>
      <c r="AB916" s="12">
        <v>-7.8485134264936196E-3</v>
      </c>
      <c r="AC916" s="12">
        <v>7.7296146017087342E-3</v>
      </c>
    </row>
    <row r="917" spans="12:29" x14ac:dyDescent="0.2">
      <c r="L917" s="11">
        <v>45526</v>
      </c>
      <c r="M917" s="10">
        <v>123.53638458251952</v>
      </c>
      <c r="N917" s="10">
        <v>107.60768890380859</v>
      </c>
      <c r="O917" s="10">
        <v>207.89506530761719</v>
      </c>
      <c r="P917" s="10">
        <v>222.66734313964844</v>
      </c>
      <c r="Q917" s="10">
        <v>543.35687255859375</v>
      </c>
      <c r="R917" s="10">
        <v>153.39448547363281</v>
      </c>
      <c r="S917" s="10">
        <v>161.21305847167969</v>
      </c>
      <c r="V917" s="11">
        <v>45527</v>
      </c>
      <c r="W917" s="12">
        <v>1.0288070214703682E-2</v>
      </c>
      <c r="X917" s="12">
        <v>1.0963943498273787E-2</v>
      </c>
      <c r="Y917" s="12">
        <v>7.7551571931118168E-3</v>
      </c>
      <c r="Z917" s="12">
        <v>4.5498497698979179E-2</v>
      </c>
      <c r="AA917" s="12">
        <v>-5.7594423383279247E-3</v>
      </c>
      <c r="AB917" s="12">
        <v>1.0625385922989672E-2</v>
      </c>
      <c r="AC917" s="12">
        <v>1.3858556452953641E-2</v>
      </c>
    </row>
    <row r="918" spans="12:29" x14ac:dyDescent="0.2">
      <c r="L918" s="11">
        <v>45527</v>
      </c>
      <c r="M918" s="10">
        <v>129.1571044921875</v>
      </c>
      <c r="N918" s="10">
        <v>109.09897613525391</v>
      </c>
      <c r="O918" s="10">
        <v>209.50732421875</v>
      </c>
      <c r="P918" s="10">
        <v>224.95816040039065</v>
      </c>
      <c r="Q918" s="10">
        <v>549.1302490234375</v>
      </c>
      <c r="R918" s="10">
        <v>155.0762939453125</v>
      </c>
      <c r="S918" s="10">
        <v>160.28456115722656</v>
      </c>
      <c r="V918" s="11">
        <v>45530</v>
      </c>
      <c r="W918" s="12">
        <v>1.4988952616921125E-3</v>
      </c>
      <c r="X918" s="12">
        <v>2.9248023237049559E-3</v>
      </c>
      <c r="Y918" s="12">
        <v>3.9393247271430898E-3</v>
      </c>
      <c r="Z918" s="12">
        <v>-2.2493573112928877E-2</v>
      </c>
      <c r="AA918" s="12">
        <v>6.9752615306581944E-3</v>
      </c>
      <c r="AB918" s="12">
        <v>-2.3839189947704176E-3</v>
      </c>
      <c r="AC918" s="12">
        <v>2.1406421800664432E-2</v>
      </c>
    </row>
    <row r="919" spans="12:29" x14ac:dyDescent="0.2">
      <c r="L919" s="11">
        <v>45530</v>
      </c>
      <c r="M919" s="10">
        <v>126.25189971923828</v>
      </c>
      <c r="N919" s="10">
        <v>111.43439483642578</v>
      </c>
      <c r="O919" s="10">
        <v>210.3326416015625</v>
      </c>
      <c r="P919" s="10">
        <v>225.29534912109375</v>
      </c>
      <c r="Q919" s="10">
        <v>547.8211669921875</v>
      </c>
      <c r="R919" s="10">
        <v>155.52986145019531</v>
      </c>
      <c r="S919" s="10">
        <v>161.402587890625</v>
      </c>
      <c r="V919" s="11">
        <v>45531</v>
      </c>
      <c r="W919" s="12">
        <v>3.7415621150513889E-3</v>
      </c>
      <c r="X919" s="12">
        <v>-2.5711273785773425E-3</v>
      </c>
      <c r="Y919" s="12">
        <v>4.6082661799315972E-3</v>
      </c>
      <c r="Z919" s="12">
        <v>1.4550139294029707E-2</v>
      </c>
      <c r="AA919" s="12">
        <v>-6.4573706143502552E-3</v>
      </c>
      <c r="AB919" s="12">
        <v>1.3730708321384455E-3</v>
      </c>
      <c r="AC919" s="12">
        <v>-9.5109321700797E-3</v>
      </c>
    </row>
    <row r="920" spans="12:29" x14ac:dyDescent="0.2">
      <c r="L920" s="11">
        <v>45531</v>
      </c>
      <c r="M920" s="10">
        <v>128.08888244628906</v>
      </c>
      <c r="N920" s="10">
        <v>110.37454986572266</v>
      </c>
      <c r="O920" s="10">
        <v>211.30191040039065</v>
      </c>
      <c r="P920" s="10">
        <v>226.1383056640625</v>
      </c>
      <c r="Q920" s="10">
        <v>548.5733642578125</v>
      </c>
      <c r="R920" s="10">
        <v>155.12997436523438</v>
      </c>
      <c r="S920" s="10">
        <v>160.3603515625</v>
      </c>
      <c r="V920" s="11">
        <v>45532</v>
      </c>
      <c r="W920" s="12">
        <v>-6.7534851081632041E-3</v>
      </c>
      <c r="X920" s="12">
        <v>5.9529254525456654E-3</v>
      </c>
      <c r="Y920" s="12">
        <v>5.0413485614622111E-3</v>
      </c>
      <c r="Z920" s="12">
        <v>-2.0966454792122224E-2</v>
      </c>
      <c r="AA920" s="12">
        <v>-1.1225214513211901E-3</v>
      </c>
      <c r="AB920" s="12">
        <v>-5.8051858146787039E-3</v>
      </c>
      <c r="AC920" s="12">
        <v>-9.8573216184986157E-3</v>
      </c>
    </row>
    <row r="921" spans="12:29" x14ac:dyDescent="0.2">
      <c r="L921" s="11">
        <v>45532</v>
      </c>
      <c r="M921" s="10">
        <v>125.40331268310548</v>
      </c>
      <c r="N921" s="10">
        <v>109.28655242919922</v>
      </c>
      <c r="O921" s="10">
        <v>212.36715698242188</v>
      </c>
      <c r="P921" s="10">
        <v>224.611083984375</v>
      </c>
      <c r="Q921" s="10">
        <v>545.3887939453125</v>
      </c>
      <c r="R921" s="10">
        <v>156.05345153808594</v>
      </c>
      <c r="S921" s="10">
        <v>160.18034362792969</v>
      </c>
      <c r="V921" s="11">
        <v>45533</v>
      </c>
      <c r="W921" s="12">
        <v>1.4570133705504196E-2</v>
      </c>
      <c r="X921" s="12">
        <v>1.8909528675670195E-3</v>
      </c>
      <c r="Y921" s="12">
        <v>4.1573697481780414E-3</v>
      </c>
      <c r="Z921" s="12">
        <v>-6.384849712502938E-2</v>
      </c>
      <c r="AA921" s="12">
        <v>5.7373228627286554E-3</v>
      </c>
      <c r="AB921" s="12">
        <v>8.9529021391809849E-5</v>
      </c>
      <c r="AC921" s="12">
        <v>1.3817395721861248E-2</v>
      </c>
    </row>
    <row r="922" spans="12:29" x14ac:dyDescent="0.2">
      <c r="L922" s="11">
        <v>45533</v>
      </c>
      <c r="M922" s="10">
        <v>117.39649963378906</v>
      </c>
      <c r="N922" s="10">
        <v>110.79660797119141</v>
      </c>
      <c r="O922" s="10">
        <v>213.25004577636719</v>
      </c>
      <c r="P922" s="10">
        <v>227.8836975097656</v>
      </c>
      <c r="Q922" s="10">
        <v>545.4376220703125</v>
      </c>
      <c r="R922" s="10">
        <v>156.34854125976562</v>
      </c>
      <c r="S922" s="10">
        <v>161.09934997558594</v>
      </c>
      <c r="V922" s="11">
        <v>45534</v>
      </c>
      <c r="W922" s="12">
        <v>-3.4378589403146753E-3</v>
      </c>
      <c r="X922" s="12">
        <v>9.9251858544679994E-3</v>
      </c>
      <c r="Y922" s="12">
        <v>1.1655780396556681E-2</v>
      </c>
      <c r="Z922" s="12">
        <v>1.5137391035805248E-2</v>
      </c>
      <c r="AA922" s="12">
        <v>8.8809162736163128E-3</v>
      </c>
      <c r="AB922" s="12">
        <v>9.5460725455858153E-3</v>
      </c>
      <c r="AC922" s="12">
        <v>-1.6082815343789747E-3</v>
      </c>
    </row>
    <row r="923" spans="12:29" x14ac:dyDescent="0.2">
      <c r="L923" s="11">
        <v>45534</v>
      </c>
      <c r="M923" s="10">
        <v>119.17357635498048</v>
      </c>
      <c r="N923" s="10">
        <v>110.61841583251952</v>
      </c>
      <c r="O923" s="10">
        <v>215.73564147949219</v>
      </c>
      <c r="P923" s="10">
        <v>227.10026550292969</v>
      </c>
      <c r="Q923" s="10">
        <v>550.6444091796875</v>
      </c>
      <c r="R923" s="10">
        <v>157.90032958984375</v>
      </c>
      <c r="S923" s="10">
        <v>162.53005981445312</v>
      </c>
      <c r="V923" s="11">
        <v>45538</v>
      </c>
      <c r="W923" s="12">
        <v>-2.720522671033454E-2</v>
      </c>
      <c r="X923" s="12">
        <v>7.8380148115277937E-3</v>
      </c>
      <c r="Y923" s="12">
        <v>-2.0017822320139489E-2</v>
      </c>
      <c r="Z923" s="12">
        <v>-9.5250039387800078E-2</v>
      </c>
      <c r="AA923" s="12">
        <v>1.7372086931785713E-2</v>
      </c>
      <c r="AB923" s="12">
        <v>-2.0579137680261428E-2</v>
      </c>
      <c r="AC923" s="12">
        <v>-2.0942856865004744E-2</v>
      </c>
    </row>
    <row r="924" spans="12:29" x14ac:dyDescent="0.2">
      <c r="L924" s="11">
        <v>45538</v>
      </c>
      <c r="M924" s="10">
        <v>107.82228851318359</v>
      </c>
      <c r="N924" s="10">
        <v>108.30175018310548</v>
      </c>
      <c r="O924" s="10">
        <v>211.4170837402344</v>
      </c>
      <c r="P924" s="10">
        <v>220.92195129394531</v>
      </c>
      <c r="Q924" s="10">
        <v>539.3126220703125</v>
      </c>
      <c r="R924" s="10">
        <v>159.13795471191406</v>
      </c>
      <c r="S924" s="10">
        <v>165.35354614257812</v>
      </c>
      <c r="V924" s="11">
        <v>45539</v>
      </c>
      <c r="W924" s="12">
        <v>-8.6188051517780417E-3</v>
      </c>
      <c r="X924" s="12">
        <v>1.1964409764255723E-3</v>
      </c>
      <c r="Y924" s="12">
        <v>-4.4030390973071043E-3</v>
      </c>
      <c r="Z924" s="12">
        <v>-1.6574086804137522E-2</v>
      </c>
      <c r="AA924" s="12">
        <v>7.9071776136632188E-3</v>
      </c>
      <c r="AB924" s="12">
        <v>-2.0466047343522531E-3</v>
      </c>
      <c r="AC924" s="12">
        <v>-1.2211060724420242E-2</v>
      </c>
    </row>
    <row r="925" spans="12:29" x14ac:dyDescent="0.2">
      <c r="L925" s="11">
        <v>45539</v>
      </c>
      <c r="M925" s="10">
        <v>106.03523254394533</v>
      </c>
      <c r="N925" s="10">
        <v>106.97927093505859</v>
      </c>
      <c r="O925" s="10">
        <v>210.4862060546875</v>
      </c>
      <c r="P925" s="10">
        <v>219.01786804199219</v>
      </c>
      <c r="Q925" s="10">
        <v>538.2088623046875</v>
      </c>
      <c r="R925" s="10">
        <v>159.32835388183594</v>
      </c>
      <c r="S925" s="10">
        <v>166.66102600097656</v>
      </c>
      <c r="V925" s="11">
        <v>45540</v>
      </c>
      <c r="W925" s="12">
        <v>6.9277611016920204E-3</v>
      </c>
      <c r="X925" s="12">
        <v>-1.416104571813348E-2</v>
      </c>
      <c r="Y925" s="12">
        <v>-7.7510304163480592E-3</v>
      </c>
      <c r="Z925" s="12">
        <v>9.4152141456658178E-3</v>
      </c>
      <c r="AA925" s="12">
        <v>-2.4443576291690583E-3</v>
      </c>
      <c r="AB925" s="12">
        <v>-2.4324071157065807E-3</v>
      </c>
      <c r="AC925" s="12">
        <v>-7.8028884208777294E-3</v>
      </c>
    </row>
    <row r="926" spans="12:29" x14ac:dyDescent="0.2">
      <c r="L926" s="11">
        <v>45540</v>
      </c>
      <c r="M926" s="10">
        <v>107.03357696533205</v>
      </c>
      <c r="N926" s="10">
        <v>106.14452362060548</v>
      </c>
      <c r="O926" s="10">
        <v>208.85472106933591</v>
      </c>
      <c r="P926" s="10">
        <v>220.53517150878903</v>
      </c>
      <c r="Q926" s="10">
        <v>536.89971923828125</v>
      </c>
      <c r="R926" s="10">
        <v>157.07209777832031</v>
      </c>
      <c r="S926" s="10">
        <v>166.25364685058594</v>
      </c>
      <c r="V926" s="11">
        <v>45541</v>
      </c>
      <c r="W926" s="12">
        <v>-7.0149483916583932E-3</v>
      </c>
      <c r="X926" s="12">
        <v>-3.6971492859299016E-3</v>
      </c>
      <c r="Y926" s="12">
        <v>-2.3755903469025563E-2</v>
      </c>
      <c r="Z926" s="12">
        <v>-4.085428115335954E-2</v>
      </c>
      <c r="AA926" s="12">
        <v>6.8394587576148247E-4</v>
      </c>
      <c r="AB926" s="12">
        <v>-1.6830205881500304E-2</v>
      </c>
      <c r="AC926" s="12">
        <v>-4.6831733162265854E-3</v>
      </c>
    </row>
    <row r="927" spans="12:29" x14ac:dyDescent="0.2">
      <c r="L927" s="11">
        <v>45541</v>
      </c>
      <c r="M927" s="10">
        <v>102.66079711914062</v>
      </c>
      <c r="N927" s="10">
        <v>105.64743041992188</v>
      </c>
      <c r="O927" s="10">
        <v>203.8931884765625</v>
      </c>
      <c r="P927" s="10">
        <v>218.98812866210935</v>
      </c>
      <c r="Q927" s="10">
        <v>527.86358642578125</v>
      </c>
      <c r="R927" s="10">
        <v>156.49137878417969</v>
      </c>
      <c r="S927" s="10">
        <v>166.36735534667969</v>
      </c>
      <c r="V927" s="11">
        <v>45544</v>
      </c>
      <c r="W927" s="12">
        <v>4.0755020727289981E-4</v>
      </c>
      <c r="X927" s="12">
        <v>1.3565957043508714E-2</v>
      </c>
      <c r="Y927" s="12">
        <v>2.0474476633740357E-2</v>
      </c>
      <c r="Z927" s="12">
        <v>3.5398228115490316E-2</v>
      </c>
      <c r="AA927" s="12">
        <v>2.6766819672767728E-3</v>
      </c>
      <c r="AB927" s="12">
        <v>1.1196370429751079E-2</v>
      </c>
      <c r="AC927" s="12">
        <v>2.1040525960792644E-2</v>
      </c>
    </row>
    <row r="928" spans="12:29" x14ac:dyDescent="0.2">
      <c r="L928" s="11">
        <v>45544</v>
      </c>
      <c r="M928" s="10">
        <v>106.29480743408205</v>
      </c>
      <c r="N928" s="10">
        <v>107.87030792236328</v>
      </c>
      <c r="O928" s="10">
        <v>208.06779479980469</v>
      </c>
      <c r="P928" s="10">
        <v>219.07737731933591</v>
      </c>
      <c r="Q928" s="10">
        <v>533.77374267578125</v>
      </c>
      <c r="R928" s="10">
        <v>158.61433410644531</v>
      </c>
      <c r="S928" s="10">
        <v>166.81266784667969</v>
      </c>
      <c r="V928" s="11">
        <v>45545</v>
      </c>
      <c r="W928" s="12">
        <v>-3.6213939030279585E-3</v>
      </c>
      <c r="X928" s="12">
        <v>4.6216676964938586E-3</v>
      </c>
      <c r="Y928" s="12">
        <v>-5.1888792925103511E-2</v>
      </c>
      <c r="Z928" s="12">
        <v>1.5309275091006214E-2</v>
      </c>
      <c r="AA928" s="12">
        <v>9.8260785649046944E-3</v>
      </c>
      <c r="AB928" s="12">
        <v>4.3556866627050272E-3</v>
      </c>
      <c r="AC928" s="12">
        <v>-3.6431793216626818E-2</v>
      </c>
    </row>
    <row r="929" spans="12:29" x14ac:dyDescent="0.2">
      <c r="L929" s="11">
        <v>45545</v>
      </c>
      <c r="M929" s="10">
        <v>107.92210388183594</v>
      </c>
      <c r="N929" s="10">
        <v>103.94039916992188</v>
      </c>
      <c r="O929" s="10">
        <v>197.27140808105469</v>
      </c>
      <c r="P929" s="10">
        <v>218.28401184082031</v>
      </c>
      <c r="Q929" s="10">
        <v>536.09869384765625</v>
      </c>
      <c r="R929" s="10">
        <v>159.34739685058594</v>
      </c>
      <c r="S929" s="10">
        <v>168.4517822265625</v>
      </c>
      <c r="V929" s="11">
        <v>45546</v>
      </c>
      <c r="W929" s="12">
        <v>1.1585226089533274E-2</v>
      </c>
      <c r="X929" s="12">
        <v>-1.5294564555307977E-2</v>
      </c>
      <c r="Y929" s="12">
        <v>8.1242203682301284E-3</v>
      </c>
      <c r="Z929" s="12">
        <v>8.149889513081332E-2</v>
      </c>
      <c r="AA929" s="12">
        <v>-2.1767344924515819E-2</v>
      </c>
      <c r="AB929" s="12">
        <v>1.0259077279622053E-2</v>
      </c>
      <c r="AC929" s="12">
        <v>-9.925881971943662E-3</v>
      </c>
    </row>
    <row r="930" spans="12:29" x14ac:dyDescent="0.2">
      <c r="L930" s="11">
        <v>45546</v>
      </c>
      <c r="M930" s="10">
        <v>116.71763610839844</v>
      </c>
      <c r="N930" s="10">
        <v>102.90869903564452</v>
      </c>
      <c r="O930" s="10">
        <v>198.87408447265625</v>
      </c>
      <c r="P930" s="10">
        <v>220.81288146972656</v>
      </c>
      <c r="Q930" s="10">
        <v>541.59857177734375</v>
      </c>
      <c r="R930" s="10">
        <v>156.91024780273438</v>
      </c>
      <c r="S930" s="10">
        <v>164.7850341796875</v>
      </c>
      <c r="V930" s="11">
        <v>45547</v>
      </c>
      <c r="W930" s="12">
        <v>4.9394683631120984E-4</v>
      </c>
      <c r="X930" s="12">
        <v>-1.0919678273545452E-3</v>
      </c>
      <c r="Y930" s="12">
        <v>-3.0401095277277079E-3</v>
      </c>
      <c r="Z930" s="12">
        <v>1.9161594136490212E-2</v>
      </c>
      <c r="AA930" s="12">
        <v>-2.5872848667216619E-3</v>
      </c>
      <c r="AB930" s="12">
        <v>8.4230090073298403E-3</v>
      </c>
      <c r="AC930" s="12">
        <v>1.3762368082498089E-2</v>
      </c>
    </row>
    <row r="931" spans="12:29" x14ac:dyDescent="0.2">
      <c r="L931" s="11">
        <v>45547</v>
      </c>
      <c r="M931" s="10">
        <v>118.95413208007812</v>
      </c>
      <c r="N931" s="10">
        <v>104.32496643066406</v>
      </c>
      <c r="O931" s="10">
        <v>198.26948547363281</v>
      </c>
      <c r="P931" s="10">
        <v>220.92195129394531</v>
      </c>
      <c r="Q931" s="10">
        <v>546.16046142578125</v>
      </c>
      <c r="R931" s="10">
        <v>156.73890686035156</v>
      </c>
      <c r="S931" s="10">
        <v>164.35868835449219</v>
      </c>
      <c r="V931" s="11">
        <v>45548</v>
      </c>
      <c r="W931" s="12">
        <v>-1.2120173160723446E-3</v>
      </c>
      <c r="X931" s="12">
        <v>5.3448968905012162E-3</v>
      </c>
      <c r="Y931" s="12">
        <v>-1.1035811032486409E-2</v>
      </c>
      <c r="Z931" s="12">
        <v>-3.3575866321478021E-4</v>
      </c>
      <c r="AA931" s="12">
        <v>3.5166237738026851E-3</v>
      </c>
      <c r="AB931" s="12">
        <v>5.2227838315084263E-3</v>
      </c>
      <c r="AC931" s="12">
        <v>-7.19317026181443E-4</v>
      </c>
    </row>
    <row r="932" spans="12:29" x14ac:dyDescent="0.2">
      <c r="L932" s="11">
        <v>45548</v>
      </c>
      <c r="M932" s="10">
        <v>118.91419219970705</v>
      </c>
      <c r="N932" s="10">
        <v>104.24992370605467</v>
      </c>
      <c r="O932" s="10">
        <v>196.0814208984375</v>
      </c>
      <c r="P932" s="10">
        <v>220.65419006347656</v>
      </c>
      <c r="Q932" s="10">
        <v>549.012939453125</v>
      </c>
      <c r="R932" s="10">
        <v>157.57666015625</v>
      </c>
      <c r="S932" s="10">
        <v>164.93667602539062</v>
      </c>
      <c r="V932" s="11">
        <v>45551</v>
      </c>
      <c r="W932" s="12">
        <v>-2.7775309417678584E-2</v>
      </c>
      <c r="X932" s="12">
        <v>8.8810397345042702E-3</v>
      </c>
      <c r="Y932" s="12">
        <v>1.7325774964685792E-2</v>
      </c>
      <c r="Z932" s="12">
        <v>-1.9479388368814021E-2</v>
      </c>
      <c r="AA932" s="12">
        <v>1.8152348581636613E-2</v>
      </c>
      <c r="AB932" s="12">
        <v>1.4770382037720964E-3</v>
      </c>
      <c r="AC932" s="12">
        <v>1.4035095679630016E-2</v>
      </c>
    </row>
    <row r="933" spans="12:29" x14ac:dyDescent="0.2">
      <c r="L933" s="11">
        <v>45551</v>
      </c>
      <c r="M933" s="10">
        <v>116.59781646728516</v>
      </c>
      <c r="N933" s="10">
        <v>105.71308135986328</v>
      </c>
      <c r="O933" s="10">
        <v>199.47868347167969</v>
      </c>
      <c r="P933" s="10">
        <v>214.52545166015625</v>
      </c>
      <c r="Q933" s="10">
        <v>549.8238525390625</v>
      </c>
      <c r="R933" s="10">
        <v>158.97610473632812</v>
      </c>
      <c r="S933" s="10">
        <v>167.9306640625</v>
      </c>
      <c r="V933" s="11">
        <v>45552</v>
      </c>
      <c r="W933" s="12">
        <v>2.172679125465482E-3</v>
      </c>
      <c r="X933" s="12">
        <v>4.792363853387549E-4</v>
      </c>
      <c r="Y933" s="12">
        <v>6.6872000266195997E-3</v>
      </c>
      <c r="Z933" s="12">
        <v>-1.019014364534454E-2</v>
      </c>
      <c r="AA933" s="12">
        <v>-7.672978902192984E-3</v>
      </c>
      <c r="AB933" s="12">
        <v>4.085115150294083E-4</v>
      </c>
      <c r="AC933" s="12">
        <v>1.304226861599922E-2</v>
      </c>
    </row>
    <row r="934" spans="12:29" x14ac:dyDescent="0.2">
      <c r="L934" s="11">
        <v>45552</v>
      </c>
      <c r="M934" s="10">
        <v>115.40966796875</v>
      </c>
      <c r="N934" s="10">
        <v>107.09181976318359</v>
      </c>
      <c r="O934" s="10">
        <v>200.81263732910156</v>
      </c>
      <c r="P934" s="10">
        <v>214.99154663085935</v>
      </c>
      <c r="Q934" s="10">
        <v>550.0484619140625</v>
      </c>
      <c r="R934" s="10">
        <v>159.05229187011719</v>
      </c>
      <c r="S934" s="10">
        <v>166.64213562011719</v>
      </c>
      <c r="V934" s="11">
        <v>45553</v>
      </c>
      <c r="W934" s="12">
        <v>1.798989700693121E-2</v>
      </c>
      <c r="X934" s="12">
        <v>-5.5068037101395628E-3</v>
      </c>
      <c r="Y934" s="12">
        <v>-8.2199273171136289E-3</v>
      </c>
      <c r="Z934" s="12">
        <v>-1.9205821441112936E-2</v>
      </c>
      <c r="AA934" s="12">
        <v>-1.1144248923112721E-2</v>
      </c>
      <c r="AB934" s="12">
        <v>-2.965714357998861E-3</v>
      </c>
      <c r="AC934" s="12">
        <v>3.5033778144624161E-3</v>
      </c>
    </row>
    <row r="935" spans="12:29" x14ac:dyDescent="0.2">
      <c r="L935" s="11">
        <v>45553</v>
      </c>
      <c r="M935" s="10">
        <v>113.19313049316406</v>
      </c>
      <c r="N935" s="10">
        <v>107.46700286865234</v>
      </c>
      <c r="O935" s="10">
        <v>199.16197204589844</v>
      </c>
      <c r="P935" s="10">
        <v>218.85922241210935</v>
      </c>
      <c r="Q935" s="10">
        <v>548.41717529296875</v>
      </c>
      <c r="R935" s="10">
        <v>158.17642211914062</v>
      </c>
      <c r="S935" s="10">
        <v>164.7850341796875</v>
      </c>
      <c r="V935" s="11">
        <v>45554</v>
      </c>
      <c r="W935" s="12">
        <v>3.7065268332120649E-2</v>
      </c>
      <c r="X935" s="12">
        <v>-8.0048233449897532E-3</v>
      </c>
      <c r="Y935" s="12">
        <v>1.4214835585417696E-2</v>
      </c>
      <c r="Z935" s="12">
        <v>3.9693053257349398E-2</v>
      </c>
      <c r="AA935" s="12">
        <v>-1.3684339578893256E-2</v>
      </c>
      <c r="AB935" s="12">
        <v>1.706426753929513E-2</v>
      </c>
      <c r="AC935" s="12">
        <v>1.2392947139039157E-2</v>
      </c>
    </row>
    <row r="936" spans="12:29" x14ac:dyDescent="0.2">
      <c r="L936" s="11">
        <v>45554</v>
      </c>
      <c r="M936" s="10">
        <v>117.68611145019533</v>
      </c>
      <c r="N936" s="10">
        <v>108.79883575439452</v>
      </c>
      <c r="O936" s="10">
        <v>201.99302673339844</v>
      </c>
      <c r="P936" s="10">
        <v>226.97129821777344</v>
      </c>
      <c r="Q936" s="10">
        <v>557.7755126953125</v>
      </c>
      <c r="R936" s="10">
        <v>156.91024780273438</v>
      </c>
      <c r="S936" s="10">
        <v>162.53005981445312</v>
      </c>
      <c r="V936" s="11">
        <v>45555</v>
      </c>
      <c r="W936" s="12">
        <v>-2.9272344061841427E-3</v>
      </c>
      <c r="X936" s="12">
        <v>-4.0043682602907138E-3</v>
      </c>
      <c r="Y936" s="12">
        <v>2.8982124315832802E-3</v>
      </c>
      <c r="Z936" s="12">
        <v>-1.5864919534423594E-2</v>
      </c>
      <c r="AA936" s="12">
        <v>1.5623330645153644E-2</v>
      </c>
      <c r="AB936" s="12">
        <v>-1.7286028901163375E-3</v>
      </c>
      <c r="AC936" s="12">
        <v>-6.2931257367825344E-3</v>
      </c>
    </row>
    <row r="937" spans="12:29" x14ac:dyDescent="0.2">
      <c r="L937" s="11">
        <v>45555</v>
      </c>
      <c r="M937" s="10">
        <v>115.81903076171876</v>
      </c>
      <c r="N937" s="10">
        <v>108.11415100097656</v>
      </c>
      <c r="O937" s="10">
        <v>202.57844543457031</v>
      </c>
      <c r="P937" s="10">
        <v>226.30690002441409</v>
      </c>
      <c r="Q937" s="10">
        <v>556.81134033203125</v>
      </c>
      <c r="R937" s="10">
        <v>156.28192138671875</v>
      </c>
      <c r="S937" s="10">
        <v>165.06932067871094</v>
      </c>
      <c r="V937" s="11">
        <v>45558</v>
      </c>
      <c r="W937" s="12">
        <v>-7.5810877425092071E-3</v>
      </c>
      <c r="X937" s="12">
        <v>-5.7260762742611382E-3</v>
      </c>
      <c r="Y937" s="12">
        <v>1.6580822451879307E-3</v>
      </c>
      <c r="Z937" s="12">
        <v>2.2413427846743605E-3</v>
      </c>
      <c r="AA937" s="12">
        <v>-2.5830138575739792E-3</v>
      </c>
      <c r="AB937" s="12">
        <v>2.4990142825713768E-3</v>
      </c>
      <c r="AC937" s="12">
        <v>1.8131518626623322E-2</v>
      </c>
    </row>
    <row r="938" spans="12:29" x14ac:dyDescent="0.2">
      <c r="L938" s="11">
        <v>45558</v>
      </c>
      <c r="M938" s="10">
        <v>116.07862091064452</v>
      </c>
      <c r="N938" s="10">
        <v>110.07442474365234</v>
      </c>
      <c r="O938" s="10">
        <v>202.91433715820312</v>
      </c>
      <c r="P938" s="10">
        <v>224.59124755859375</v>
      </c>
      <c r="Q938" s="10">
        <v>558.20281982421875</v>
      </c>
      <c r="R938" s="10">
        <v>155.38703918457031</v>
      </c>
      <c r="S938" s="10">
        <v>164.6429443359375</v>
      </c>
      <c r="V938" s="11">
        <v>45559</v>
      </c>
      <c r="W938" s="12">
        <v>3.9740299692665459E-3</v>
      </c>
      <c r="X938" s="12">
        <v>-2.6958460520972727E-3</v>
      </c>
      <c r="Y938" s="12">
        <v>7.0926924362835209E-4</v>
      </c>
      <c r="Z938" s="12">
        <v>3.965255345552654E-2</v>
      </c>
      <c r="AA938" s="12">
        <v>-3.0500350323076075E-3</v>
      </c>
      <c r="AB938" s="12">
        <v>2.8611588420435208E-3</v>
      </c>
      <c r="AC938" s="12">
        <v>-2.6414512386784272E-3</v>
      </c>
    </row>
    <row r="939" spans="12:29" x14ac:dyDescent="0.2">
      <c r="L939" s="11">
        <v>45559</v>
      </c>
      <c r="M939" s="10">
        <v>120.68143463134766</v>
      </c>
      <c r="N939" s="10">
        <v>109.78366851806641</v>
      </c>
      <c r="O939" s="10">
        <v>203.05825805664065</v>
      </c>
      <c r="P939" s="10">
        <v>225.48377990722656</v>
      </c>
      <c r="Q939" s="10">
        <v>559.7999267578125</v>
      </c>
      <c r="R939" s="10">
        <v>154.9681396484375</v>
      </c>
      <c r="S939" s="10">
        <v>164.14077758789062</v>
      </c>
      <c r="V939" s="11">
        <v>45560</v>
      </c>
      <c r="W939" s="12">
        <v>-4.3981632645465618E-3</v>
      </c>
      <c r="X939" s="12">
        <v>-1.3392192510588874E-2</v>
      </c>
      <c r="Y939" s="12">
        <v>-6.6163566664710904E-3</v>
      </c>
      <c r="Z939" s="12">
        <v>2.1841632266417221E-2</v>
      </c>
      <c r="AA939" s="12">
        <v>-5.6569921531114398E-3</v>
      </c>
      <c r="AB939" s="12">
        <v>-2.205574021654777E-3</v>
      </c>
      <c r="AC939" s="12">
        <v>-1.9478976605616594E-2</v>
      </c>
    </row>
    <row r="940" spans="12:29" x14ac:dyDescent="0.2">
      <c r="L940" s="11">
        <v>45560</v>
      </c>
      <c r="M940" s="10">
        <v>123.31731414794922</v>
      </c>
      <c r="N940" s="10">
        <v>107.64519500732422</v>
      </c>
      <c r="O940" s="10">
        <v>201.7147521972656</v>
      </c>
      <c r="P940" s="10">
        <v>224.4920654296875</v>
      </c>
      <c r="Q940" s="10">
        <v>558.56524658203125</v>
      </c>
      <c r="R940" s="10">
        <v>152.89277648925781</v>
      </c>
      <c r="S940" s="10">
        <v>163.21223449707031</v>
      </c>
      <c r="V940" s="11">
        <v>45561</v>
      </c>
      <c r="W940" s="12">
        <v>5.0802348400442732E-3</v>
      </c>
      <c r="X940" s="12">
        <v>4.9189714032391585E-3</v>
      </c>
      <c r="Y940" s="12">
        <v>-1.9507430570021578E-3</v>
      </c>
      <c r="Z940" s="12">
        <v>4.2911020155540491E-3</v>
      </c>
      <c r="AA940" s="12">
        <v>5.5150030239494718E-3</v>
      </c>
      <c r="AB940" s="12">
        <v>3.9646909430366417E-3</v>
      </c>
      <c r="AC940" s="12">
        <v>-1.7164813121811839E-2</v>
      </c>
    </row>
    <row r="941" spans="12:29" x14ac:dyDescent="0.2">
      <c r="L941" s="11">
        <v>45561</v>
      </c>
      <c r="M941" s="10">
        <v>123.8464813232422</v>
      </c>
      <c r="N941" s="10">
        <v>105.7974853515625</v>
      </c>
      <c r="O941" s="10">
        <v>201.32125854492188</v>
      </c>
      <c r="P941" s="10">
        <v>225.63253784179688</v>
      </c>
      <c r="Q941" s="10">
        <v>560.77978515625</v>
      </c>
      <c r="R941" s="10">
        <v>153.64485168457031</v>
      </c>
      <c r="S941" s="10">
        <v>164.11235046386719</v>
      </c>
      <c r="V941" s="11">
        <v>45562</v>
      </c>
      <c r="W941" s="12">
        <v>1.1867137294554464E-3</v>
      </c>
      <c r="X941" s="12">
        <v>6.1970734916316772E-5</v>
      </c>
      <c r="Y941" s="12">
        <v>3.4322207644656988E-3</v>
      </c>
      <c r="Z941" s="12">
        <v>-2.1283442924162399E-2</v>
      </c>
      <c r="AA941" s="12">
        <v>1.9628522471826226E-3</v>
      </c>
      <c r="AB941" s="12">
        <v>-1.4502902539623719E-3</v>
      </c>
      <c r="AC941" s="12">
        <v>2.677310477873962E-2</v>
      </c>
    </row>
    <row r="942" spans="12:29" x14ac:dyDescent="0.2">
      <c r="L942" s="11">
        <v>45562</v>
      </c>
      <c r="M942" s="10">
        <v>121.21060180664062</v>
      </c>
      <c r="N942" s="10">
        <v>108.63001251220705</v>
      </c>
      <c r="O942" s="10">
        <v>202.01223754882812</v>
      </c>
      <c r="P942" s="10">
        <v>225.9002990722656</v>
      </c>
      <c r="Q942" s="10">
        <v>559.96649169921875</v>
      </c>
      <c r="R942" s="10">
        <v>153.65437316894531</v>
      </c>
      <c r="S942" s="10">
        <v>164.43447875976562</v>
      </c>
      <c r="V942" s="11">
        <v>45565</v>
      </c>
      <c r="W942" s="12">
        <v>2.2872009662941339E-2</v>
      </c>
      <c r="X942" s="12">
        <v>4.0891199141837031E-3</v>
      </c>
      <c r="Y942" s="12">
        <v>1.7101649254320783E-3</v>
      </c>
      <c r="Z942" s="12">
        <v>3.2957108677122982E-4</v>
      </c>
      <c r="AA942" s="12">
        <v>-2.0167258423934298E-3</v>
      </c>
      <c r="AB942" s="12">
        <v>4.0073067813788388E-3</v>
      </c>
      <c r="AC942" s="12">
        <v>1.2087844710690687E-2</v>
      </c>
    </row>
    <row r="943" spans="12:29" x14ac:dyDescent="0.2">
      <c r="L943" s="11">
        <v>45565</v>
      </c>
      <c r="M943" s="10">
        <v>121.25054931640624</v>
      </c>
      <c r="N943" s="10">
        <v>109.943115234375</v>
      </c>
      <c r="O943" s="10">
        <v>202.35771179199219</v>
      </c>
      <c r="P943" s="10">
        <v>231.06709289550781</v>
      </c>
      <c r="Q943" s="10">
        <v>562.21044921875</v>
      </c>
      <c r="R943" s="10">
        <v>154.28268432617188</v>
      </c>
      <c r="S943" s="10">
        <v>164.10285949707031</v>
      </c>
      <c r="V943" s="11">
        <v>45566</v>
      </c>
      <c r="W943" s="12">
        <v>-2.9141635926272724E-2</v>
      </c>
      <c r="X943" s="12">
        <v>-4.3180395348862977E-4</v>
      </c>
      <c r="Y943" s="12">
        <v>-1.8116359761916168E-2</v>
      </c>
      <c r="Z943" s="12">
        <v>-3.6561340179978585E-2</v>
      </c>
      <c r="AA943" s="12">
        <v>-9.236939015653256E-4</v>
      </c>
      <c r="AB943" s="12">
        <v>-8.9584959966371169E-3</v>
      </c>
      <c r="AC943" s="12">
        <v>2.3118894714285299E-2</v>
      </c>
    </row>
    <row r="944" spans="12:29" x14ac:dyDescent="0.2">
      <c r="L944" s="11">
        <v>45566</v>
      </c>
      <c r="M944" s="10">
        <v>116.81746673583984</v>
      </c>
      <c r="N944" s="10">
        <v>112.48487854003906</v>
      </c>
      <c r="O944" s="10">
        <v>198.69172668457031</v>
      </c>
      <c r="P944" s="10">
        <v>224.33341979980469</v>
      </c>
      <c r="Q944" s="10">
        <v>557.17388916015625</v>
      </c>
      <c r="R944" s="10">
        <v>154.216064453125</v>
      </c>
      <c r="S944" s="10">
        <v>163.95127868652344</v>
      </c>
      <c r="V944" s="11">
        <v>45567</v>
      </c>
      <c r="W944" s="12">
        <v>2.51980779374672E-3</v>
      </c>
      <c r="X944" s="12">
        <v>-5.0621844668647942E-3</v>
      </c>
      <c r="Y944" s="12">
        <v>1.2075449905351032E-3</v>
      </c>
      <c r="Z944" s="12">
        <v>1.5811972426736265E-2</v>
      </c>
      <c r="AA944" s="12">
        <v>-6.4725798581274363E-3</v>
      </c>
      <c r="AB944" s="12">
        <v>4.2207372169889013E-4</v>
      </c>
      <c r="AC944" s="12">
        <v>1.3257600678476589E-2</v>
      </c>
    </row>
    <row r="945" spans="12:29" x14ac:dyDescent="0.2">
      <c r="L945" s="11">
        <v>45567</v>
      </c>
      <c r="M945" s="10">
        <v>118.66458129882812</v>
      </c>
      <c r="N945" s="10">
        <v>113.97615814208984</v>
      </c>
      <c r="O945" s="10">
        <v>198.93165588378903</v>
      </c>
      <c r="P945" s="10">
        <v>224.89869689941409</v>
      </c>
      <c r="Q945" s="10">
        <v>557.4090576171875</v>
      </c>
      <c r="R945" s="10">
        <v>153.43539428710938</v>
      </c>
      <c r="S945" s="10">
        <v>162.89009094238281</v>
      </c>
      <c r="V945" s="11">
        <v>45568</v>
      </c>
      <c r="W945" s="12">
        <v>-4.8947140846632431E-3</v>
      </c>
      <c r="X945" s="12">
        <v>-4.1569116811406293E-3</v>
      </c>
      <c r="Y945" s="12">
        <v>-9.9377281215230484E-3</v>
      </c>
      <c r="Z945" s="12">
        <v>3.3655865225834525E-2</v>
      </c>
      <c r="AA945" s="12">
        <v>-1.0469908427644947E-2</v>
      </c>
      <c r="AB945" s="12">
        <v>-1.8281779867485026E-3</v>
      </c>
      <c r="AC945" s="12">
        <v>8.7228914920680634E-3</v>
      </c>
    </row>
    <row r="946" spans="12:29" x14ac:dyDescent="0.2">
      <c r="L946" s="11">
        <v>45568</v>
      </c>
      <c r="M946" s="10">
        <v>122.65834045410156</v>
      </c>
      <c r="N946" s="10">
        <v>114.97035980224609</v>
      </c>
      <c r="O946" s="10">
        <v>196.95472717285156</v>
      </c>
      <c r="P946" s="10">
        <v>223.79788208007812</v>
      </c>
      <c r="Q946" s="10">
        <v>556.3900146484375</v>
      </c>
      <c r="R946" s="10">
        <v>152.79757690429688</v>
      </c>
      <c r="S946" s="10">
        <v>161.18464660644531</v>
      </c>
      <c r="V946" s="11">
        <v>45569</v>
      </c>
      <c r="W946" s="12">
        <v>5.0072892429700033E-3</v>
      </c>
      <c r="X946" s="12">
        <v>-1.3085018567484674E-3</v>
      </c>
      <c r="Y946" s="12">
        <v>3.5493593902828691E-2</v>
      </c>
      <c r="Z946" s="12">
        <v>1.6849832251814023E-2</v>
      </c>
      <c r="AA946" s="12">
        <v>-7.2888484641825402E-3</v>
      </c>
      <c r="AB946" s="12">
        <v>9.0872052702675177E-3</v>
      </c>
      <c r="AC946" s="12">
        <v>1.8355282345442481E-2</v>
      </c>
    </row>
    <row r="947" spans="12:29" x14ac:dyDescent="0.2">
      <c r="L947" s="11">
        <v>45569</v>
      </c>
      <c r="M947" s="10">
        <v>124.72511291503906</v>
      </c>
      <c r="N947" s="10">
        <v>117.08067321777344</v>
      </c>
      <c r="O947" s="10">
        <v>203.94535827636719</v>
      </c>
      <c r="P947" s="10">
        <v>224.91850280761719</v>
      </c>
      <c r="Q947" s="10">
        <v>561.446044921875</v>
      </c>
      <c r="R947" s="10">
        <v>152.59764099121094</v>
      </c>
      <c r="S947" s="10">
        <v>160.00979614257812</v>
      </c>
      <c r="V947" s="11">
        <v>45572</v>
      </c>
      <c r="W947" s="12">
        <v>-2.2530743862777536E-2</v>
      </c>
      <c r="X947" s="12">
        <v>-4.7413970247300874E-3</v>
      </c>
      <c r="Y947" s="12">
        <v>-1.3730604081487741E-3</v>
      </c>
      <c r="Z947" s="12">
        <v>2.2414342575867385E-2</v>
      </c>
      <c r="AA947" s="12">
        <v>-1.0421782418793435E-2</v>
      </c>
      <c r="AB947" s="12">
        <v>-9.0403764344911819E-3</v>
      </c>
      <c r="AC947" s="12">
        <v>4.3260138571632467E-3</v>
      </c>
    </row>
    <row r="948" spans="12:29" x14ac:dyDescent="0.2">
      <c r="L948" s="11">
        <v>45572</v>
      </c>
      <c r="M948" s="10">
        <v>127.52074432373048</v>
      </c>
      <c r="N948" s="10">
        <v>117.58716583251952</v>
      </c>
      <c r="O948" s="10">
        <v>203.66532897949219</v>
      </c>
      <c r="P948" s="10">
        <v>219.85092163085935</v>
      </c>
      <c r="Q948" s="10">
        <v>556.370361328125</v>
      </c>
      <c r="R948" s="10">
        <v>151.87411499023438</v>
      </c>
      <c r="S948" s="10">
        <v>158.34220886230469</v>
      </c>
      <c r="V948" s="11">
        <v>45573</v>
      </c>
      <c r="W948" s="12">
        <v>1.8404028275663675E-2</v>
      </c>
      <c r="X948" s="12">
        <v>1.0029917950187262E-3</v>
      </c>
      <c r="Y948" s="12">
        <v>-8.5319917098525266E-4</v>
      </c>
      <c r="Z948" s="12">
        <v>4.0479050428316121E-2</v>
      </c>
      <c r="AA948" s="12">
        <v>6.2231169260436037E-3</v>
      </c>
      <c r="AB948" s="12">
        <v>9.4576621192834498E-3</v>
      </c>
      <c r="AC948" s="12">
        <v>-2.6561301187324249E-2</v>
      </c>
    </row>
    <row r="949" spans="12:29" x14ac:dyDescent="0.2">
      <c r="L949" s="11">
        <v>45573</v>
      </c>
      <c r="M949" s="10">
        <v>132.68266296386719</v>
      </c>
      <c r="N949" s="10">
        <v>114.46389770507812</v>
      </c>
      <c r="O949" s="10">
        <v>203.49156188964844</v>
      </c>
      <c r="P949" s="10">
        <v>223.8970642089844</v>
      </c>
      <c r="Q949" s="10">
        <v>561.63232421875</v>
      </c>
      <c r="R949" s="10">
        <v>152.02644348144531</v>
      </c>
      <c r="S949" s="10">
        <v>159.32759094238281</v>
      </c>
      <c r="V949" s="11">
        <v>45574</v>
      </c>
      <c r="W949" s="12">
        <v>1.6698336395353675E-2</v>
      </c>
      <c r="X949" s="12">
        <v>6.0115193855792004E-3</v>
      </c>
      <c r="Y949" s="12">
        <v>1.2668994347115436E-2</v>
      </c>
      <c r="Z949" s="12">
        <v>-1.8058784719574561E-3</v>
      </c>
      <c r="AA949" s="12">
        <v>6.6009410542906544E-3</v>
      </c>
      <c r="AB949" s="12">
        <v>6.9263742769880565E-3</v>
      </c>
      <c r="AC949" s="12">
        <v>4.0945111554924196E-4</v>
      </c>
    </row>
    <row r="950" spans="12:29" x14ac:dyDescent="0.2">
      <c r="L950" s="11">
        <v>45574</v>
      </c>
      <c r="M950" s="10">
        <v>132.44305419921875</v>
      </c>
      <c r="N950" s="10">
        <v>114.51076507568359</v>
      </c>
      <c r="O950" s="10">
        <v>206.06959533691409</v>
      </c>
      <c r="P950" s="10">
        <v>227.63577270507812</v>
      </c>
      <c r="Q950" s="10">
        <v>565.52239990234375</v>
      </c>
      <c r="R950" s="10">
        <v>152.94035339355469</v>
      </c>
      <c r="S950" s="10">
        <v>160.37930297851562</v>
      </c>
      <c r="V950" s="11">
        <v>45575</v>
      </c>
      <c r="W950" s="12">
        <v>-2.1781916993702799E-3</v>
      </c>
      <c r="X950" s="12">
        <v>-8.7128741320419145E-4</v>
      </c>
      <c r="Y950" s="12">
        <v>-2.717590707485229E-3</v>
      </c>
      <c r="Z950" s="12">
        <v>1.6283462222810074E-2</v>
      </c>
      <c r="AA950" s="12">
        <v>-1.8904692378697296E-3</v>
      </c>
      <c r="AB950" s="12">
        <v>-1.7499289570287457E-3</v>
      </c>
      <c r="AC950" s="12">
        <v>8.6004175451581677E-3</v>
      </c>
    </row>
    <row r="951" spans="12:29" x14ac:dyDescent="0.2">
      <c r="L951" s="11">
        <v>45575</v>
      </c>
      <c r="M951" s="10">
        <v>134.59968566894531</v>
      </c>
      <c r="N951" s="10">
        <v>115.49560546875</v>
      </c>
      <c r="O951" s="10">
        <v>205.50958251953125</v>
      </c>
      <c r="P951" s="10">
        <v>227.13993835449219</v>
      </c>
      <c r="Q951" s="10">
        <v>564.53277587890625</v>
      </c>
      <c r="R951" s="10">
        <v>152.80709838867188</v>
      </c>
      <c r="S951" s="10">
        <v>160.07611083984375</v>
      </c>
      <c r="V951" s="11">
        <v>45576</v>
      </c>
      <c r="W951" s="12">
        <v>-6.5053756109075822E-3</v>
      </c>
      <c r="X951" s="12">
        <v>5.9185973430568861E-3</v>
      </c>
      <c r="Y951" s="12">
        <v>4.4399372273036253E-2</v>
      </c>
      <c r="Z951" s="12">
        <v>-7.414020320539727E-5</v>
      </c>
      <c r="AA951" s="12">
        <v>1.2666399002244644E-2</v>
      </c>
      <c r="AB951" s="12">
        <v>5.9881255943015077E-3</v>
      </c>
      <c r="AC951" s="12">
        <v>3.8167580907688681E-3</v>
      </c>
    </row>
    <row r="952" spans="12:29" x14ac:dyDescent="0.2">
      <c r="L952" s="11">
        <v>45576</v>
      </c>
      <c r="M952" s="10">
        <v>134.58970642089844</v>
      </c>
      <c r="N952" s="10">
        <v>115.93642425537109</v>
      </c>
      <c r="O952" s="10">
        <v>214.63407897949219</v>
      </c>
      <c r="P952" s="10">
        <v>225.66230773925781</v>
      </c>
      <c r="Q952" s="10">
        <v>567.91326904296875</v>
      </c>
      <c r="R952" s="10">
        <v>153.71150207519531</v>
      </c>
      <c r="S952" s="10">
        <v>162.10369873046875</v>
      </c>
      <c r="V952" s="11">
        <v>45579</v>
      </c>
      <c r="W952" s="12">
        <v>1.6479810507873838E-2</v>
      </c>
      <c r="X952" s="12">
        <v>8.672140955645613E-4</v>
      </c>
      <c r="Y952" s="12">
        <v>-3.6437548889153293E-3</v>
      </c>
      <c r="Z952" s="12">
        <v>2.4258115014492931E-2</v>
      </c>
      <c r="AA952" s="12">
        <v>8.2997070304042797E-3</v>
      </c>
      <c r="AB952" s="12">
        <v>8.1784553619244083E-3</v>
      </c>
      <c r="AC952" s="12">
        <v>3.8023116449117378E-3</v>
      </c>
    </row>
    <row r="953" spans="12:29" x14ac:dyDescent="0.2">
      <c r="L953" s="11">
        <v>45579</v>
      </c>
      <c r="M953" s="10">
        <v>137.85459899902344</v>
      </c>
      <c r="N953" s="10">
        <v>116.37725067138672</v>
      </c>
      <c r="O953" s="10">
        <v>213.85200500488281</v>
      </c>
      <c r="P953" s="10">
        <v>229.38117980957031</v>
      </c>
      <c r="Q953" s="10">
        <v>572.55792236328125</v>
      </c>
      <c r="R953" s="10">
        <v>153.84480285644531</v>
      </c>
      <c r="S953" s="10">
        <v>163.44911193847656</v>
      </c>
      <c r="V953" s="11">
        <v>45580</v>
      </c>
      <c r="W953" s="12">
        <v>1.1024747675487889E-2</v>
      </c>
      <c r="X953" s="12">
        <v>1.5470167588523154E-2</v>
      </c>
      <c r="Y953" s="12">
        <v>4.1087391691976283E-3</v>
      </c>
      <c r="Z953" s="12">
        <v>-4.6860242235295391E-2</v>
      </c>
      <c r="AA953" s="12">
        <v>6.144624979496971E-3</v>
      </c>
      <c r="AB953" s="12">
        <v>-7.7696023223633448E-3</v>
      </c>
      <c r="AC953" s="12">
        <v>-3.006129817234382E-2</v>
      </c>
    </row>
    <row r="954" spans="12:29" x14ac:dyDescent="0.2">
      <c r="L954" s="11">
        <v>45580</v>
      </c>
      <c r="M954" s="10">
        <v>131.39469909667969</v>
      </c>
      <c r="N954" s="10">
        <v>112.87879943847656</v>
      </c>
      <c r="O954" s="10">
        <v>214.73066711425781</v>
      </c>
      <c r="P954" s="10">
        <v>231.91004943847656</v>
      </c>
      <c r="Q954" s="10">
        <v>568.109375</v>
      </c>
      <c r="R954" s="10">
        <v>156.22480773925781</v>
      </c>
      <c r="S954" s="10">
        <v>164.45344543457031</v>
      </c>
      <c r="V954" s="11">
        <v>45581</v>
      </c>
      <c r="W954" s="12">
        <v>-8.8519512211008289E-3</v>
      </c>
      <c r="X954" s="12">
        <v>1.0967588621955127E-3</v>
      </c>
      <c r="Y954" s="12">
        <v>5.6207852016427751E-3</v>
      </c>
      <c r="Z954" s="12">
        <v>3.1306863492083448E-2</v>
      </c>
      <c r="AA954" s="12">
        <v>-6.856058493799333E-3</v>
      </c>
      <c r="AB954" s="12">
        <v>4.3461986715807033E-3</v>
      </c>
      <c r="AC954" s="12">
        <v>2.5758942903972848E-3</v>
      </c>
    </row>
    <row r="955" spans="12:29" x14ac:dyDescent="0.2">
      <c r="L955" s="11">
        <v>45581</v>
      </c>
      <c r="M955" s="10">
        <v>135.50825500488281</v>
      </c>
      <c r="N955" s="10">
        <v>113.16956329345705</v>
      </c>
      <c r="O955" s="10">
        <v>215.9376220703125</v>
      </c>
      <c r="P955" s="10">
        <v>229.85719299316409</v>
      </c>
      <c r="Q955" s="10">
        <v>570.5784912109375</v>
      </c>
      <c r="R955" s="10">
        <v>156.39614868164062</v>
      </c>
      <c r="S955" s="10">
        <v>163.32594299316406</v>
      </c>
      <c r="V955" s="11">
        <v>45582</v>
      </c>
      <c r="W955" s="12">
        <v>1.5963307295623341E-3</v>
      </c>
      <c r="X955" s="12">
        <v>1.156632985279904E-3</v>
      </c>
      <c r="Y955" s="12">
        <v>3.4877818109046999E-3</v>
      </c>
      <c r="Z955" s="12">
        <v>8.9154319342383825E-3</v>
      </c>
      <c r="AA955" s="12">
        <v>-5.8017163924839465E-4</v>
      </c>
      <c r="AB955" s="12">
        <v>8.5897437817505917E-5</v>
      </c>
      <c r="AC955" s="12">
        <v>-2.5692761067435121E-3</v>
      </c>
    </row>
    <row r="956" spans="12:29" x14ac:dyDescent="0.2">
      <c r="L956" s="11">
        <v>45582</v>
      </c>
      <c r="M956" s="10">
        <v>136.71636962890625</v>
      </c>
      <c r="N956" s="10">
        <v>112.87879943847656</v>
      </c>
      <c r="O956" s="10">
        <v>216.69076538085935</v>
      </c>
      <c r="P956" s="10">
        <v>230.22412109375</v>
      </c>
      <c r="Q956" s="10">
        <v>570.62750244140625</v>
      </c>
      <c r="R956" s="10">
        <v>156.57704162597656</v>
      </c>
      <c r="S956" s="10">
        <v>163.23118591308594</v>
      </c>
      <c r="V956" s="11">
        <v>45583</v>
      </c>
      <c r="W956" s="12">
        <v>1.2276603449848267E-2</v>
      </c>
      <c r="X956" s="12">
        <v>3.9520795974596901E-3</v>
      </c>
      <c r="Y956" s="12">
        <v>4.2329276308241681E-3</v>
      </c>
      <c r="Z956" s="12">
        <v>7.814310159864446E-3</v>
      </c>
      <c r="AA956" s="12">
        <v>4.0944073107063161E-5</v>
      </c>
      <c r="AB956" s="12">
        <v>3.8466553308900142E-3</v>
      </c>
      <c r="AC956" s="12">
        <v>-2.8250283030026857E-3</v>
      </c>
    </row>
    <row r="957" spans="12:29" x14ac:dyDescent="0.2">
      <c r="L957" s="11">
        <v>45583</v>
      </c>
      <c r="M957" s="10">
        <v>137.78471374511719</v>
      </c>
      <c r="N957" s="10">
        <v>112.55991363525391</v>
      </c>
      <c r="O957" s="10">
        <v>217.6080017089844</v>
      </c>
      <c r="P957" s="10">
        <v>233.05049133300781</v>
      </c>
      <c r="Q957" s="10">
        <v>572.822509765625</v>
      </c>
      <c r="R957" s="10">
        <v>157.19584655761719</v>
      </c>
      <c r="S957" s="10">
        <v>163.23786926269531</v>
      </c>
      <c r="V957" s="11">
        <v>45586</v>
      </c>
      <c r="W957" s="12">
        <v>6.2978301137608383E-3</v>
      </c>
      <c r="X957" s="12">
        <v>-1.3868586710505504E-2</v>
      </c>
      <c r="Y957" s="12">
        <v>-1.0515836091291031E-2</v>
      </c>
      <c r="Z957" s="12">
        <v>4.1376725815984505E-2</v>
      </c>
      <c r="AA957" s="12">
        <v>-1.0158762088873563E-2</v>
      </c>
      <c r="AB957" s="12">
        <v>-1.6422798462758514E-3</v>
      </c>
      <c r="AC957" s="12">
        <v>5.8311772843944176E-4</v>
      </c>
    </row>
    <row r="958" spans="12:29" x14ac:dyDescent="0.2">
      <c r="L958" s="11">
        <v>45586</v>
      </c>
      <c r="M958" s="10">
        <v>143.48579406738281</v>
      </c>
      <c r="N958" s="10">
        <v>112.62554931640624</v>
      </c>
      <c r="O958" s="10">
        <v>215.31967163085935</v>
      </c>
      <c r="P958" s="10">
        <v>234.51820373535156</v>
      </c>
      <c r="Q958" s="10">
        <v>571.88177490234375</v>
      </c>
      <c r="R958" s="10">
        <v>155.01576232910156</v>
      </c>
      <c r="S958" s="10">
        <v>161.57957458496094</v>
      </c>
      <c r="V958" s="11">
        <v>45587</v>
      </c>
      <c r="W958" s="12">
        <v>-2.6217704872381065E-3</v>
      </c>
      <c r="X958" s="12">
        <v>3.8076158814259742E-3</v>
      </c>
      <c r="Y958" s="12">
        <v>5.0223262531368107E-3</v>
      </c>
      <c r="Z958" s="12">
        <v>-8.3500957357829364E-4</v>
      </c>
      <c r="AA958" s="12">
        <v>9.4359587654646582E-4</v>
      </c>
      <c r="AB958" s="12">
        <v>-5.3117967032279001E-4</v>
      </c>
      <c r="AC958" s="12">
        <v>5.1633729068636391E-3</v>
      </c>
    </row>
    <row r="959" spans="12:29" x14ac:dyDescent="0.2">
      <c r="L959" s="11">
        <v>45587</v>
      </c>
      <c r="M959" s="10">
        <v>143.36598205566406</v>
      </c>
      <c r="N959" s="10">
        <v>113.2070770263672</v>
      </c>
      <c r="O959" s="10">
        <v>216.40107727050781</v>
      </c>
      <c r="P959" s="10">
        <v>233.90335083007812</v>
      </c>
      <c r="Q959" s="10">
        <v>571.5780029296875</v>
      </c>
      <c r="R959" s="10">
        <v>155.60600280761719</v>
      </c>
      <c r="S959" s="10">
        <v>161.73204040527344</v>
      </c>
      <c r="V959" s="11">
        <v>45588</v>
      </c>
      <c r="W959" s="12">
        <v>-2.162307090636173E-2</v>
      </c>
      <c r="X959" s="12">
        <v>1.4744461915541462E-2</v>
      </c>
      <c r="Y959" s="12">
        <v>-3.1679457590825244E-3</v>
      </c>
      <c r="Z959" s="12">
        <v>-2.8066017478545646E-2</v>
      </c>
      <c r="AA959" s="12">
        <v>-7.0712410315765251E-4</v>
      </c>
      <c r="AB959" s="12">
        <v>-9.1373657810248643E-3</v>
      </c>
      <c r="AC959" s="12">
        <v>-3.5625427694510048E-3</v>
      </c>
    </row>
    <row r="960" spans="12:29" x14ac:dyDescent="0.2">
      <c r="L960" s="11">
        <v>45588</v>
      </c>
      <c r="M960" s="10">
        <v>139.34226989746094</v>
      </c>
      <c r="N960" s="10">
        <v>112.80377197265624</v>
      </c>
      <c r="O960" s="10">
        <v>215.71553039550781</v>
      </c>
      <c r="P960" s="10">
        <v>228.84564208984375</v>
      </c>
      <c r="Q960" s="10">
        <v>566.35528564453125</v>
      </c>
      <c r="R960" s="10">
        <v>157.90032958984375</v>
      </c>
      <c r="S960" s="10">
        <v>161.61767578125</v>
      </c>
      <c r="V960" s="11">
        <v>45589</v>
      </c>
      <c r="W960" s="12">
        <v>-8.2326351873784898E-4</v>
      </c>
      <c r="X960" s="12">
        <v>-1.320389835638347E-2</v>
      </c>
      <c r="Y960" s="12">
        <v>7.0274503323974891E-3</v>
      </c>
      <c r="Z960" s="12">
        <v>6.0906040176589293E-3</v>
      </c>
      <c r="AA960" s="12">
        <v>2.3593776907659958E-4</v>
      </c>
      <c r="AB960" s="12">
        <v>2.1626945959039023E-3</v>
      </c>
      <c r="AC960" s="12">
        <v>-5.6540850795134823E-3</v>
      </c>
    </row>
    <row r="961" spans="12:29" x14ac:dyDescent="0.2">
      <c r="L961" s="11">
        <v>45589</v>
      </c>
      <c r="M961" s="10">
        <v>140.19094848632812</v>
      </c>
      <c r="N961" s="10">
        <v>112.1659698486328</v>
      </c>
      <c r="O961" s="10">
        <v>217.23146057128903</v>
      </c>
      <c r="P961" s="10">
        <v>228.65724182128903</v>
      </c>
      <c r="Q961" s="10">
        <v>567.58013916015625</v>
      </c>
      <c r="R961" s="10">
        <v>155.8154296875</v>
      </c>
      <c r="S961" s="10">
        <v>161.65580749511719</v>
      </c>
      <c r="V961" s="11">
        <v>45590</v>
      </c>
      <c r="W961" s="12">
        <v>3.6431081939671817E-3</v>
      </c>
      <c r="X961" s="12">
        <v>-1.7046433831594099E-2</v>
      </c>
      <c r="Y961" s="12">
        <v>-1.1867679941412357E-2</v>
      </c>
      <c r="Z961" s="12">
        <v>8.04784385484969E-3</v>
      </c>
      <c r="AA961" s="12">
        <v>-8.2536086707207801E-3</v>
      </c>
      <c r="AB961" s="12">
        <v>-3.4540483069944727E-4</v>
      </c>
      <c r="AC961" s="12">
        <v>-8.3608707440130381E-4</v>
      </c>
    </row>
    <row r="962" spans="12:29" x14ac:dyDescent="0.2">
      <c r="L962" s="11">
        <v>45590</v>
      </c>
      <c r="M962" s="10">
        <v>141.31918334960938</v>
      </c>
      <c r="N962" s="10">
        <v>112.07218933105467</v>
      </c>
      <c r="O962" s="10">
        <v>214.65342712402344</v>
      </c>
      <c r="P962" s="10">
        <v>229.49026489257812</v>
      </c>
      <c r="Q962" s="10">
        <v>567.38409423828125</v>
      </c>
      <c r="R962" s="10">
        <v>153.15933227539062</v>
      </c>
      <c r="S962" s="10">
        <v>160.32156372070312</v>
      </c>
      <c r="V962" s="11">
        <v>45593</v>
      </c>
      <c r="W962" s="12">
        <v>8.5994071492885293E-3</v>
      </c>
      <c r="X962" s="12">
        <v>4.47553910604781E-3</v>
      </c>
      <c r="Y962" s="12">
        <v>1.4349359343685641E-2</v>
      </c>
      <c r="Z962" s="12">
        <v>-7.2062887477981619E-3</v>
      </c>
      <c r="AA962" s="12">
        <v>6.4200119655455357E-3</v>
      </c>
      <c r="AB962" s="12">
        <v>3.0914301936280086E-3</v>
      </c>
      <c r="AC962" s="12">
        <v>-4.9377359078842664E-3</v>
      </c>
    </row>
    <row r="963" spans="12:29" x14ac:dyDescent="0.2">
      <c r="L963" s="11">
        <v>45593</v>
      </c>
      <c r="M963" s="10">
        <v>140.30079650878906</v>
      </c>
      <c r="N963" s="10">
        <v>111.51880645751952</v>
      </c>
      <c r="O963" s="10">
        <v>217.73356628417969</v>
      </c>
      <c r="P963" s="10">
        <v>231.4637451171875</v>
      </c>
      <c r="Q963" s="10">
        <v>569.13812255859375</v>
      </c>
      <c r="R963" s="10">
        <v>153.84480285644531</v>
      </c>
      <c r="S963" s="10">
        <v>161.350830078125</v>
      </c>
      <c r="V963" s="11">
        <v>45594</v>
      </c>
      <c r="W963" s="12">
        <v>1.1568830752404224E-3</v>
      </c>
      <c r="X963" s="12">
        <v>-9.3442287842355753E-3</v>
      </c>
      <c r="Y963" s="12">
        <v>-1.1529997749728182E-2</v>
      </c>
      <c r="Z963" s="12">
        <v>5.1948105620673868E-3</v>
      </c>
      <c r="AA963" s="12">
        <v>-1.2581272611451477E-2</v>
      </c>
      <c r="AB963" s="12">
        <v>1.6182723864499593E-3</v>
      </c>
      <c r="AC963" s="12">
        <v>-1.362482693943956E-2</v>
      </c>
    </row>
    <row r="964" spans="12:29" x14ac:dyDescent="0.2">
      <c r="L964" s="11">
        <v>45594</v>
      </c>
      <c r="M964" s="10">
        <v>141.02963256835938</v>
      </c>
      <c r="N964" s="10">
        <v>109.99938201904295</v>
      </c>
      <c r="O964" s="10">
        <v>215.22309875488281</v>
      </c>
      <c r="P964" s="10">
        <v>231.73152160644531</v>
      </c>
      <c r="Q964" s="10">
        <v>570.05914306640625</v>
      </c>
      <c r="R964" s="10">
        <v>152.40724182128906</v>
      </c>
      <c r="S964" s="10">
        <v>159.32083129882812</v>
      </c>
      <c r="V964" s="11">
        <v>45595</v>
      </c>
      <c r="W964" s="12">
        <v>-1.5277916147601656E-2</v>
      </c>
      <c r="X964" s="12">
        <v>3.2482455979634395E-3</v>
      </c>
      <c r="Y964" s="12">
        <v>6.7744021015165856E-3</v>
      </c>
      <c r="Z964" s="12">
        <v>-1.3522072664613694E-2</v>
      </c>
      <c r="AA964" s="12">
        <v>-6.0417095654256014E-3</v>
      </c>
      <c r="AB964" s="12">
        <v>-3.0251024400930193E-3</v>
      </c>
      <c r="AC964" s="12">
        <v>-5.0305735831838172E-3</v>
      </c>
    </row>
    <row r="965" spans="12:29" x14ac:dyDescent="0.2">
      <c r="L965" s="11">
        <v>45595</v>
      </c>
      <c r="M965" s="10">
        <v>139.12261962890625</v>
      </c>
      <c r="N965" s="10">
        <v>109.44602203369141</v>
      </c>
      <c r="O965" s="10">
        <v>216.68110656738281</v>
      </c>
      <c r="P965" s="10">
        <v>228.19114685058591</v>
      </c>
      <c r="Q965" s="10">
        <v>568.33465576171875</v>
      </c>
      <c r="R965" s="10">
        <v>152.90229797363281</v>
      </c>
      <c r="S965" s="10">
        <v>158.35826110839844</v>
      </c>
      <c r="V965" s="11">
        <v>45596</v>
      </c>
      <c r="W965" s="12">
        <v>-1.8209550353115445E-2</v>
      </c>
      <c r="X965" s="12">
        <v>-4.6696781282168365E-3</v>
      </c>
      <c r="Y965" s="12">
        <v>-1.1095874465059441E-2</v>
      </c>
      <c r="Z965" s="12">
        <v>-4.7222715776404578E-2</v>
      </c>
      <c r="AA965" s="12">
        <v>-5.8979586664966721E-3</v>
      </c>
      <c r="AB965" s="12">
        <v>-1.9603193652644957E-2</v>
      </c>
      <c r="AC965" s="12">
        <v>7.7112315949423582E-4</v>
      </c>
    </row>
    <row r="966" spans="12:29" x14ac:dyDescent="0.2">
      <c r="L966" s="11">
        <v>45596</v>
      </c>
      <c r="M966" s="10">
        <v>132.55287170410156</v>
      </c>
      <c r="N966" s="10">
        <v>109.53041839599609</v>
      </c>
      <c r="O966" s="10">
        <v>214.27684020996097</v>
      </c>
      <c r="P966" s="10">
        <v>224.035888671875</v>
      </c>
      <c r="Q966" s="10">
        <v>557.1934814453125</v>
      </c>
      <c r="R966" s="10">
        <v>152.18829345703125</v>
      </c>
      <c r="S966" s="10">
        <v>157.42427062988281</v>
      </c>
      <c r="V966" s="11">
        <v>45597</v>
      </c>
      <c r="W966" s="12">
        <v>-1.3279626459296701E-2</v>
      </c>
      <c r="X966" s="12">
        <v>1.688922951425198E-3</v>
      </c>
      <c r="Y966" s="12">
        <v>4.59629019671004E-3</v>
      </c>
      <c r="Z966" s="12">
        <v>1.9885610485110838E-2</v>
      </c>
      <c r="AA966" s="12">
        <v>-4.8434824338228211E-4</v>
      </c>
      <c r="AB966" s="12">
        <v>4.2205888055482088E-3</v>
      </c>
      <c r="AC966" s="12">
        <v>-1.5670464353422009E-2</v>
      </c>
    </row>
    <row r="967" spans="12:29" x14ac:dyDescent="0.2">
      <c r="L967" s="11">
        <v>45597</v>
      </c>
      <c r="M967" s="10">
        <v>135.18876647949219</v>
      </c>
      <c r="N967" s="10">
        <v>107.81402587890624</v>
      </c>
      <c r="O967" s="10">
        <v>215.26171875</v>
      </c>
      <c r="P967" s="10">
        <v>221.06077575683591</v>
      </c>
      <c r="Q967" s="10">
        <v>559.545166015625</v>
      </c>
      <c r="R967" s="10">
        <v>152.44532775878906</v>
      </c>
      <c r="S967" s="10">
        <v>157.3480224609375</v>
      </c>
      <c r="V967" s="11">
        <v>45600</v>
      </c>
      <c r="W967" s="12">
        <v>-4.0374285613902217E-3</v>
      </c>
      <c r="X967" s="12">
        <v>-1.1802827381622638E-2</v>
      </c>
      <c r="Y967" s="12">
        <v>-1.4174200305768769E-2</v>
      </c>
      <c r="Z967" s="12">
        <v>4.8004843487912119E-3</v>
      </c>
      <c r="AA967" s="12">
        <v>-1.2092754432713182E-4</v>
      </c>
      <c r="AB967" s="12">
        <v>-2.1538926051214435E-3</v>
      </c>
      <c r="AC967" s="12">
        <v>3.1839874322431072E-2</v>
      </c>
    </row>
    <row r="968" spans="12:29" x14ac:dyDescent="0.2">
      <c r="L968" s="11">
        <v>45600</v>
      </c>
      <c r="M968" s="10">
        <v>135.83773803710938</v>
      </c>
      <c r="N968" s="10">
        <v>111.24681091308594</v>
      </c>
      <c r="O968" s="10">
        <v>212.21055603027344</v>
      </c>
      <c r="P968" s="10">
        <v>220.16825866699219</v>
      </c>
      <c r="Q968" s="10">
        <v>558.3399658203125</v>
      </c>
      <c r="R968" s="10">
        <v>150.64604187011719</v>
      </c>
      <c r="S968" s="10">
        <v>157.32899475097656</v>
      </c>
      <c r="V968" s="11">
        <v>45601</v>
      </c>
      <c r="W968" s="12">
        <v>6.4860588925859108E-3</v>
      </c>
      <c r="X968" s="12">
        <v>6.9504521490948434E-4</v>
      </c>
      <c r="Y968" s="12">
        <v>7.7805167611471049E-3</v>
      </c>
      <c r="Z968" s="12">
        <v>2.8372002531491525E-2</v>
      </c>
      <c r="AA968" s="12">
        <v>4.1189198070006316E-3</v>
      </c>
      <c r="AB968" s="12">
        <v>1.2091704251122826E-2</v>
      </c>
      <c r="AC968" s="12">
        <v>2.9509629497750378E-3</v>
      </c>
    </row>
    <row r="969" spans="12:29" x14ac:dyDescent="0.2">
      <c r="L969" s="11">
        <v>45601</v>
      </c>
      <c r="M969" s="10">
        <v>139.69172668457031</v>
      </c>
      <c r="N969" s="10">
        <v>111.57509613037109</v>
      </c>
      <c r="O969" s="10">
        <v>213.86166381835935</v>
      </c>
      <c r="P969" s="10">
        <v>221.5962829589844</v>
      </c>
      <c r="Q969" s="10">
        <v>565.09124755859375</v>
      </c>
      <c r="R969" s="10">
        <v>150.75074768066406</v>
      </c>
      <c r="S969" s="10">
        <v>157.97702026367188</v>
      </c>
      <c r="V969" s="11">
        <v>45602</v>
      </c>
      <c r="W969" s="12">
        <v>-3.266854117883411E-3</v>
      </c>
      <c r="X969" s="12">
        <v>-2.9681360613652563E-3</v>
      </c>
      <c r="Y969" s="12">
        <v>0.11544540462589015</v>
      </c>
      <c r="Z969" s="12">
        <v>4.0740539673180365E-2</v>
      </c>
      <c r="AA969" s="12">
        <v>-2.8414452677447355E-2</v>
      </c>
      <c r="AB969" s="12">
        <v>2.4865595825653397E-2</v>
      </c>
      <c r="AC969" s="12">
        <v>1.7148634973770838E-2</v>
      </c>
    </row>
    <row r="970" spans="12:29" x14ac:dyDescent="0.2">
      <c r="L970" s="11">
        <v>45602</v>
      </c>
      <c r="M970" s="10">
        <v>145.38284301757812</v>
      </c>
      <c r="N970" s="10">
        <v>113.48845672607422</v>
      </c>
      <c r="O970" s="10">
        <v>238.55101013183591</v>
      </c>
      <c r="P970" s="10">
        <v>220.87236022949219</v>
      </c>
      <c r="Q970" s="10">
        <v>579.142578125</v>
      </c>
      <c r="R970" s="10">
        <v>150.30329895019531</v>
      </c>
      <c r="S970" s="10">
        <v>153.48818969726562</v>
      </c>
      <c r="V970" s="11">
        <v>45603</v>
      </c>
      <c r="W970" s="12">
        <v>2.137209361930803E-2</v>
      </c>
      <c r="X970" s="12">
        <v>-7.2839575983497662E-3</v>
      </c>
      <c r="Y970" s="12">
        <v>-4.3228404523336983E-2</v>
      </c>
      <c r="Z970" s="12">
        <v>2.2457311806175717E-2</v>
      </c>
      <c r="AA970" s="12">
        <v>1.465374000323294E-2</v>
      </c>
      <c r="AB970" s="12">
        <v>7.73216736757254E-3</v>
      </c>
      <c r="AC970" s="12">
        <v>1.2396506148271147E-3</v>
      </c>
    </row>
    <row r="971" spans="12:29" x14ac:dyDescent="0.2">
      <c r="L971" s="11">
        <v>45603</v>
      </c>
      <c r="M971" s="10">
        <v>148.64775085449219</v>
      </c>
      <c r="N971" s="10">
        <v>113.62914276123048</v>
      </c>
      <c r="O971" s="10">
        <v>228.23883056640625</v>
      </c>
      <c r="P971" s="10">
        <v>225.5928649902344</v>
      </c>
      <c r="Q971" s="10">
        <v>583.62060546875</v>
      </c>
      <c r="R971" s="10">
        <v>149.20849609375</v>
      </c>
      <c r="S971" s="10">
        <v>155.73736572265625</v>
      </c>
      <c r="V971" s="11">
        <v>45604</v>
      </c>
      <c r="W971" s="12">
        <v>-1.1881399204868304E-3</v>
      </c>
      <c r="X971" s="12">
        <v>-8.0392468068813949E-3</v>
      </c>
      <c r="Y971" s="12">
        <v>2.5381973089733112E-3</v>
      </c>
      <c r="Z971" s="12">
        <v>-8.3963103658992733E-3</v>
      </c>
      <c r="AA971" s="12">
        <v>2.6314361061937186E-2</v>
      </c>
      <c r="AB971" s="12">
        <v>4.3316070629280112E-3</v>
      </c>
      <c r="AC971" s="12">
        <v>-3.302761139201138E-4</v>
      </c>
    </row>
    <row r="972" spans="12:29" x14ac:dyDescent="0.2">
      <c r="L972" s="11">
        <v>45604</v>
      </c>
      <c r="M972" s="10">
        <v>147.399658203125</v>
      </c>
      <c r="N972" s="10">
        <v>113.59161376953124</v>
      </c>
      <c r="O972" s="10">
        <v>228.81814575195312</v>
      </c>
      <c r="P972" s="10">
        <v>225.3248291015625</v>
      </c>
      <c r="Q972" s="10">
        <v>586.14862060546875</v>
      </c>
      <c r="R972" s="10">
        <v>148.00897216796875</v>
      </c>
      <c r="S972" s="10">
        <v>159.83549499511719</v>
      </c>
      <c r="V972" s="11">
        <v>45607</v>
      </c>
      <c r="W972" s="12">
        <v>-1.2028600745126683E-2</v>
      </c>
      <c r="X972" s="12">
        <v>-2.7659002407856015E-3</v>
      </c>
      <c r="Y972" s="12">
        <v>9.7477791486777488E-3</v>
      </c>
      <c r="Z972" s="12">
        <v>-1.6053546258461671E-2</v>
      </c>
      <c r="AA972" s="12">
        <v>-1.0017299318690776E-2</v>
      </c>
      <c r="AB972" s="12">
        <v>9.5288582999097926E-4</v>
      </c>
      <c r="AC972" s="12">
        <v>-5.2843502580482982E-3</v>
      </c>
    </row>
    <row r="973" spans="12:29" x14ac:dyDescent="0.2">
      <c r="L973" s="11">
        <v>45607</v>
      </c>
      <c r="M973" s="10">
        <v>145.03337097167969</v>
      </c>
      <c r="N973" s="10">
        <v>112.99135589599609</v>
      </c>
      <c r="O973" s="10">
        <v>231.04861450195312</v>
      </c>
      <c r="P973" s="10">
        <v>222.61448669433591</v>
      </c>
      <c r="Q973" s="10">
        <v>586.7071533203125</v>
      </c>
      <c r="R973" s="10">
        <v>147.59959411621094</v>
      </c>
      <c r="S973" s="10">
        <v>158.234375</v>
      </c>
      <c r="V973" s="11">
        <v>45608</v>
      </c>
      <c r="W973" s="12">
        <v>0</v>
      </c>
      <c r="X973" s="12">
        <v>-1.5479960016900551E-2</v>
      </c>
      <c r="Y973" s="12">
        <v>1.1283184350390218E-3</v>
      </c>
      <c r="Z973" s="12">
        <v>2.0859120452204394E-2</v>
      </c>
      <c r="AA973" s="12">
        <v>-1.1443534301865954E-3</v>
      </c>
      <c r="AB973" s="12">
        <v>-3.1063363644213693E-3</v>
      </c>
      <c r="AC973" s="12">
        <v>-9.9615104736983096E-4</v>
      </c>
    </row>
    <row r="974" spans="12:29" x14ac:dyDescent="0.2">
      <c r="L974" s="11">
        <v>45608</v>
      </c>
      <c r="M974" s="10">
        <v>148.05863952636719</v>
      </c>
      <c r="N974" s="10">
        <v>112.87879943847656</v>
      </c>
      <c r="O974" s="10">
        <v>231.30931091308591</v>
      </c>
      <c r="P974" s="10">
        <v>222.61448669433591</v>
      </c>
      <c r="Q974" s="10">
        <v>584.8846435546875</v>
      </c>
      <c r="R974" s="10">
        <v>145.31475830078125</v>
      </c>
      <c r="S974" s="10">
        <v>158.05329895019531</v>
      </c>
      <c r="V974" s="11">
        <v>45609</v>
      </c>
      <c r="W974" s="12">
        <v>3.9690832909105023E-3</v>
      </c>
      <c r="X974" s="12">
        <v>3.9309704948302659E-3</v>
      </c>
      <c r="Y974" s="12">
        <v>6.678832306985294E-3</v>
      </c>
      <c r="Z974" s="12">
        <v>-1.3621835583439657E-2</v>
      </c>
      <c r="AA974" s="12">
        <v>4.4620768839624958E-3</v>
      </c>
      <c r="AB974" s="12">
        <v>4.858730531422939E-4</v>
      </c>
      <c r="AC974" s="12">
        <v>9.3060948615264483E-3</v>
      </c>
    </row>
    <row r="975" spans="12:29" x14ac:dyDescent="0.2">
      <c r="L975" s="11">
        <v>45609</v>
      </c>
      <c r="M975" s="10">
        <v>146.04180908203125</v>
      </c>
      <c r="N975" s="10">
        <v>113.92926025390624</v>
      </c>
      <c r="O975" s="10">
        <v>232.85418701171875</v>
      </c>
      <c r="P975" s="10">
        <v>223.49806213378903</v>
      </c>
      <c r="Q975" s="10">
        <v>585.1688232421875</v>
      </c>
      <c r="R975" s="10">
        <v>145.885986328125</v>
      </c>
      <c r="S975" s="10">
        <v>158.758544921875</v>
      </c>
      <c r="V975" s="11">
        <v>45610</v>
      </c>
      <c r="W975" s="12">
        <v>1.3770579147410755E-2</v>
      </c>
      <c r="X975" s="12">
        <v>-8.9402710070638491E-3</v>
      </c>
      <c r="Y975" s="12">
        <v>2.9441037062627462E-3</v>
      </c>
      <c r="Z975" s="12">
        <v>3.350017072413447E-3</v>
      </c>
      <c r="AA975" s="12">
        <v>3.0015185882896755E-3</v>
      </c>
      <c r="AB975" s="12">
        <v>-6.430206460433574E-3</v>
      </c>
      <c r="AC975" s="12">
        <v>6.6416945736613719E-4</v>
      </c>
    </row>
    <row r="976" spans="12:29" x14ac:dyDescent="0.2">
      <c r="L976" s="11">
        <v>45610</v>
      </c>
      <c r="M976" s="10">
        <v>146.53105163574219</v>
      </c>
      <c r="N976" s="10">
        <v>114.0049285888672</v>
      </c>
      <c r="O976" s="10">
        <v>233.53973388671875</v>
      </c>
      <c r="P976" s="10">
        <v>226.57575988769531</v>
      </c>
      <c r="Q976" s="10">
        <v>581.40606689453125</v>
      </c>
      <c r="R976" s="10">
        <v>144.58172607421875</v>
      </c>
      <c r="S976" s="10">
        <v>159.23506164550781</v>
      </c>
      <c r="V976" s="11">
        <v>45611</v>
      </c>
      <c r="W976" s="12">
        <v>-1.4109290074550418E-2</v>
      </c>
      <c r="X976" s="12">
        <v>1.4025190526788078E-2</v>
      </c>
      <c r="Y976" s="12">
        <v>1.422256139392597E-2</v>
      </c>
      <c r="Z976" s="12">
        <v>-3.2570454893591672E-2</v>
      </c>
      <c r="AA976" s="12">
        <v>1.4723597398872634E-2</v>
      </c>
      <c r="AB976" s="12">
        <v>-1.280864082508093E-2</v>
      </c>
      <c r="AC976" s="12">
        <v>-1.0368300459872137E-2</v>
      </c>
    </row>
    <row r="977" spans="12:29" x14ac:dyDescent="0.2">
      <c r="L977" s="11">
        <v>45611</v>
      </c>
      <c r="M977" s="10">
        <v>141.75846862792969</v>
      </c>
      <c r="N977" s="10">
        <v>112.82289123535156</v>
      </c>
      <c r="O977" s="10">
        <v>236.86126708984375</v>
      </c>
      <c r="P977" s="10">
        <v>223.37893676757812</v>
      </c>
      <c r="Q977" s="10">
        <v>573.95904541015625</v>
      </c>
      <c r="R977" s="10">
        <v>146.60951232910156</v>
      </c>
      <c r="S977" s="10">
        <v>161.57957458496094</v>
      </c>
      <c r="V977" s="11">
        <v>45614</v>
      </c>
      <c r="W977" s="12">
        <v>1.3422237936325132E-2</v>
      </c>
      <c r="X977" s="12">
        <v>4.9998954018550812E-3</v>
      </c>
      <c r="Y977" s="12">
        <v>-1.141343070320433E-3</v>
      </c>
      <c r="Z977" s="12">
        <v>-1.2889058384981333E-2</v>
      </c>
      <c r="AA977" s="12">
        <v>7.1369353853081297E-3</v>
      </c>
      <c r="AB977" s="12">
        <v>4.0974101275608188E-3</v>
      </c>
      <c r="AC977" s="12">
        <v>8.3813669019894288E-3</v>
      </c>
    </row>
    <row r="978" spans="12:29" x14ac:dyDescent="0.2">
      <c r="L978" s="11">
        <v>45614</v>
      </c>
      <c r="M978" s="10">
        <v>139.93133544921875</v>
      </c>
      <c r="N978" s="10">
        <v>113.76850128173828</v>
      </c>
      <c r="O978" s="10">
        <v>236.59092712402344</v>
      </c>
      <c r="P978" s="10">
        <v>226.37718200683591</v>
      </c>
      <c r="Q978" s="10">
        <v>576.310791015625</v>
      </c>
      <c r="R978" s="10">
        <v>147.34254455566406</v>
      </c>
      <c r="S978" s="10">
        <v>162.73275756835938</v>
      </c>
      <c r="V978" s="11">
        <v>45615</v>
      </c>
      <c r="W978" s="12">
        <v>1.1402106585702843E-3</v>
      </c>
      <c r="X978" s="12">
        <v>-1.1436334283703165E-2</v>
      </c>
      <c r="Y978" s="12">
        <v>-7.9175255976647874E-3</v>
      </c>
      <c r="Z978" s="12">
        <v>4.8947717364517196E-2</v>
      </c>
      <c r="AA978" s="12">
        <v>5.8509943033469014E-5</v>
      </c>
      <c r="AB978" s="12">
        <v>3.6554745910837294E-3</v>
      </c>
      <c r="AC978" s="12">
        <v>-1.3963913970519437E-2</v>
      </c>
    </row>
    <row r="979" spans="12:29" x14ac:dyDescent="0.2">
      <c r="L979" s="11">
        <v>45615</v>
      </c>
      <c r="M979" s="10">
        <v>146.78065490722656</v>
      </c>
      <c r="N979" s="10">
        <v>112.17984771728516</v>
      </c>
      <c r="O979" s="10">
        <v>234.71771240234375</v>
      </c>
      <c r="P979" s="10">
        <v>226.63529968261719</v>
      </c>
      <c r="Q979" s="10">
        <v>578.41748046875</v>
      </c>
      <c r="R979" s="10">
        <v>145.65748596191406</v>
      </c>
      <c r="S979" s="10">
        <v>162.74227905273438</v>
      </c>
      <c r="V979" s="11">
        <v>45616</v>
      </c>
      <c r="W979" s="12">
        <v>3.1540915833145888E-3</v>
      </c>
      <c r="X979" s="12">
        <v>7.1895425521284473E-4</v>
      </c>
      <c r="Y979" s="12">
        <v>-9.5026413200489657E-3</v>
      </c>
      <c r="Z979" s="12">
        <v>-7.618549024332788E-3</v>
      </c>
      <c r="AA979" s="12">
        <v>7.6114732035459376E-4</v>
      </c>
      <c r="AB979" s="12">
        <v>3.3882773833160407E-4</v>
      </c>
      <c r="AC979" s="12">
        <v>1.4246067146516106E-2</v>
      </c>
    </row>
    <row r="980" spans="12:29" x14ac:dyDescent="0.2">
      <c r="L980" s="11">
        <v>45616</v>
      </c>
      <c r="M980" s="10">
        <v>145.66239929199219</v>
      </c>
      <c r="N980" s="10">
        <v>113.77796936035156</v>
      </c>
      <c r="O980" s="10">
        <v>232.48727416992188</v>
      </c>
      <c r="P980" s="10">
        <v>227.35012817382812</v>
      </c>
      <c r="Q980" s="10">
        <v>578.61346435546875</v>
      </c>
      <c r="R980" s="10">
        <v>145.76220703125</v>
      </c>
      <c r="S980" s="10">
        <v>162.86614990234375</v>
      </c>
      <c r="V980" s="11">
        <v>45617</v>
      </c>
      <c r="W980" s="12">
        <v>-2.0961611230569943E-3</v>
      </c>
      <c r="X980" s="12">
        <v>1.5609768659491374E-2</v>
      </c>
      <c r="Y980" s="12">
        <v>1.6529618832306081E-2</v>
      </c>
      <c r="Z980" s="12">
        <v>5.3465639639767026E-3</v>
      </c>
      <c r="AA980" s="12">
        <v>1.0884335513541954E-2</v>
      </c>
      <c r="AB980" s="12">
        <v>5.3682472463352227E-3</v>
      </c>
      <c r="AC980" s="12">
        <v>1.338098180218128E-2</v>
      </c>
    </row>
    <row r="981" spans="12:29" x14ac:dyDescent="0.2">
      <c r="L981" s="11">
        <v>45617</v>
      </c>
      <c r="M981" s="10">
        <v>146.44119262695312</v>
      </c>
      <c r="N981" s="10">
        <v>115.30043029785156</v>
      </c>
      <c r="O981" s="10">
        <v>236.3302001953125</v>
      </c>
      <c r="P981" s="10">
        <v>226.87356567382812</v>
      </c>
      <c r="Q981" s="10">
        <v>581.7196044921875</v>
      </c>
      <c r="R981" s="10">
        <v>148.03752136230469</v>
      </c>
      <c r="S981" s="10">
        <v>164.63883972167969</v>
      </c>
      <c r="V981" s="11">
        <v>45618</v>
      </c>
      <c r="W981" s="12">
        <v>5.9075679095228484E-3</v>
      </c>
      <c r="X981" s="12">
        <v>-2.1221863559774956E-3</v>
      </c>
      <c r="Y981" s="12">
        <v>1.5484626426317538E-2</v>
      </c>
      <c r="Z981" s="12">
        <v>-3.2181153402513485E-2</v>
      </c>
      <c r="AA981" s="12">
        <v>2.043426130174586E-2</v>
      </c>
      <c r="AB981" s="12">
        <v>3.0993944534478679E-3</v>
      </c>
      <c r="AC981" s="12">
        <v>-1.1481765815118949E-3</v>
      </c>
    </row>
    <row r="982" spans="12:29" x14ac:dyDescent="0.2">
      <c r="L982" s="11">
        <v>45618</v>
      </c>
      <c r="M982" s="10">
        <v>141.72854614257812</v>
      </c>
      <c r="N982" s="10">
        <v>115.16804504394533</v>
      </c>
      <c r="O982" s="10">
        <v>239.98968505859375</v>
      </c>
      <c r="P982" s="10">
        <v>228.21383666992188</v>
      </c>
      <c r="Q982" s="10">
        <v>583.5225830078125</v>
      </c>
      <c r="R982" s="10">
        <v>147.72335815429688</v>
      </c>
      <c r="S982" s="10">
        <v>168.00311279296875</v>
      </c>
      <c r="V982" s="11">
        <v>45621</v>
      </c>
      <c r="W982" s="12">
        <v>1.305082259410173E-2</v>
      </c>
      <c r="X982" s="12">
        <v>3.9311250529119324E-3</v>
      </c>
      <c r="Y982" s="12">
        <v>7.0005246705804325E-3</v>
      </c>
      <c r="Z982" s="12">
        <v>-4.1775252838995081E-2</v>
      </c>
      <c r="AA982" s="12">
        <v>6.2967677760690233E-3</v>
      </c>
      <c r="AB982" s="12">
        <v>3.3921054211556445E-3</v>
      </c>
      <c r="AC982" s="12">
        <v>-1.4943784511556202E-2</v>
      </c>
    </row>
    <row r="983" spans="12:29" x14ac:dyDescent="0.2">
      <c r="L983" s="11">
        <v>45621</v>
      </c>
      <c r="M983" s="10">
        <v>135.80780029296875</v>
      </c>
      <c r="N983" s="10">
        <v>113.44699859619141</v>
      </c>
      <c r="O983" s="10">
        <v>241.66973876953125</v>
      </c>
      <c r="P983" s="10">
        <v>231.19221496582031</v>
      </c>
      <c r="Q983" s="10">
        <v>585.501953125</v>
      </c>
      <c r="R983" s="10">
        <v>148.3040771484375</v>
      </c>
      <c r="S983" s="10">
        <v>169.06098937988281</v>
      </c>
      <c r="V983" s="11">
        <v>45622</v>
      </c>
      <c r="W983" s="12">
        <v>9.4045354053777785E-3</v>
      </c>
      <c r="X983" s="12">
        <v>-1.2943377558938263E-4</v>
      </c>
      <c r="Y983" s="12">
        <v>-1.2784387590708546E-3</v>
      </c>
      <c r="Z983" s="12">
        <v>6.6166309000819101E-3</v>
      </c>
      <c r="AA983" s="12">
        <v>1.0823604250016272E-2</v>
      </c>
      <c r="AB983" s="12">
        <v>5.2214854708667602E-3</v>
      </c>
      <c r="AC983" s="12">
        <v>-1.6670785774451136E-2</v>
      </c>
    </row>
    <row r="984" spans="12:29" x14ac:dyDescent="0.2">
      <c r="L984" s="11">
        <v>45622</v>
      </c>
      <c r="M984" s="10">
        <v>136.70639038085938</v>
      </c>
      <c r="N984" s="10">
        <v>111.55574798583984</v>
      </c>
      <c r="O984" s="10">
        <v>241.36077880859375</v>
      </c>
      <c r="P984" s="10">
        <v>233.36647033691409</v>
      </c>
      <c r="Q984" s="10">
        <v>588.55914306640625</v>
      </c>
      <c r="R984" s="10">
        <v>148.28488159179688</v>
      </c>
      <c r="S984" s="10">
        <v>170.89083862304688</v>
      </c>
      <c r="V984" s="11">
        <v>45623</v>
      </c>
      <c r="W984" s="12">
        <v>-5.5309615170229254E-4</v>
      </c>
      <c r="X984" s="12">
        <v>5.6950001430335906E-3</v>
      </c>
      <c r="Y984" s="12">
        <v>-7.2007394192119545E-4</v>
      </c>
      <c r="Z984" s="12">
        <v>-1.1539659277233771E-2</v>
      </c>
      <c r="AA984" s="12">
        <v>2.7885168465524579E-4</v>
      </c>
      <c r="AB984" s="12">
        <v>-3.0300883971953185E-3</v>
      </c>
      <c r="AC984" s="12">
        <v>-2.62778235426675E-3</v>
      </c>
    </row>
    <row r="985" spans="12:29" x14ac:dyDescent="0.2">
      <c r="L985" s="11">
        <v>45623</v>
      </c>
      <c r="M985" s="10">
        <v>135.12884521484375</v>
      </c>
      <c r="N985" s="10">
        <v>111.26260375976562</v>
      </c>
      <c r="O985" s="10">
        <v>241.18698120117188</v>
      </c>
      <c r="P985" s="10">
        <v>233.2373962402344</v>
      </c>
      <c r="Q985" s="10">
        <v>586.7757568359375</v>
      </c>
      <c r="R985" s="10">
        <v>149.12936401367188</v>
      </c>
      <c r="S985" s="10">
        <v>170.93849182128906</v>
      </c>
      <c r="V985" s="11">
        <v>45625</v>
      </c>
      <c r="W985" s="12">
        <v>1.0215796123973053E-2</v>
      </c>
      <c r="X985" s="12">
        <v>-2.5093770380695268E-3</v>
      </c>
      <c r="Y985" s="12">
        <v>-2.8026568934291785E-4</v>
      </c>
      <c r="Z985" s="12">
        <v>2.1501605049072836E-2</v>
      </c>
      <c r="AA985" s="12">
        <v>-5.5763716093326643E-4</v>
      </c>
      <c r="AB985" s="12">
        <v>6.2122584211297127E-3</v>
      </c>
      <c r="AC985" s="12">
        <v>2.5496776748816785E-3</v>
      </c>
    </row>
    <row r="986" spans="12:29" x14ac:dyDescent="0.2">
      <c r="L986" s="11">
        <v>45625</v>
      </c>
      <c r="M986" s="10">
        <v>138.03433227539062</v>
      </c>
      <c r="N986" s="10">
        <v>111.54628753662109</v>
      </c>
      <c r="O986" s="10">
        <v>241.119384765625</v>
      </c>
      <c r="P986" s="10">
        <v>235.62010192871097</v>
      </c>
      <c r="Q986" s="10">
        <v>590.42095947265625</v>
      </c>
      <c r="R986" s="10">
        <v>148.75514221191406</v>
      </c>
      <c r="S986" s="10">
        <v>170.84317016601562</v>
      </c>
      <c r="V986" s="11">
        <v>45628</v>
      </c>
      <c r="W986" s="12">
        <v>9.5225889494992E-3</v>
      </c>
      <c r="X986" s="12">
        <v>-1.3548310528344043E-3</v>
      </c>
      <c r="Y986" s="12">
        <v>-1.3895582837615605E-2</v>
      </c>
      <c r="Z986" s="12">
        <v>2.7485519362897559E-3</v>
      </c>
      <c r="AA986" s="12">
        <v>2.4545437819265548E-3</v>
      </c>
      <c r="AB986" s="12">
        <v>1.7922238140926083E-3</v>
      </c>
      <c r="AC986" s="12">
        <v>-9.3245179146261847E-4</v>
      </c>
    </row>
    <row r="987" spans="12:29" x14ac:dyDescent="0.2">
      <c r="L987" s="11">
        <v>45628</v>
      </c>
      <c r="M987" s="10">
        <v>138.41372680664062</v>
      </c>
      <c r="N987" s="10">
        <v>111.44227600097656</v>
      </c>
      <c r="O987" s="10">
        <v>237.76889038085935</v>
      </c>
      <c r="P987" s="10">
        <v>237.86381530761719</v>
      </c>
      <c r="Q987" s="10">
        <v>591.4791259765625</v>
      </c>
      <c r="R987" s="10">
        <v>148.55360412597656</v>
      </c>
      <c r="S987" s="10">
        <v>171.26251220703125</v>
      </c>
      <c r="V987" s="11">
        <v>45629</v>
      </c>
      <c r="W987" s="12">
        <v>1.2771862181974347E-2</v>
      </c>
      <c r="X987" s="12">
        <v>-1.5762342140075658E-2</v>
      </c>
      <c r="Y987" s="12">
        <v>-5.8070561816383481E-3</v>
      </c>
      <c r="Z987" s="12">
        <v>1.1757913774784523E-2</v>
      </c>
      <c r="AA987" s="12">
        <v>-2.3817385462755247E-2</v>
      </c>
      <c r="AB987" s="12">
        <v>4.6394547237316175E-4</v>
      </c>
      <c r="AC987" s="12">
        <v>-1.5274907951425831E-3</v>
      </c>
    </row>
    <row r="988" spans="12:29" x14ac:dyDescent="0.2">
      <c r="L988" s="11">
        <v>45629</v>
      </c>
      <c r="M988" s="10">
        <v>140.04118347167969</v>
      </c>
      <c r="N988" s="10">
        <v>111.27204895019533</v>
      </c>
      <c r="O988" s="10">
        <v>236.38815307617188</v>
      </c>
      <c r="P988" s="10">
        <v>240.90177917480469</v>
      </c>
      <c r="Q988" s="10">
        <v>591.7535400390625</v>
      </c>
      <c r="R988" s="10">
        <v>146.21205139160156</v>
      </c>
      <c r="S988" s="10">
        <v>167.18348693847656</v>
      </c>
      <c r="V988" s="11">
        <v>45630</v>
      </c>
      <c r="W988" s="12">
        <v>1.4836196620680031E-3</v>
      </c>
      <c r="X988" s="12">
        <v>-1.2404832191679649E-2</v>
      </c>
      <c r="Y988" s="12">
        <v>-5.8001796289605112E-3</v>
      </c>
      <c r="Z988" s="12">
        <v>3.4792556205836656E-2</v>
      </c>
      <c r="AA988" s="12">
        <v>-1.7671642052593528E-3</v>
      </c>
      <c r="AB988" s="12">
        <v>6.2095099785566266E-3</v>
      </c>
      <c r="AC988" s="12">
        <v>-2.8809330357602136E-2</v>
      </c>
    </row>
    <row r="989" spans="12:29" x14ac:dyDescent="0.2">
      <c r="L989" s="11">
        <v>45630</v>
      </c>
      <c r="M989" s="10">
        <v>144.91357421875</v>
      </c>
      <c r="N989" s="10">
        <v>108.06637573242188</v>
      </c>
      <c r="O989" s="10">
        <v>235.01705932617188</v>
      </c>
      <c r="P989" s="10">
        <v>241.2591857910156</v>
      </c>
      <c r="Q989" s="10">
        <v>595.42803955078125</v>
      </c>
      <c r="R989" s="10">
        <v>144.3983154296875</v>
      </c>
      <c r="S989" s="10">
        <v>166.88804626464844</v>
      </c>
      <c r="V989" s="11">
        <v>45631</v>
      </c>
      <c r="W989" s="12">
        <v>1.2345708683514367E-4</v>
      </c>
      <c r="X989" s="12">
        <v>-6.3135561339779933E-3</v>
      </c>
      <c r="Y989" s="12">
        <v>8.5456001456427622E-3</v>
      </c>
      <c r="Z989" s="12">
        <v>-4.8236000714330096E-4</v>
      </c>
      <c r="AA989" s="12">
        <v>5.2537332537880843E-3</v>
      </c>
      <c r="AB989" s="12">
        <v>-1.6457394823613525E-3</v>
      </c>
      <c r="AC989" s="12">
        <v>4.3752412726034695E-3</v>
      </c>
    </row>
    <row r="990" spans="12:29" x14ac:dyDescent="0.2">
      <c r="L990" s="11">
        <v>45631</v>
      </c>
      <c r="M990" s="10">
        <v>144.84367370605469</v>
      </c>
      <c r="N990" s="10">
        <v>108.53919219970705</v>
      </c>
      <c r="O990" s="10">
        <v>237.02542114257812</v>
      </c>
      <c r="P990" s="10">
        <v>241.2889709472656</v>
      </c>
      <c r="Q990" s="10">
        <v>594.4481201171875</v>
      </c>
      <c r="R990" s="10">
        <v>143.48664855957031</v>
      </c>
      <c r="S990" s="10">
        <v>167.76483154296875</v>
      </c>
      <c r="V990" s="11">
        <v>45632</v>
      </c>
      <c r="W990" s="12">
        <v>-8.2292456754551324E-4</v>
      </c>
      <c r="X990" s="12">
        <v>-1.4044709328113747E-3</v>
      </c>
      <c r="Y990" s="12">
        <v>7.6585111928917371E-3</v>
      </c>
      <c r="Z990" s="12">
        <v>-1.8061464475808475E-2</v>
      </c>
      <c r="AA990" s="12">
        <v>-1.2554576613541313E-2</v>
      </c>
      <c r="AB990" s="12">
        <v>1.8955919222443107E-3</v>
      </c>
      <c r="AC990" s="12">
        <v>-1.0541913867613939E-2</v>
      </c>
    </row>
    <row r="991" spans="12:29" x14ac:dyDescent="0.2">
      <c r="L991" s="11">
        <v>45632</v>
      </c>
      <c r="M991" s="10">
        <v>142.22758483886719</v>
      </c>
      <c r="N991" s="10">
        <v>107.39498138427734</v>
      </c>
      <c r="O991" s="10">
        <v>238.84068298339844</v>
      </c>
      <c r="P991" s="10">
        <v>241.09040832519531</v>
      </c>
      <c r="Q991" s="10">
        <v>595.574951171875</v>
      </c>
      <c r="R991" s="10">
        <v>143.28512573242188</v>
      </c>
      <c r="S991" s="10">
        <v>165.65861511230469</v>
      </c>
      <c r="V991" s="11">
        <v>45635</v>
      </c>
      <c r="W991" s="12">
        <v>1.6101036316160222E-2</v>
      </c>
      <c r="X991" s="12">
        <v>1.9422099363026746E-3</v>
      </c>
      <c r="Y991" s="12">
        <v>-1.4351679327664568E-2</v>
      </c>
      <c r="Z991" s="12">
        <v>-2.5484423551181634E-2</v>
      </c>
      <c r="AA991" s="12">
        <v>-1.7431972045030997E-2</v>
      </c>
      <c r="AB991" s="12">
        <v>-5.1495711167361957E-3</v>
      </c>
      <c r="AC991" s="12">
        <v>-5.8994883307077473E-3</v>
      </c>
    </row>
    <row r="992" spans="12:29" x14ac:dyDescent="0.2">
      <c r="L992" s="11">
        <v>45635</v>
      </c>
      <c r="M992" s="10">
        <v>138.60299682617188</v>
      </c>
      <c r="N992" s="10">
        <v>106.76140594482422</v>
      </c>
      <c r="O992" s="10">
        <v>235.41291809082031</v>
      </c>
      <c r="P992" s="10">
        <v>244.97221374511719</v>
      </c>
      <c r="Q992" s="10">
        <v>592.50799560546875</v>
      </c>
      <c r="R992" s="10">
        <v>143.56341552734375</v>
      </c>
      <c r="S992" s="10">
        <v>162.77085876464844</v>
      </c>
      <c r="V992" s="11">
        <v>45636</v>
      </c>
      <c r="W992" s="12">
        <v>4.1337945207755578E-3</v>
      </c>
      <c r="X992" s="12">
        <v>-2.4731702111648879E-3</v>
      </c>
      <c r="Y992" s="12">
        <v>-3.8964816031816785E-3</v>
      </c>
      <c r="Z992" s="12">
        <v>-2.6943400364133341E-2</v>
      </c>
      <c r="AA992" s="12">
        <v>8.7241902886667777E-3</v>
      </c>
      <c r="AB992" s="12">
        <v>-3.1090940537520373E-3</v>
      </c>
      <c r="AC992" s="12">
        <v>-2.0372416171559049E-3</v>
      </c>
    </row>
    <row r="993" spans="12:29" x14ac:dyDescent="0.2">
      <c r="L993" s="11">
        <v>45636</v>
      </c>
      <c r="M993" s="10">
        <v>134.86856079101562</v>
      </c>
      <c r="N993" s="10">
        <v>106.54390716552734</v>
      </c>
      <c r="O993" s="10">
        <v>234.49563598632812</v>
      </c>
      <c r="P993" s="10">
        <v>245.98487854003903</v>
      </c>
      <c r="Q993" s="10">
        <v>590.66583251953125</v>
      </c>
      <c r="R993" s="10">
        <v>143.20835876464844</v>
      </c>
      <c r="S993" s="10">
        <v>164.19090270996094</v>
      </c>
      <c r="V993" s="11">
        <v>45637</v>
      </c>
      <c r="W993" s="12">
        <v>-5.1660379266248446E-3</v>
      </c>
      <c r="X993" s="12">
        <v>-1.735585947518159E-2</v>
      </c>
      <c r="Y993" s="12">
        <v>2.7588664324209589E-3</v>
      </c>
      <c r="Z993" s="12">
        <v>3.1391217713462982E-2</v>
      </c>
      <c r="AA993" s="12">
        <v>-9.5774187147986689E-3</v>
      </c>
      <c r="AB993" s="12">
        <v>7.7307403413020559E-3</v>
      </c>
      <c r="AC993" s="12">
        <v>-6.6566066995141782E-3</v>
      </c>
    </row>
    <row r="994" spans="12:29" x14ac:dyDescent="0.2">
      <c r="L994" s="11">
        <v>45637</v>
      </c>
      <c r="M994" s="10">
        <v>139.10224914550781</v>
      </c>
      <c r="N994" s="10">
        <v>105.83468627929688</v>
      </c>
      <c r="O994" s="10">
        <v>235.142578125</v>
      </c>
      <c r="P994" s="10">
        <v>244.714111328125</v>
      </c>
      <c r="Q994" s="10">
        <v>595.23211669921875</v>
      </c>
      <c r="R994" s="10">
        <v>140.72285461425781</v>
      </c>
      <c r="S994" s="10">
        <v>162.61837768554688</v>
      </c>
      <c r="V994" s="11">
        <v>45638</v>
      </c>
      <c r="W994" s="12">
        <v>5.9637411719870581E-3</v>
      </c>
      <c r="X994" s="12">
        <v>-2.7275941773590162E-3</v>
      </c>
      <c r="Y994" s="12">
        <v>-8.2126218924689631E-3</v>
      </c>
      <c r="Z994" s="12">
        <v>-1.4141191427792577E-2</v>
      </c>
      <c r="AA994" s="12">
        <v>1.2892501124575073E-3</v>
      </c>
      <c r="AB994" s="12">
        <v>-5.1527421835482201E-3</v>
      </c>
      <c r="AC994" s="12">
        <v>-8.9352884710469649E-4</v>
      </c>
    </row>
    <row r="995" spans="12:29" x14ac:dyDescent="0.2">
      <c r="L995" s="11">
        <v>45638</v>
      </c>
      <c r="M995" s="10">
        <v>137.13517761230469</v>
      </c>
      <c r="N995" s="10">
        <v>105.74011993408205</v>
      </c>
      <c r="O995" s="10">
        <v>233.21144104003903</v>
      </c>
      <c r="P995" s="10">
        <v>246.17352294921875</v>
      </c>
      <c r="Q995" s="10">
        <v>592.1650390625</v>
      </c>
      <c r="R995" s="10">
        <v>140.33901977539062</v>
      </c>
      <c r="S995" s="10">
        <v>162.82803344726562</v>
      </c>
      <c r="V995" s="11">
        <v>45639</v>
      </c>
      <c r="W995" s="12">
        <v>6.8560364980885247E-4</v>
      </c>
      <c r="X995" s="12">
        <v>2.5982743987393864E-3</v>
      </c>
      <c r="Y995" s="12">
        <v>-6.5828761210029452E-3</v>
      </c>
      <c r="Z995" s="12">
        <v>-2.2498882032416678E-2</v>
      </c>
      <c r="AA995" s="12">
        <v>1.2293018019327029E-3</v>
      </c>
      <c r="AB995" s="12">
        <v>-1.9830897280070925E-4</v>
      </c>
      <c r="AC995" s="12">
        <v>-8.7641253490641224E-3</v>
      </c>
    </row>
    <row r="996" spans="12:29" x14ac:dyDescent="0.2">
      <c r="L996" s="11">
        <v>45639</v>
      </c>
      <c r="M996" s="10">
        <v>134.04978942871094</v>
      </c>
      <c r="N996" s="10">
        <v>104.81340026855467</v>
      </c>
      <c r="O996" s="10">
        <v>231.67623901367188</v>
      </c>
      <c r="P996" s="10">
        <v>246.34230041503903</v>
      </c>
      <c r="Q996" s="10">
        <v>592.047607421875</v>
      </c>
      <c r="R996" s="10">
        <v>140.70365905761719</v>
      </c>
      <c r="S996" s="10">
        <v>163.0281982421875</v>
      </c>
      <c r="V996" s="11">
        <v>45642</v>
      </c>
      <c r="W996" s="12">
        <v>1.1727676579625257E-2</v>
      </c>
      <c r="X996" s="12">
        <v>-1.8892210357596251E-2</v>
      </c>
      <c r="Y996" s="12">
        <v>-1.5004807307897883E-3</v>
      </c>
      <c r="Z996" s="12">
        <v>-1.675976572571225E-2</v>
      </c>
      <c r="AA996" s="12">
        <v>4.675120757573481E-4</v>
      </c>
      <c r="AB996" s="12">
        <v>4.2698493666255555E-3</v>
      </c>
      <c r="AC996" s="12">
        <v>-2.1381992941965189E-2</v>
      </c>
    </row>
    <row r="997" spans="12:29" x14ac:dyDescent="0.2">
      <c r="L997" s="11">
        <v>45642</v>
      </c>
      <c r="M997" s="10">
        <v>131.80314636230469</v>
      </c>
      <c r="N997" s="10">
        <v>102.57228088378906</v>
      </c>
      <c r="O997" s="10">
        <v>231.32861328125</v>
      </c>
      <c r="P997" s="10">
        <v>249.2313232421875</v>
      </c>
      <c r="Q997" s="10">
        <v>594.5755615234375</v>
      </c>
      <c r="R997" s="10">
        <v>138.04545593261719</v>
      </c>
      <c r="S997" s="10">
        <v>163.10441589355469</v>
      </c>
      <c r="V997" s="11">
        <v>45643</v>
      </c>
      <c r="W997" s="12">
        <v>9.7195209097502566E-3</v>
      </c>
      <c r="X997" s="12">
        <v>1.7796279783666158E-2</v>
      </c>
      <c r="Y997" s="12">
        <v>-5.0922300484843586E-3</v>
      </c>
      <c r="Z997" s="12">
        <v>-1.2197015206675821E-2</v>
      </c>
      <c r="AA997" s="12">
        <v>-4.7328095590964958E-3</v>
      </c>
      <c r="AB997" s="12">
        <v>-4.1200937101640855E-3</v>
      </c>
      <c r="AC997" s="12">
        <v>-4.2408880337424515E-3</v>
      </c>
    </row>
    <row r="998" spans="12:29" x14ac:dyDescent="0.2">
      <c r="L998" s="11">
        <v>45643</v>
      </c>
      <c r="M998" s="10">
        <v>130.19554138183594</v>
      </c>
      <c r="N998" s="10">
        <v>102.13728332519533</v>
      </c>
      <c r="O998" s="10">
        <v>230.150634765625</v>
      </c>
      <c r="P998" s="10">
        <v>251.65373229980469</v>
      </c>
      <c r="Q998" s="10">
        <v>592.1258544921875</v>
      </c>
      <c r="R998" s="10">
        <v>140.50215148925781</v>
      </c>
      <c r="S998" s="10">
        <v>162.33247375488281</v>
      </c>
      <c r="V998" s="11">
        <v>45644</v>
      </c>
      <c r="W998" s="12">
        <v>-2.1421773050449566E-2</v>
      </c>
      <c r="X998" s="12">
        <v>-1.1338138384563212E-2</v>
      </c>
      <c r="Y998" s="12">
        <v>-3.3520712381603035E-2</v>
      </c>
      <c r="Z998" s="12">
        <v>-1.1350490096976307E-2</v>
      </c>
      <c r="AA998" s="12">
        <v>-7.3388270904659603E-3</v>
      </c>
      <c r="AB998" s="12">
        <v>-2.9803358075492281E-2</v>
      </c>
      <c r="AC998" s="12">
        <v>-1.472077570611896E-2</v>
      </c>
    </row>
    <row r="999" spans="12:29" x14ac:dyDescent="0.2">
      <c r="L999" s="11">
        <v>45644</v>
      </c>
      <c r="M999" s="10">
        <v>128.71775817871094</v>
      </c>
      <c r="N999" s="10">
        <v>100.6337432861328</v>
      </c>
      <c r="O999" s="10">
        <v>222.43582153320312</v>
      </c>
      <c r="P999" s="10">
        <v>246.26286315917969</v>
      </c>
      <c r="Q999" s="10">
        <v>574.478515625</v>
      </c>
      <c r="R999" s="10">
        <v>138.90911865234375</v>
      </c>
      <c r="S999" s="10">
        <v>161.14114379882812</v>
      </c>
      <c r="V999" s="11">
        <v>45645</v>
      </c>
      <c r="W999" s="12">
        <v>7.0147108110170109E-3</v>
      </c>
      <c r="X999" s="12">
        <v>-8.0828925161925413E-3</v>
      </c>
      <c r="Y999" s="12">
        <v>1.1242764046698328E-2</v>
      </c>
      <c r="Z999" s="12">
        <v>1.3730304267117965E-2</v>
      </c>
      <c r="AA999" s="12">
        <v>6.5072393037257648E-4</v>
      </c>
      <c r="AB999" s="12">
        <v>-3.0725896108219075E-4</v>
      </c>
      <c r="AC999" s="12">
        <v>-8.5510784998572564E-3</v>
      </c>
    </row>
    <row r="1000" spans="12:29" x14ac:dyDescent="0.2">
      <c r="L1000" s="11">
        <v>45645</v>
      </c>
      <c r="M1000" s="10">
        <v>130.48509216308594</v>
      </c>
      <c r="N1000" s="10">
        <v>99.773216247558594</v>
      </c>
      <c r="O1000" s="10">
        <v>224.9366149902344</v>
      </c>
      <c r="P1000" s="10">
        <v>247.9903259277344</v>
      </c>
      <c r="Q1000" s="10">
        <v>574.302001953125</v>
      </c>
      <c r="R1000" s="10">
        <v>137.78633117675781</v>
      </c>
      <c r="S1000" s="10">
        <v>161.24600219726562</v>
      </c>
      <c r="V1000" s="11">
        <v>45646</v>
      </c>
      <c r="W1000" s="12">
        <v>1.8815866855472541E-2</v>
      </c>
      <c r="X1000" s="12">
        <v>6.1986951222956499E-3</v>
      </c>
      <c r="Y1000" s="12">
        <v>1.9917584747113581E-2</v>
      </c>
      <c r="Z1000" s="12">
        <v>3.0762309782726316E-2</v>
      </c>
      <c r="AA1000" s="12">
        <v>-6.6789257319053164E-3</v>
      </c>
      <c r="AB1000" s="12">
        <v>1.2010907432213225E-2</v>
      </c>
      <c r="AC1000" s="12">
        <v>3.4119736417006497E-3</v>
      </c>
    </row>
    <row r="1001" spans="12:29" x14ac:dyDescent="0.2">
      <c r="L1001" s="11">
        <v>45646</v>
      </c>
      <c r="M1001" s="10">
        <v>134.49911499023438</v>
      </c>
      <c r="N1001" s="10">
        <v>100.11363983154295</v>
      </c>
      <c r="O1001" s="10">
        <v>229.41680908203125</v>
      </c>
      <c r="P1001" s="10">
        <v>252.65647888183591</v>
      </c>
      <c r="Q1001" s="10">
        <v>581.19989013671875</v>
      </c>
      <c r="R1001" s="10">
        <v>138.64042663574219</v>
      </c>
      <c r="S1001" s="10">
        <v>160.16905212402344</v>
      </c>
      <c r="V1001" s="11">
        <v>45649</v>
      </c>
      <c r="W1001" s="12">
        <v>3.0649057153013803E-3</v>
      </c>
      <c r="X1001" s="12">
        <v>5.5374573833260055E-3</v>
      </c>
      <c r="Y1001" s="12">
        <v>3.3248952781030905E-3</v>
      </c>
      <c r="Z1001" s="12">
        <v>3.6896902320644465E-2</v>
      </c>
      <c r="AA1001" s="12">
        <v>2.9751813855583009E-4</v>
      </c>
      <c r="AB1001" s="12">
        <v>5.9883144747756578E-3</v>
      </c>
      <c r="AC1001" s="12">
        <v>4.0615465746898227E-3</v>
      </c>
    </row>
    <row r="1002" spans="12:29" x14ac:dyDescent="0.2">
      <c r="L1002" s="11">
        <v>45649</v>
      </c>
      <c r="M1002" s="10">
        <v>139.46171569824219</v>
      </c>
      <c r="N1002" s="10">
        <v>100.52025604248048</v>
      </c>
      <c r="O1002" s="10">
        <v>230.1795959472656</v>
      </c>
      <c r="P1002" s="10">
        <v>253.43084716796875</v>
      </c>
      <c r="Q1002" s="10">
        <v>584.6802978515625</v>
      </c>
      <c r="R1002" s="10">
        <v>139.40814208984375</v>
      </c>
      <c r="S1002" s="10">
        <v>160.21670532226562</v>
      </c>
      <c r="V1002" s="11">
        <v>45650</v>
      </c>
      <c r="W1002" s="12">
        <v>1.1478101666798635E-2</v>
      </c>
      <c r="X1002" s="12">
        <v>3.9925562473539511E-3</v>
      </c>
      <c r="Y1002" s="12">
        <v>1.6443631277324178E-2</v>
      </c>
      <c r="Z1002" s="12">
        <v>3.937957691025451E-3</v>
      </c>
      <c r="AA1002" s="12">
        <v>4.9371607249626415E-3</v>
      </c>
      <c r="AB1002" s="12">
        <v>1.1115098833935466E-2</v>
      </c>
      <c r="AC1002" s="12">
        <v>9.407690443494765E-4</v>
      </c>
    </row>
    <row r="1003" spans="12:29" x14ac:dyDescent="0.2">
      <c r="L1003" s="11">
        <v>45650</v>
      </c>
      <c r="M1003" s="10">
        <v>140.01091003417969</v>
      </c>
      <c r="N1003" s="10">
        <v>100.61482238769533</v>
      </c>
      <c r="O1003" s="10">
        <v>233.96458435058591</v>
      </c>
      <c r="P1003" s="10">
        <v>256.33975219726562</v>
      </c>
      <c r="Q1003" s="10">
        <v>591.1790771484375</v>
      </c>
      <c r="R1003" s="10">
        <v>139.96473693847656</v>
      </c>
      <c r="S1003" s="10">
        <v>161.00772094726562</v>
      </c>
      <c r="V1003" s="11">
        <v>45652</v>
      </c>
      <c r="W1003" s="12">
        <v>3.1756931553008627E-3</v>
      </c>
      <c r="X1003" s="12">
        <v>-1.8512484125497997E-3</v>
      </c>
      <c r="Y1003" s="12">
        <v>3.4254644999123229E-3</v>
      </c>
      <c r="Z1003" s="12">
        <v>-2.0682766704210875E-3</v>
      </c>
      <c r="AA1003" s="12">
        <v>7.2215153392756193E-3</v>
      </c>
      <c r="AB1003" s="12">
        <v>6.6591794775749946E-5</v>
      </c>
      <c r="AC1003" s="12">
        <v>8.4578260520751236E-4</v>
      </c>
    </row>
    <row r="1004" spans="12:29" x14ac:dyDescent="0.2">
      <c r="L1004" s="11">
        <v>45652</v>
      </c>
      <c r="M1004" s="10">
        <v>139.72132873535156</v>
      </c>
      <c r="N1004" s="10">
        <v>100.69992065429688</v>
      </c>
      <c r="O1004" s="10">
        <v>234.7660217285156</v>
      </c>
      <c r="P1004" s="10">
        <v>257.15380859375</v>
      </c>
      <c r="Q1004" s="10">
        <v>591.21844482421875</v>
      </c>
      <c r="R1004" s="10">
        <v>139.70562744140625</v>
      </c>
      <c r="S1004" s="10">
        <v>162.17044067382812</v>
      </c>
      <c r="V1004" s="11">
        <v>45653</v>
      </c>
      <c r="W1004" s="12">
        <v>-1.3242106727225589E-2</v>
      </c>
      <c r="X1004" s="12">
        <v>-3.6404453246201562E-3</v>
      </c>
      <c r="Y1004" s="12">
        <v>-8.1023677554619145E-3</v>
      </c>
      <c r="Z1004" s="12">
        <v>-2.0867604398359774E-2</v>
      </c>
      <c r="AA1004" s="12">
        <v>-3.7022951256501235E-3</v>
      </c>
      <c r="AB1004" s="12">
        <v>-1.0526584203640499E-2</v>
      </c>
      <c r="AC1004" s="12">
        <v>-9.3719647183743149E-5</v>
      </c>
    </row>
    <row r="1005" spans="12:29" x14ac:dyDescent="0.2">
      <c r="L1005" s="11">
        <v>45653</v>
      </c>
      <c r="M1005" s="10">
        <v>136.80567932128906</v>
      </c>
      <c r="N1005" s="10">
        <v>100.69048309326172</v>
      </c>
      <c r="O1005" s="10">
        <v>232.8638610839844</v>
      </c>
      <c r="P1005" s="10">
        <v>253.74855041503903</v>
      </c>
      <c r="Q1005" s="10">
        <v>584.99493408203125</v>
      </c>
      <c r="R1005" s="10">
        <v>139.19703674316406</v>
      </c>
      <c r="S1005" s="10">
        <v>161.57003784179688</v>
      </c>
      <c r="V1005" s="11">
        <v>45656</v>
      </c>
      <c r="W1005" s="12">
        <v>-1.3263526354860278E-2</v>
      </c>
      <c r="X1005" s="12">
        <v>-1.1789090544753633E-2</v>
      </c>
      <c r="Y1005" s="12">
        <v>-7.670877452973901E-3</v>
      </c>
      <c r="Z1005" s="12">
        <v>3.5032412984734584E-3</v>
      </c>
      <c r="AA1005" s="12">
        <v>-1.4392858620179694E-2</v>
      </c>
      <c r="AB1005" s="12">
        <v>-1.1411586367528481E-2</v>
      </c>
      <c r="AC1005" s="12">
        <v>-6.7618584840104523E-3</v>
      </c>
    </row>
    <row r="1006" spans="12:29" x14ac:dyDescent="0.2">
      <c r="L1006" s="11">
        <v>45656</v>
      </c>
      <c r="M1006" s="10">
        <v>137.28494262695312</v>
      </c>
      <c r="N1006" s="10">
        <v>100.00962829589844</v>
      </c>
      <c r="O1006" s="10">
        <v>231.07759094238281</v>
      </c>
      <c r="P1006" s="10">
        <v>250.38294982910156</v>
      </c>
      <c r="Q1006" s="10">
        <v>578.3192138671875</v>
      </c>
      <c r="R1006" s="10">
        <v>137.5560302734375</v>
      </c>
      <c r="S1006" s="10">
        <v>159.24458312988281</v>
      </c>
      <c r="V1006" s="11">
        <v>45657</v>
      </c>
      <c r="W1006" s="12">
        <v>-7.0577923940604581E-3</v>
      </c>
      <c r="X1006" s="12">
        <v>8.9297995578860867E-3</v>
      </c>
      <c r="Y1006" s="12">
        <v>1.6296329459628556E-3</v>
      </c>
      <c r="Z1006" s="12">
        <v>-2.3274261745943603E-2</v>
      </c>
      <c r="AA1006" s="12">
        <v>3.3516818727947761E-3</v>
      </c>
      <c r="AB1006" s="12">
        <v>-3.6379248440820966E-3</v>
      </c>
      <c r="AC1006" s="12">
        <v>1.7114135891762139E-2</v>
      </c>
    </row>
    <row r="1007" spans="12:29" x14ac:dyDescent="0.2">
      <c r="L1007" s="11">
        <v>45657</v>
      </c>
      <c r="M1007" s="10">
        <v>134.08973693847656</v>
      </c>
      <c r="N1007" s="10">
        <v>101.72120666503906</v>
      </c>
      <c r="O1007" s="10">
        <v>231.45416259765625</v>
      </c>
      <c r="P1007" s="10">
        <v>248.61579895019531</v>
      </c>
      <c r="Q1007" s="10">
        <v>576.21533203125</v>
      </c>
      <c r="R1007" s="10">
        <v>138.78437805175781</v>
      </c>
      <c r="S1007" s="10">
        <v>159.7783203125</v>
      </c>
      <c r="V1007" s="11">
        <v>45659</v>
      </c>
      <c r="W1007" s="12">
        <v>-2.6235961624681559E-2</v>
      </c>
      <c r="X1007" s="12">
        <v>-4.1489227544598828E-3</v>
      </c>
      <c r="Y1007" s="12">
        <v>1.209737496852048E-3</v>
      </c>
      <c r="Z1007" s="12">
        <v>2.9935119579002745E-2</v>
      </c>
      <c r="AA1007" s="12">
        <v>-9.9613875425547116E-3</v>
      </c>
      <c r="AB1007" s="12">
        <v>-2.4571239965799352E-3</v>
      </c>
      <c r="AC1007" s="12">
        <v>-2.4168963133180954E-3</v>
      </c>
    </row>
    <row r="1008" spans="12:29" x14ac:dyDescent="0.2">
      <c r="L1008" s="11">
        <v>45659</v>
      </c>
      <c r="M1008" s="10">
        <v>138.10372924804688</v>
      </c>
      <c r="N1008" s="10">
        <v>101.47535705566406</v>
      </c>
      <c r="O1008" s="10">
        <v>231.73416137695312</v>
      </c>
      <c r="P1008" s="10">
        <v>242.09312438964844</v>
      </c>
      <c r="Q1008" s="10">
        <v>574.79949951171875</v>
      </c>
      <c r="R1008" s="10">
        <v>138.20857238769531</v>
      </c>
      <c r="S1008" s="10">
        <v>158.18670654296875</v>
      </c>
      <c r="V1008" s="11">
        <v>45660</v>
      </c>
      <c r="W1008" s="12">
        <v>-2.0093515523785799E-3</v>
      </c>
      <c r="X1008" s="12">
        <v>1.1803299249020238E-3</v>
      </c>
      <c r="Y1008" s="12">
        <v>1.3666619915940981E-2</v>
      </c>
      <c r="Z1008" s="12">
        <v>4.4537777244489485E-2</v>
      </c>
      <c r="AA1008" s="12">
        <v>-5.1210947432430709E-3</v>
      </c>
      <c r="AB1008" s="12">
        <v>1.2503404560544995E-2</v>
      </c>
      <c r="AC1008" s="12">
        <v>5.1252659846812154E-3</v>
      </c>
    </row>
    <row r="1009" spans="12:29" x14ac:dyDescent="0.2">
      <c r="L1009" s="11">
        <v>45660</v>
      </c>
      <c r="M1009" s="10">
        <v>144.25456237792969</v>
      </c>
      <c r="N1009" s="10">
        <v>101.99544525146484</v>
      </c>
      <c r="O1009" s="10">
        <v>234.90118408203125</v>
      </c>
      <c r="P1009" s="10">
        <v>241.60667419433591</v>
      </c>
      <c r="Q1009" s="10">
        <v>581.9864501953125</v>
      </c>
      <c r="R1009" s="10">
        <v>138.3717041015625</v>
      </c>
      <c r="S1009" s="10">
        <v>157.37661743164062</v>
      </c>
      <c r="V1009" s="11">
        <v>45663</v>
      </c>
      <c r="W1009" s="12">
        <v>6.7389439201313017E-3</v>
      </c>
      <c r="X1009" s="12">
        <v>-3.6755397466875506E-3</v>
      </c>
      <c r="Y1009" s="12">
        <v>-4.8754475953854959E-3</v>
      </c>
      <c r="Z1009" s="12">
        <v>3.4332300211119993E-2</v>
      </c>
      <c r="AA1009" s="12">
        <v>-2.7432863472497182E-2</v>
      </c>
      <c r="AB1009" s="12">
        <v>5.7605105090932085E-3</v>
      </c>
      <c r="AC1009" s="12">
        <v>-1.1125949200773144E-3</v>
      </c>
    </row>
    <row r="1010" spans="12:29" x14ac:dyDescent="0.2">
      <c r="L1010" s="11">
        <v>45663</v>
      </c>
      <c r="M1010" s="10">
        <v>149.2071533203125</v>
      </c>
      <c r="N1010" s="10">
        <v>101.88196563720705</v>
      </c>
      <c r="O1010" s="10">
        <v>233.75593566894531</v>
      </c>
      <c r="P1010" s="10">
        <v>243.23484802246097</v>
      </c>
      <c r="Q1010" s="10">
        <v>585.3389892578125</v>
      </c>
      <c r="R1010" s="10">
        <v>137.86311340332031</v>
      </c>
      <c r="S1010" s="10">
        <v>153.059326171875</v>
      </c>
      <c r="V1010" s="11">
        <v>45664</v>
      </c>
      <c r="W1010" s="12">
        <v>-1.1387811994236885E-2</v>
      </c>
      <c r="X1010" s="12">
        <v>1.78894359345112E-2</v>
      </c>
      <c r="Y1010" s="12">
        <v>9.6325391762317469E-3</v>
      </c>
      <c r="Z1010" s="12">
        <v>-6.2169528063781176E-2</v>
      </c>
      <c r="AA1010" s="12">
        <v>4.3587332577268434E-3</v>
      </c>
      <c r="AB1010" s="12">
        <v>-1.1304046612612861E-2</v>
      </c>
      <c r="AC1010" s="12">
        <v>9.3744339189085757E-3</v>
      </c>
    </row>
    <row r="1011" spans="12:29" x14ac:dyDescent="0.2">
      <c r="L1011" s="11">
        <v>45664</v>
      </c>
      <c r="M1011" s="10">
        <v>139.93101501464844</v>
      </c>
      <c r="N1011" s="10">
        <v>102.83705139160156</v>
      </c>
      <c r="O1011" s="10">
        <v>236.00759887695312</v>
      </c>
      <c r="P1011" s="10">
        <v>240.4649353027344</v>
      </c>
      <c r="Q1011" s="10">
        <v>578.7222900390625</v>
      </c>
      <c r="R1011" s="10">
        <v>140.32940673828125</v>
      </c>
      <c r="S1011" s="10">
        <v>153.72647094726562</v>
      </c>
      <c r="V1011" s="11">
        <v>45665</v>
      </c>
      <c r="W1011" s="12">
        <v>2.0230203355389165E-3</v>
      </c>
      <c r="X1011" s="12">
        <v>-2.7080577794382887E-2</v>
      </c>
      <c r="Y1011" s="12">
        <v>-1.6447927761531478E-4</v>
      </c>
      <c r="Z1011" s="12">
        <v>-2.1416454183231792E-4</v>
      </c>
      <c r="AA1011" s="12">
        <v>4.9596917719361144E-3</v>
      </c>
      <c r="AB1011" s="12">
        <v>1.461011670164325E-3</v>
      </c>
      <c r="AC1011" s="12">
        <v>-1.6735665059086524E-2</v>
      </c>
    </row>
    <row r="1012" spans="12:29" x14ac:dyDescent="0.2">
      <c r="L1012" s="11">
        <v>45665</v>
      </c>
      <c r="M1012" s="10">
        <v>139.90104675292969</v>
      </c>
      <c r="N1012" s="10">
        <v>101.11600494384766</v>
      </c>
      <c r="O1012" s="10">
        <v>235.96878051757812</v>
      </c>
      <c r="P1012" s="10">
        <v>240.95140075683591</v>
      </c>
      <c r="Q1012" s="10">
        <v>579.56781005859375</v>
      </c>
      <c r="R1012" s="10">
        <v>136.52920532226562</v>
      </c>
      <c r="S1012" s="10">
        <v>154.48890686035156</v>
      </c>
      <c r="V1012" s="11">
        <v>45667</v>
      </c>
      <c r="W1012" s="12">
        <v>-2.4103807037822889E-2</v>
      </c>
      <c r="X1012" s="12">
        <v>-1.47615365856546E-3</v>
      </c>
      <c r="Y1012" s="12">
        <v>-1.3408430303049945E-2</v>
      </c>
      <c r="Z1012" s="12">
        <v>-2.9976370322259083E-2</v>
      </c>
      <c r="AA1012" s="12">
        <v>-2.1838425970052144E-2</v>
      </c>
      <c r="AB1012" s="12">
        <v>-1.5267429606369842E-2</v>
      </c>
      <c r="AC1012" s="12">
        <v>-3.6472693165725545E-3</v>
      </c>
    </row>
    <row r="1013" spans="12:29" x14ac:dyDescent="0.2">
      <c r="L1013" s="11">
        <v>45667</v>
      </c>
      <c r="M1013" s="10">
        <v>135.70732116699219</v>
      </c>
      <c r="N1013" s="10">
        <v>100.74720764160156</v>
      </c>
      <c r="O1013" s="10">
        <v>232.8048095703125</v>
      </c>
      <c r="P1013" s="10">
        <v>235.1435546875</v>
      </c>
      <c r="Q1013" s="10">
        <v>570.71929931640625</v>
      </c>
      <c r="R1013" s="10">
        <v>136.32766723632812</v>
      </c>
      <c r="S1013" s="10">
        <v>151.1151123046875</v>
      </c>
      <c r="V1013" s="11">
        <v>45670</v>
      </c>
      <c r="W1013" s="12">
        <v>-1.0344074846233342E-2</v>
      </c>
      <c r="X1013" s="12">
        <v>1.6964710438452935E-2</v>
      </c>
      <c r="Y1013" s="12">
        <v>1.8093154817928614E-2</v>
      </c>
      <c r="Z1013" s="12">
        <v>-1.971898132557659E-2</v>
      </c>
      <c r="AA1013" s="12">
        <v>1.7659449001765637E-3</v>
      </c>
      <c r="AB1013" s="12">
        <v>1.5505849049237685E-3</v>
      </c>
      <c r="AC1013" s="12">
        <v>2.5811998329741126E-2</v>
      </c>
    </row>
    <row r="1014" spans="12:29" x14ac:dyDescent="0.2">
      <c r="L1014" s="11">
        <v>45670</v>
      </c>
      <c r="M1014" s="10">
        <v>133.03131103515625</v>
      </c>
      <c r="N1014" s="10">
        <v>103.34769439697266</v>
      </c>
      <c r="O1014" s="10">
        <v>237.01698303222656</v>
      </c>
      <c r="P1014" s="10">
        <v>232.71121215820312</v>
      </c>
      <c r="Q1014" s="10">
        <v>571.604248046875</v>
      </c>
      <c r="R1014" s="10">
        <v>138.64042663574219</v>
      </c>
      <c r="S1014" s="10">
        <v>151.38197326660156</v>
      </c>
      <c r="V1014" s="11">
        <v>45671</v>
      </c>
      <c r="W1014" s="12">
        <v>-4.7781248159952661E-3</v>
      </c>
      <c r="X1014" s="12">
        <v>1.9380495510701312E-3</v>
      </c>
      <c r="Y1014" s="12">
        <v>1.3349067429680117E-2</v>
      </c>
      <c r="Z1014" s="12">
        <v>-1.1033637137344954E-2</v>
      </c>
      <c r="AA1014" s="12">
        <v>5.666180390242026E-3</v>
      </c>
      <c r="AB1014" s="12">
        <v>1.3759502770052112E-3</v>
      </c>
      <c r="AC1014" s="12">
        <v>3.9345226103459918E-3</v>
      </c>
    </row>
    <row r="1015" spans="12:29" x14ac:dyDescent="0.2">
      <c r="L1015" s="11">
        <v>45671</v>
      </c>
      <c r="M1015" s="10">
        <v>131.56349182128906</v>
      </c>
      <c r="N1015" s="10">
        <v>103.75431823730467</v>
      </c>
      <c r="O1015" s="10">
        <v>240.18093872070312</v>
      </c>
      <c r="P1015" s="10">
        <v>231.59928894042969</v>
      </c>
      <c r="Q1015" s="10">
        <v>572.3907470703125</v>
      </c>
      <c r="R1015" s="10">
        <v>138.90911865234375</v>
      </c>
      <c r="S1015" s="10">
        <v>152.23973083496094</v>
      </c>
      <c r="V1015" s="11">
        <v>45672</v>
      </c>
      <c r="W1015" s="12">
        <v>1.9675926307201719E-2</v>
      </c>
      <c r="X1015" s="12">
        <v>1.519956834412195E-3</v>
      </c>
      <c r="Y1015" s="12">
        <v>1.9719642923622827E-2</v>
      </c>
      <c r="Z1015" s="12">
        <v>3.4001399883671679E-2</v>
      </c>
      <c r="AA1015" s="12">
        <v>-5.6368616271751382E-4</v>
      </c>
      <c r="AB1015" s="12">
        <v>1.8189815579997992E-2</v>
      </c>
      <c r="AC1015" s="12">
        <v>1.6314165317208751E-2</v>
      </c>
    </row>
    <row r="1016" spans="12:29" x14ac:dyDescent="0.2">
      <c r="L1016" s="11">
        <v>45672</v>
      </c>
      <c r="M1016" s="10">
        <v>136.03683471679688</v>
      </c>
      <c r="N1016" s="10">
        <v>105.44698333740234</v>
      </c>
      <c r="O1016" s="10">
        <v>244.91722106933591</v>
      </c>
      <c r="P1016" s="10">
        <v>236.15621948242188</v>
      </c>
      <c r="Q1016" s="10">
        <v>582.80242919921875</v>
      </c>
      <c r="R1016" s="10">
        <v>139.12025451660156</v>
      </c>
      <c r="S1016" s="10">
        <v>152.15391540527344</v>
      </c>
      <c r="V1016" s="11">
        <v>45673</v>
      </c>
      <c r="W1016" s="12">
        <v>-4.0400254989198636E-2</v>
      </c>
      <c r="X1016" s="12">
        <v>1.9314419649932413E-2</v>
      </c>
      <c r="Y1016" s="12">
        <v>7.6084853835254318E-3</v>
      </c>
      <c r="Z1016" s="12">
        <v>-1.9597860309961135E-2</v>
      </c>
      <c r="AA1016" s="12">
        <v>5.3243429638234474E-3</v>
      </c>
      <c r="AB1016" s="12">
        <v>-1.9228926438177307E-3</v>
      </c>
      <c r="AC1016" s="12">
        <v>-1.7038383283239922E-3</v>
      </c>
    </row>
    <row r="1017" spans="12:29" x14ac:dyDescent="0.2">
      <c r="L1017" s="11">
        <v>45673</v>
      </c>
      <c r="M1017" s="10">
        <v>133.37080383300781</v>
      </c>
      <c r="N1017" s="10">
        <v>105.26731872558594</v>
      </c>
      <c r="O1017" s="10">
        <v>246.7806701660156</v>
      </c>
      <c r="P1017" s="10">
        <v>226.61544799804688</v>
      </c>
      <c r="Q1017" s="10">
        <v>581.6817626953125</v>
      </c>
      <c r="R1017" s="10">
        <v>141.80728149414062</v>
      </c>
      <c r="S1017" s="10">
        <v>152.96403503417969</v>
      </c>
      <c r="V1017" s="11">
        <v>45674</v>
      </c>
      <c r="W1017" s="12">
        <v>7.5352136859179186E-3</v>
      </c>
      <c r="X1017" s="12">
        <v>-5.0080260552503031E-3</v>
      </c>
      <c r="Y1017" s="12">
        <v>1.9231599198121341E-2</v>
      </c>
      <c r="Z1017" s="12">
        <v>3.0995050791199574E-2</v>
      </c>
      <c r="AA1017" s="12">
        <v>3.9252239304889969E-3</v>
      </c>
      <c r="AB1017" s="12">
        <v>1.0039795288152353E-2</v>
      </c>
      <c r="AC1017" s="12">
        <v>8.9831577931172024E-3</v>
      </c>
    </row>
    <row r="1018" spans="12:29" x14ac:dyDescent="0.2">
      <c r="L1018" s="11">
        <v>45674</v>
      </c>
      <c r="M1018" s="10">
        <v>137.504638671875</v>
      </c>
      <c r="N1018" s="10">
        <v>106.21295166015624</v>
      </c>
      <c r="O1018" s="10">
        <v>251.52665710449219</v>
      </c>
      <c r="P1018" s="10">
        <v>228.32304382324219</v>
      </c>
      <c r="Q1018" s="10">
        <v>587.521728515625</v>
      </c>
      <c r="R1018" s="10">
        <v>141.09710693359375</v>
      </c>
      <c r="S1018" s="10">
        <v>153.564453125</v>
      </c>
      <c r="V1018" s="11">
        <v>45678</v>
      </c>
      <c r="W1018" s="12">
        <v>-3.1915785866280633E-2</v>
      </c>
      <c r="X1018" s="12">
        <v>7.6176551378077662E-3</v>
      </c>
      <c r="Y1018" s="12">
        <v>1.4932919098588071E-2</v>
      </c>
      <c r="Z1018" s="12">
        <v>2.2656151514774958E-2</v>
      </c>
      <c r="AA1018" s="12">
        <v>3.6615659777423648E-3</v>
      </c>
      <c r="AB1018" s="12">
        <v>9.1534804439163953E-3</v>
      </c>
      <c r="AC1018" s="12">
        <v>-7.5676950774998808E-3</v>
      </c>
    </row>
    <row r="1019" spans="12:29" x14ac:dyDescent="0.2">
      <c r="L1019" s="11">
        <v>45678</v>
      </c>
      <c r="M1019" s="10">
        <v>140.61996459960938</v>
      </c>
      <c r="N1019" s="10">
        <v>105.40916442871094</v>
      </c>
      <c r="O1019" s="10">
        <v>255.28268432617188</v>
      </c>
      <c r="P1019" s="10">
        <v>221.03593444824219</v>
      </c>
      <c r="Q1019" s="10">
        <v>592.89959716796875</v>
      </c>
      <c r="R1019" s="10">
        <v>142.17193603515625</v>
      </c>
      <c r="S1019" s="10">
        <v>154.12673950195312</v>
      </c>
      <c r="V1019" s="11">
        <v>45679</v>
      </c>
      <c r="W1019" s="12">
        <v>5.3450234853955614E-3</v>
      </c>
      <c r="X1019" s="12">
        <v>-1.9439799600316832E-2</v>
      </c>
      <c r="Y1019" s="12">
        <v>-7.2252547278839341E-4</v>
      </c>
      <c r="Z1019" s="12">
        <v>4.430898675842343E-2</v>
      </c>
      <c r="AA1019" s="12">
        <v>1.8674269987179359E-2</v>
      </c>
      <c r="AB1019" s="12">
        <v>5.6216412754821476E-3</v>
      </c>
      <c r="AC1019" s="12">
        <v>-1.7403857358649577E-2</v>
      </c>
    </row>
    <row r="1020" spans="12:29" x14ac:dyDescent="0.2">
      <c r="L1020" s="11">
        <v>45679</v>
      </c>
      <c r="M1020" s="10">
        <v>146.85069274902344</v>
      </c>
      <c r="N1020" s="10">
        <v>103.57463836669922</v>
      </c>
      <c r="O1020" s="10">
        <v>255.0982360839844</v>
      </c>
      <c r="P1020" s="10">
        <v>222.2173767089844</v>
      </c>
      <c r="Q1020" s="10">
        <v>596.232666015625</v>
      </c>
      <c r="R1020" s="10">
        <v>139.40814208984375</v>
      </c>
      <c r="S1020" s="10">
        <v>157.00494384765625</v>
      </c>
      <c r="V1020" s="11">
        <v>45680</v>
      </c>
      <c r="W1020" s="12">
        <v>-7.5958382332297347E-4</v>
      </c>
      <c r="X1020" s="12">
        <v>9.430672446425481E-3</v>
      </c>
      <c r="Y1020" s="12">
        <v>1.1832432334787812E-2</v>
      </c>
      <c r="Z1020" s="12">
        <v>1.0198454760059761E-3</v>
      </c>
      <c r="AA1020" s="12">
        <v>8.5588420634830076E-3</v>
      </c>
      <c r="AB1020" s="12">
        <v>5.4578532443905203E-3</v>
      </c>
      <c r="AC1020" s="12">
        <v>5.6606143240127693E-3</v>
      </c>
    </row>
    <row r="1021" spans="12:29" x14ac:dyDescent="0.2">
      <c r="L1021" s="11">
        <v>45680</v>
      </c>
      <c r="M1021" s="10">
        <v>147.00045776367188</v>
      </c>
      <c r="N1021" s="10">
        <v>104.1609344482422</v>
      </c>
      <c r="O1021" s="10">
        <v>258.11666870117188</v>
      </c>
      <c r="P1021" s="10">
        <v>222.048583984375</v>
      </c>
      <c r="Q1021" s="10">
        <v>599.48681640625</v>
      </c>
      <c r="R1021" s="10">
        <v>140.72285461425781</v>
      </c>
      <c r="S1021" s="10">
        <v>158.34872436523438</v>
      </c>
      <c r="V1021" s="11">
        <v>45681</v>
      </c>
      <c r="W1021" s="12">
        <v>-3.934463134585453E-3</v>
      </c>
      <c r="X1021" s="12">
        <v>1.2275529191763113E-3</v>
      </c>
      <c r="Y1021" s="12">
        <v>-4.1738162374007626E-3</v>
      </c>
      <c r="Z1021" s="12">
        <v>-3.1245750648081327E-2</v>
      </c>
      <c r="AA1021" s="12">
        <v>-6.1946268201082955E-3</v>
      </c>
      <c r="AB1021" s="12">
        <v>-2.9192652569866029E-3</v>
      </c>
      <c r="AC1021" s="12">
        <v>-1.3526965082502507E-2</v>
      </c>
    </row>
    <row r="1022" spans="12:29" x14ac:dyDescent="0.2">
      <c r="L1022" s="11">
        <v>45681</v>
      </c>
      <c r="M1022" s="10">
        <v>142.40731811523438</v>
      </c>
      <c r="N1022" s="10">
        <v>102.751953125</v>
      </c>
      <c r="O1022" s="10">
        <v>257.03933715820312</v>
      </c>
      <c r="P1022" s="10">
        <v>221.17494201660156</v>
      </c>
      <c r="Q1022" s="10">
        <v>597.73675537109375</v>
      </c>
      <c r="R1022" s="10">
        <v>140.89559936523438</v>
      </c>
      <c r="S1022" s="10">
        <v>157.36781311035156</v>
      </c>
      <c r="V1022" s="11">
        <v>45684</v>
      </c>
      <c r="W1022" s="12">
        <v>3.1780166307908919E-2</v>
      </c>
      <c r="X1022" s="12">
        <v>4.1343079625209E-2</v>
      </c>
      <c r="Y1022" s="12">
        <v>3.8137572846599355E-3</v>
      </c>
      <c r="Z1022" s="12">
        <v>-0.16968171201672888</v>
      </c>
      <c r="AA1022" s="12">
        <v>3.3755776666866799E-2</v>
      </c>
      <c r="AB1022" s="12">
        <v>-1.4145255556364478E-2</v>
      </c>
      <c r="AC1022" s="12">
        <v>1.3896445950312586E-2</v>
      </c>
    </row>
    <row r="1023" spans="12:29" x14ac:dyDescent="0.2">
      <c r="L1023" s="11">
        <v>45684</v>
      </c>
      <c r="M1023" s="10">
        <v>118.24340057373048</v>
      </c>
      <c r="N1023" s="10">
        <v>104.17984008789062</v>
      </c>
      <c r="O1023" s="10">
        <v>258.01962280273438</v>
      </c>
      <c r="P1023" s="10">
        <v>228.20391845703125</v>
      </c>
      <c r="Q1023" s="10">
        <v>589.2816162109375</v>
      </c>
      <c r="R1023" s="10">
        <v>146.72065734863281</v>
      </c>
      <c r="S1023" s="10">
        <v>162.67988586425781</v>
      </c>
      <c r="V1023" s="11">
        <v>45685</v>
      </c>
      <c r="W1023" s="12">
        <v>3.6544038569704895E-2</v>
      </c>
      <c r="X1023" s="12">
        <v>-1.6416956606973065E-2</v>
      </c>
      <c r="Y1023" s="12">
        <v>4.8522807257000977E-3</v>
      </c>
      <c r="Z1023" s="12">
        <v>8.9258445340063775E-2</v>
      </c>
      <c r="AA1023" s="12">
        <v>-2.0452494510799668E-2</v>
      </c>
      <c r="AB1023" s="12">
        <v>8.5923153170601729E-3</v>
      </c>
      <c r="AC1023" s="12">
        <v>-1.9333638958744959E-2</v>
      </c>
    </row>
    <row r="1024" spans="12:29" x14ac:dyDescent="0.2">
      <c r="L1024" s="11">
        <v>45685</v>
      </c>
      <c r="M1024" s="10">
        <v>128.79762268066406</v>
      </c>
      <c r="N1024" s="10">
        <v>102.16566467285156</v>
      </c>
      <c r="O1024" s="10">
        <v>259.2716064453125</v>
      </c>
      <c r="P1024" s="10">
        <v>236.54341125488281</v>
      </c>
      <c r="Q1024" s="10">
        <v>594.34490966796875</v>
      </c>
      <c r="R1024" s="10">
        <v>144.31195068359375</v>
      </c>
      <c r="S1024" s="10">
        <v>159.35267639160156</v>
      </c>
      <c r="V1024" s="11">
        <v>45686</v>
      </c>
      <c r="W1024" s="12">
        <v>4.6167266660297468E-3</v>
      </c>
      <c r="X1024" s="12">
        <v>5.1203113507953812E-3</v>
      </c>
      <c r="Y1024" s="12">
        <v>-2.0965624003921324E-3</v>
      </c>
      <c r="Z1024" s="12">
        <v>-4.1010825765699144E-2</v>
      </c>
      <c r="AA1024" s="12">
        <v>2.4053614280572511E-4</v>
      </c>
      <c r="AB1024" s="12">
        <v>-4.4828644654661964E-3</v>
      </c>
      <c r="AC1024" s="12">
        <v>5.8310553206473159E-3</v>
      </c>
    </row>
    <row r="1025" spans="12:29" x14ac:dyDescent="0.2">
      <c r="L1025" s="11">
        <v>45686</v>
      </c>
      <c r="M1025" s="10">
        <v>123.51552581787109</v>
      </c>
      <c r="N1025" s="10">
        <v>102.76139831542967</v>
      </c>
      <c r="O1025" s="10">
        <v>258.72802734375</v>
      </c>
      <c r="P1025" s="10">
        <v>237.63546752929688</v>
      </c>
      <c r="Q1025" s="10">
        <v>591.6805419921875</v>
      </c>
      <c r="R1025" s="10">
        <v>145.05087280273438</v>
      </c>
      <c r="S1025" s="10">
        <v>159.39100646972656</v>
      </c>
      <c r="V1025" s="11">
        <v>45687</v>
      </c>
      <c r="W1025" s="12">
        <v>-7.3947207589626363E-3</v>
      </c>
      <c r="X1025" s="12">
        <v>1.1379379919365107E-2</v>
      </c>
      <c r="Y1025" s="12">
        <v>6.1896673743806474E-3</v>
      </c>
      <c r="Z1025" s="12">
        <v>7.6799506245648352E-3</v>
      </c>
      <c r="AA1025" s="12">
        <v>7.0987049496886723E-3</v>
      </c>
      <c r="AB1025" s="12">
        <v>5.3670822667903906E-3</v>
      </c>
      <c r="AC1025" s="12">
        <v>8.2820420187121879E-3</v>
      </c>
    </row>
    <row r="1026" spans="12:29" x14ac:dyDescent="0.2">
      <c r="L1026" s="11">
        <v>45687</v>
      </c>
      <c r="M1026" s="10">
        <v>124.46411895751952</v>
      </c>
      <c r="N1026" s="10">
        <v>103.61247253417967</v>
      </c>
      <c r="O1026" s="10">
        <v>260.3294677734375</v>
      </c>
      <c r="P1026" s="10">
        <v>235.87821960449219</v>
      </c>
      <c r="Q1026" s="10">
        <v>594.85614013671875</v>
      </c>
      <c r="R1026" s="10">
        <v>146.70146179199219</v>
      </c>
      <c r="S1026" s="10">
        <v>160.52247619628906</v>
      </c>
      <c r="V1026" s="11">
        <v>45688</v>
      </c>
      <c r="W1026" s="12">
        <v>-6.6922987104519605E-3</v>
      </c>
      <c r="X1026" s="12">
        <v>-4.7097910211606475E-3</v>
      </c>
      <c r="Y1026" s="12">
        <v>-3.4670984362420443E-3</v>
      </c>
      <c r="Z1026" s="12">
        <v>-3.6742968099140239E-2</v>
      </c>
      <c r="AA1026" s="12">
        <v>-8.4822235283057434E-3</v>
      </c>
      <c r="AB1026" s="12">
        <v>-5.321911081975883E-3</v>
      </c>
      <c r="AC1026" s="12">
        <v>-2.5006822184492017E-2</v>
      </c>
    </row>
    <row r="1027" spans="12:29" x14ac:dyDescent="0.2">
      <c r="L1027" s="11">
        <v>45688</v>
      </c>
      <c r="M1027" s="10">
        <v>119.89093780517578</v>
      </c>
      <c r="N1027" s="10">
        <v>101.02145385742188</v>
      </c>
      <c r="O1027" s="10">
        <v>259.4268798828125</v>
      </c>
      <c r="P1027" s="10">
        <v>234.29965209960935</v>
      </c>
      <c r="Q1027" s="10">
        <v>591.69036865234375</v>
      </c>
      <c r="R1027" s="10">
        <v>146.01052856445312</v>
      </c>
      <c r="S1027" s="10">
        <v>159.160888671875</v>
      </c>
      <c r="V1027" s="11">
        <v>45691</v>
      </c>
      <c r="W1027" s="12">
        <v>-3.385580598762794E-2</v>
      </c>
      <c r="X1027" s="12">
        <v>-1.8403280779304421E-3</v>
      </c>
      <c r="Y1027" s="12">
        <v>-1.8332176593066629E-3</v>
      </c>
      <c r="Z1027" s="12">
        <v>-2.8400101945069811E-2</v>
      </c>
      <c r="AA1027" s="12">
        <v>1.6687649461669452E-2</v>
      </c>
      <c r="AB1027" s="12">
        <v>-6.7296558631890768E-3</v>
      </c>
      <c r="AC1027" s="12">
        <v>2.4337886535574782E-3</v>
      </c>
    </row>
    <row r="1028" spans="12:29" x14ac:dyDescent="0.2">
      <c r="L1028" s="11">
        <v>45691</v>
      </c>
      <c r="M1028" s="10">
        <v>116.48602294921876</v>
      </c>
      <c r="N1028" s="10">
        <v>101.26731872558594</v>
      </c>
      <c r="O1028" s="10">
        <v>258.9512939453125</v>
      </c>
      <c r="P1028" s="10">
        <v>226.36724853515625</v>
      </c>
      <c r="Q1028" s="10">
        <v>587.70849609375</v>
      </c>
      <c r="R1028" s="10">
        <v>145.7418212890625</v>
      </c>
      <c r="S1028" s="10">
        <v>161.81690979003906</v>
      </c>
      <c r="V1028" s="11">
        <v>45692</v>
      </c>
      <c r="W1028" s="12">
        <v>2.1007800094963391E-2</v>
      </c>
      <c r="X1028" s="12">
        <v>1.0666989413836925E-2</v>
      </c>
      <c r="Y1028" s="12">
        <v>4.2351987834041704E-3</v>
      </c>
      <c r="Z1028" s="12">
        <v>1.7058098293587509E-2</v>
      </c>
      <c r="AA1028" s="12">
        <v>-3.7331092342519634E-3</v>
      </c>
      <c r="AB1028" s="12">
        <v>6.7083697856562541E-3</v>
      </c>
      <c r="AC1028" s="12">
        <v>2.6799720642401992E-2</v>
      </c>
    </row>
    <row r="1029" spans="12:29" x14ac:dyDescent="0.2">
      <c r="L1029" s="11">
        <v>45692</v>
      </c>
      <c r="M1029" s="10">
        <v>118.47305297851562</v>
      </c>
      <c r="N1029" s="10">
        <v>103.98125457763672</v>
      </c>
      <c r="O1029" s="10">
        <v>260.04800415039062</v>
      </c>
      <c r="P1029" s="10">
        <v>231.12272644042969</v>
      </c>
      <c r="Q1029" s="10">
        <v>591.65106201171875</v>
      </c>
      <c r="R1029" s="10">
        <v>147.29644775390625</v>
      </c>
      <c r="S1029" s="10">
        <v>161.21282958984375</v>
      </c>
      <c r="V1029" s="11">
        <v>45693</v>
      </c>
      <c r="W1029" s="12">
        <v>-1.4174555926083077E-3</v>
      </c>
      <c r="X1029" s="12">
        <v>7.8181166491595455E-3</v>
      </c>
      <c r="Y1029" s="12">
        <v>9.2931168690801869E-3</v>
      </c>
      <c r="Z1029" s="12">
        <v>5.2085970956628147E-2</v>
      </c>
      <c r="AA1029" s="12">
        <v>5.2340485463469033E-3</v>
      </c>
      <c r="AB1029" s="12">
        <v>4.0546293842407266E-3</v>
      </c>
      <c r="AC1029" s="12">
        <v>-7.2749119141335417E-4</v>
      </c>
    </row>
    <row r="1030" spans="12:29" x14ac:dyDescent="0.2">
      <c r="L1030" s="11">
        <v>45693</v>
      </c>
      <c r="M1030" s="10">
        <v>124.64383697509766</v>
      </c>
      <c r="N1030" s="10">
        <v>103.90560913085938</v>
      </c>
      <c r="O1030" s="10">
        <v>262.46466064453125</v>
      </c>
      <c r="P1030" s="10">
        <v>230.79512023925781</v>
      </c>
      <c r="Q1030" s="10">
        <v>594.04998779296875</v>
      </c>
      <c r="R1030" s="10">
        <v>148.44802856445312</v>
      </c>
      <c r="S1030" s="10">
        <v>162.05662536621094</v>
      </c>
      <c r="V1030" s="11">
        <v>45694</v>
      </c>
      <c r="W1030" s="12">
        <v>3.2261649601210696E-3</v>
      </c>
      <c r="X1030" s="12">
        <v>-7.6281595980548511E-3</v>
      </c>
      <c r="Y1030" s="12">
        <v>2.3925049433505929E-2</v>
      </c>
      <c r="Z1030" s="12">
        <v>3.0842089922108906E-2</v>
      </c>
      <c r="AA1030" s="12">
        <v>-7.6898139765546603E-4</v>
      </c>
      <c r="AB1030" s="12">
        <v>3.4755260885357409E-3</v>
      </c>
      <c r="AC1030" s="12">
        <v>-1.319615751859371E-2</v>
      </c>
    </row>
    <row r="1031" spans="12:29" x14ac:dyDescent="0.2">
      <c r="L1031" s="11">
        <v>45694</v>
      </c>
      <c r="M1031" s="10">
        <v>128.48811340332031</v>
      </c>
      <c r="N1031" s="10">
        <v>102.53445434570312</v>
      </c>
      <c r="O1031" s="10">
        <v>268.744140625</v>
      </c>
      <c r="P1031" s="10">
        <v>231.53970336914065</v>
      </c>
      <c r="Q1031" s="10">
        <v>596.1146240234375</v>
      </c>
      <c r="R1031" s="10">
        <v>147.31564331054688</v>
      </c>
      <c r="S1031" s="10">
        <v>161.9320068359375</v>
      </c>
      <c r="V1031" s="11">
        <v>45695</v>
      </c>
      <c r="W1031" s="12">
        <v>-2.3968732161316675E-2</v>
      </c>
      <c r="X1031" s="12">
        <v>-2.5406863012169545E-3</v>
      </c>
      <c r="Y1031" s="12">
        <v>-3.9727655762843428E-3</v>
      </c>
      <c r="Z1031" s="12">
        <v>9.0143252313346078E-3</v>
      </c>
      <c r="AA1031" s="12">
        <v>-5.3885199695148378E-3</v>
      </c>
      <c r="AB1031" s="12">
        <v>-9.1536154021474303E-3</v>
      </c>
      <c r="AC1031" s="12">
        <v>4.2423037463885649E-3</v>
      </c>
    </row>
    <row r="1032" spans="12:29" x14ac:dyDescent="0.2">
      <c r="L1032" s="11">
        <v>45695</v>
      </c>
      <c r="M1032" s="10">
        <v>129.64634704589844</v>
      </c>
      <c r="N1032" s="10">
        <v>102.9694366455078</v>
      </c>
      <c r="O1032" s="10">
        <v>267.67648315429688</v>
      </c>
      <c r="P1032" s="10">
        <v>225.989990234375</v>
      </c>
      <c r="Q1032" s="10">
        <v>590.65802001953125</v>
      </c>
      <c r="R1032" s="10">
        <v>146.94136047363281</v>
      </c>
      <c r="S1032" s="10">
        <v>161.05943298339844</v>
      </c>
      <c r="V1032" s="11">
        <v>45698</v>
      </c>
      <c r="W1032" s="12">
        <v>1.1874024339522116E-3</v>
      </c>
      <c r="X1032" s="12">
        <v>7.3145766400217749E-3</v>
      </c>
      <c r="Y1032" s="12">
        <v>-1.72587106723886E-2</v>
      </c>
      <c r="Z1032" s="12">
        <v>2.8727818962695606E-2</v>
      </c>
      <c r="AA1032" s="12">
        <v>-2.6195641556842064E-3</v>
      </c>
      <c r="AB1032" s="12">
        <v>6.7913283204550368E-3</v>
      </c>
      <c r="AC1032" s="12">
        <v>1.9101894503797734E-2</v>
      </c>
    </row>
    <row r="1033" spans="12:29" x14ac:dyDescent="0.2">
      <c r="L1033" s="11">
        <v>45698</v>
      </c>
      <c r="M1033" s="10">
        <v>133.37080383300781</v>
      </c>
      <c r="N1033" s="10">
        <v>104.93634796142578</v>
      </c>
      <c r="O1033" s="10">
        <v>263.05673217773438</v>
      </c>
      <c r="P1033" s="10">
        <v>226.25833129882812</v>
      </c>
      <c r="Q1033" s="10">
        <v>594.66937255859375</v>
      </c>
      <c r="R1033" s="10">
        <v>148.01617431640625</v>
      </c>
      <c r="S1033" s="10">
        <v>160.63752746582031</v>
      </c>
      <c r="V1033" s="11">
        <v>45699</v>
      </c>
      <c r="W1033" s="12">
        <v>2.1831707520050259E-2</v>
      </c>
      <c r="X1033" s="12">
        <v>1.2253633565997513E-2</v>
      </c>
      <c r="Y1033" s="12">
        <v>1.4573351277975766E-2</v>
      </c>
      <c r="Z1033" s="12">
        <v>-5.7646000744343562E-3</v>
      </c>
      <c r="AA1033" s="12">
        <v>1.1341204940450877E-2</v>
      </c>
      <c r="AB1033" s="12">
        <v>7.6043847812545806E-4</v>
      </c>
      <c r="AC1033" s="12">
        <v>6.3079563162338204E-3</v>
      </c>
    </row>
    <row r="1034" spans="12:29" x14ac:dyDescent="0.2">
      <c r="L1034" s="11">
        <v>45699</v>
      </c>
      <c r="M1034" s="10">
        <v>132.60197448730469</v>
      </c>
      <c r="N1034" s="10">
        <v>105.59828186035156</v>
      </c>
      <c r="O1034" s="10">
        <v>266.89035034179688</v>
      </c>
      <c r="P1034" s="10">
        <v>231.19793701171875</v>
      </c>
      <c r="Q1034" s="10">
        <v>595.12158203125</v>
      </c>
      <c r="R1034" s="10">
        <v>149.82991027832031</v>
      </c>
      <c r="S1034" s="10">
        <v>162.4593505859375</v>
      </c>
      <c r="V1034" s="11">
        <v>45700</v>
      </c>
      <c r="W1034" s="12">
        <v>1.8270186990472892E-2</v>
      </c>
      <c r="X1034" s="12">
        <v>-5.5721142942339874E-3</v>
      </c>
      <c r="Y1034" s="12">
        <v>1.6729817506517808E-3</v>
      </c>
      <c r="Z1034" s="12">
        <v>-1.2500168292961633E-2</v>
      </c>
      <c r="AA1034" s="12">
        <v>8.8532513015948666E-4</v>
      </c>
      <c r="AB1034" s="12">
        <v>-3.2214850727226851E-3</v>
      </c>
      <c r="AC1034" s="12">
        <v>-3.0086674511006328E-2</v>
      </c>
    </row>
    <row r="1035" spans="12:29" x14ac:dyDescent="0.2">
      <c r="L1035" s="11">
        <v>45700</v>
      </c>
      <c r="M1035" s="10">
        <v>130.94442749023438</v>
      </c>
      <c r="N1035" s="10">
        <v>102.42118072509766</v>
      </c>
      <c r="O1035" s="10">
        <v>267.33685302734375</v>
      </c>
      <c r="P1035" s="10">
        <v>235.4219665527344</v>
      </c>
      <c r="Q1035" s="10">
        <v>593.20440673828125</v>
      </c>
      <c r="R1035" s="10">
        <v>148.99504089355469</v>
      </c>
      <c r="S1035" s="10">
        <v>162.60317993164062</v>
      </c>
      <c r="V1035" s="11">
        <v>45701</v>
      </c>
      <c r="W1035" s="12">
        <v>1.9673380901226611E-2</v>
      </c>
      <c r="X1035" s="12">
        <v>1.2817092542720232E-2</v>
      </c>
      <c r="Y1035" s="12">
        <v>3.1584135969318083E-3</v>
      </c>
      <c r="Z1035" s="12">
        <v>3.1645476692271135E-2</v>
      </c>
      <c r="AA1035" s="12">
        <v>8.4916409558910555E-3</v>
      </c>
      <c r="AB1035" s="12">
        <v>1.0557501388251289E-2</v>
      </c>
      <c r="AC1035" s="12">
        <v>7.2659424163894482E-3</v>
      </c>
    </row>
    <row r="1036" spans="12:29" x14ac:dyDescent="0.2">
      <c r="L1036" s="11">
        <v>45701</v>
      </c>
      <c r="M1036" s="10">
        <v>135.08822631835938</v>
      </c>
      <c r="N1036" s="10">
        <v>103.16536712646484</v>
      </c>
      <c r="O1036" s="10">
        <v>268.18121337890625</v>
      </c>
      <c r="P1036" s="10">
        <v>240.05351257324219</v>
      </c>
      <c r="Q1036" s="10">
        <v>599.4671630859375</v>
      </c>
      <c r="R1036" s="10">
        <v>150.90472412109375</v>
      </c>
      <c r="S1036" s="10">
        <v>163.98394775390625</v>
      </c>
      <c r="V1036" s="11">
        <v>45702</v>
      </c>
      <c r="W1036" s="12">
        <v>1.2710534677816021E-2</v>
      </c>
      <c r="X1036" s="12">
        <v>-6.995263350971892E-3</v>
      </c>
      <c r="Y1036" s="12">
        <v>9.7704057073921824E-4</v>
      </c>
      <c r="Z1036" s="12">
        <v>2.631404760027567E-2</v>
      </c>
      <c r="AA1036" s="12">
        <v>-4.7538293074102067E-2</v>
      </c>
      <c r="AB1036" s="12">
        <v>-4.9075157279809822E-5</v>
      </c>
      <c r="AC1036" s="12">
        <v>1.0172982861895719E-3</v>
      </c>
    </row>
    <row r="1037" spans="12:29" x14ac:dyDescent="0.2">
      <c r="L1037" s="11">
        <v>45702</v>
      </c>
      <c r="M1037" s="10">
        <v>138.6429443359375</v>
      </c>
      <c r="N1037" s="10">
        <v>103.27031707763672</v>
      </c>
      <c r="O1037" s="10">
        <v>268.4432373046875</v>
      </c>
      <c r="P1037" s="10">
        <v>243.10472106933591</v>
      </c>
      <c r="Q1037" s="10">
        <v>599.437744140625</v>
      </c>
      <c r="R1037" s="10">
        <v>149.84910583496094</v>
      </c>
      <c r="S1037" s="10">
        <v>156.18843078613281</v>
      </c>
      <c r="V1037" s="11">
        <v>45706</v>
      </c>
      <c r="W1037" s="12">
        <v>-5.3150520982425675E-4</v>
      </c>
      <c r="X1037" s="12">
        <v>5.163682419377924E-4</v>
      </c>
      <c r="Y1037" s="12">
        <v>1.2148109647321714E-2</v>
      </c>
      <c r="Z1037" s="12">
        <v>3.9609936227893439E-3</v>
      </c>
      <c r="AA1037" s="12">
        <v>1.5593253787014705E-2</v>
      </c>
      <c r="AB1037" s="12">
        <v>2.9358973680169154E-3</v>
      </c>
      <c r="AC1037" s="12">
        <v>1.7553537654496187E-2</v>
      </c>
    </row>
    <row r="1038" spans="12:29" x14ac:dyDescent="0.2">
      <c r="L1038" s="11">
        <v>45706</v>
      </c>
      <c r="M1038" s="10">
        <v>139.19210815429688</v>
      </c>
      <c r="N1038" s="10">
        <v>105.08307647705078</v>
      </c>
      <c r="O1038" s="10">
        <v>271.70431518554688</v>
      </c>
      <c r="P1038" s="10">
        <v>242.97550964355469</v>
      </c>
      <c r="Q1038" s="10">
        <v>601.1976318359375</v>
      </c>
      <c r="R1038" s="10">
        <v>149.92648315429688</v>
      </c>
      <c r="S1038" s="10">
        <v>158.62391662597656</v>
      </c>
      <c r="V1038" s="11">
        <v>45707</v>
      </c>
      <c r="W1038" s="12">
        <v>1.6361833783888891E-3</v>
      </c>
      <c r="X1038" s="12">
        <v>1.8710952694710681E-2</v>
      </c>
      <c r="Y1038" s="12">
        <v>-2.5005596298053323E-3</v>
      </c>
      <c r="Z1038" s="12">
        <v>-1.2195664723472222E-3</v>
      </c>
      <c r="AA1038" s="12">
        <v>6.407725131563069E-3</v>
      </c>
      <c r="AB1038" s="12">
        <v>2.3548170755354203E-3</v>
      </c>
      <c r="AC1038" s="12">
        <v>1.452795156826836E-3</v>
      </c>
    </row>
    <row r="1039" spans="12:29" x14ac:dyDescent="0.2">
      <c r="L1039" s="11">
        <v>45707</v>
      </c>
      <c r="M1039" s="10">
        <v>139.02235412597656</v>
      </c>
      <c r="N1039" s="10">
        <v>105.23574066162109</v>
      </c>
      <c r="O1039" s="10">
        <v>271.02490234375</v>
      </c>
      <c r="P1039" s="10">
        <v>243.37306213378903</v>
      </c>
      <c r="Q1039" s="10">
        <v>602.61334228515625</v>
      </c>
      <c r="R1039" s="10">
        <v>152.73175048828125</v>
      </c>
      <c r="S1039" s="10">
        <v>159.64033508300781</v>
      </c>
      <c r="V1039" s="11">
        <v>45708</v>
      </c>
      <c r="W1039" s="12">
        <v>3.9205133489370603E-3</v>
      </c>
      <c r="X1039" s="12">
        <v>1.1337011465590185E-2</v>
      </c>
      <c r="Y1039" s="12">
        <v>-4.4583773977180829E-2</v>
      </c>
      <c r="Z1039" s="12">
        <v>6.320513218736723E-3</v>
      </c>
      <c r="AA1039" s="12">
        <v>4.3245252021351099E-3</v>
      </c>
      <c r="AB1039" s="12">
        <v>-4.1603461161645594E-3</v>
      </c>
      <c r="AC1039" s="12">
        <v>1.5412450205564809E-2</v>
      </c>
    </row>
    <row r="1040" spans="12:29" x14ac:dyDescent="0.2">
      <c r="L1040" s="11">
        <v>45708</v>
      </c>
      <c r="M1040" s="10">
        <v>139.90104675292969</v>
      </c>
      <c r="N1040" s="10">
        <v>106.85768127441406</v>
      </c>
      <c r="O1040" s="10">
        <v>258.94158935546875</v>
      </c>
      <c r="P1040" s="10">
        <v>244.32720947265625</v>
      </c>
      <c r="Q1040" s="10">
        <v>600.10626220703125</v>
      </c>
      <c r="R1040" s="10">
        <v>154.46327209472656</v>
      </c>
      <c r="S1040" s="10">
        <v>160.33070373535156</v>
      </c>
      <c r="V1040" s="11">
        <v>45709</v>
      </c>
      <c r="W1040" s="12">
        <v>-1.1390045157987361E-3</v>
      </c>
      <c r="X1040" s="12">
        <v>1.6407839449249062E-2</v>
      </c>
      <c r="Y1040" s="12">
        <v>-9.5950523500417662E-3</v>
      </c>
      <c r="Z1040" s="12">
        <v>-4.0539648832340514E-2</v>
      </c>
      <c r="AA1040" s="12">
        <v>1.8061119209610954E-2</v>
      </c>
      <c r="AB1040" s="12">
        <v>-1.7104107843856187E-2</v>
      </c>
      <c r="AC1040" s="12">
        <v>-1.1696302669203629E-2</v>
      </c>
    </row>
    <row r="1041" spans="12:29" x14ac:dyDescent="0.2">
      <c r="L1041" s="11">
        <v>45709</v>
      </c>
      <c r="M1041" s="10">
        <v>134.22950744628906</v>
      </c>
      <c r="N1041" s="10">
        <v>105.60784149169922</v>
      </c>
      <c r="O1041" s="10">
        <v>256.45703125</v>
      </c>
      <c r="P1041" s="10">
        <v>244.0489196777344</v>
      </c>
      <c r="Q1041" s="10">
        <v>589.84197998046875</v>
      </c>
      <c r="R1041" s="10">
        <v>156.9976806640625</v>
      </c>
      <c r="S1041" s="10">
        <v>163.22645568847656</v>
      </c>
      <c r="V1041" s="11">
        <v>45712</v>
      </c>
      <c r="W1041" s="12">
        <v>6.312308560903146E-3</v>
      </c>
      <c r="X1041" s="12">
        <v>8.8725823695208206E-3</v>
      </c>
      <c r="Y1041" s="12">
        <v>-1.0975079204301408E-2</v>
      </c>
      <c r="Z1041" s="12">
        <v>-3.0870884116102726E-2</v>
      </c>
      <c r="AA1041" s="12">
        <v>1.8209422663426622E-3</v>
      </c>
      <c r="AB1041" s="12">
        <v>-4.5504068669079967E-3</v>
      </c>
      <c r="AC1041" s="12">
        <v>5.2396178043843111E-3</v>
      </c>
    </row>
    <row r="1042" spans="12:29" x14ac:dyDescent="0.2">
      <c r="L1042" s="11">
        <v>45712</v>
      </c>
      <c r="M1042" s="10">
        <v>130.08572387695312</v>
      </c>
      <c r="N1042" s="10">
        <v>106.16118621826172</v>
      </c>
      <c r="O1042" s="10">
        <v>253.64239501953125</v>
      </c>
      <c r="P1042" s="10">
        <v>245.58943176269531</v>
      </c>
      <c r="Q1042" s="10">
        <v>587.157958984375</v>
      </c>
      <c r="R1042" s="10">
        <v>158.39065551757812</v>
      </c>
      <c r="S1042" s="10">
        <v>163.523681640625</v>
      </c>
      <c r="V1042" s="11">
        <v>45713</v>
      </c>
      <c r="W1042" s="12">
        <v>-2.4280909495277836E-4</v>
      </c>
      <c r="X1042" s="12">
        <v>1.4351911170111809E-2</v>
      </c>
      <c r="Y1042" s="12">
        <v>-1.5076123577457912E-2</v>
      </c>
      <c r="Z1042" s="12">
        <v>-2.8016674607737935E-2</v>
      </c>
      <c r="AA1042" s="12">
        <v>1.2372479258517144E-2</v>
      </c>
      <c r="AB1042" s="12">
        <v>-4.9731829410324391E-3</v>
      </c>
      <c r="AC1042" s="12">
        <v>-1.3840052853232976E-2</v>
      </c>
    </row>
    <row r="1043" spans="12:29" x14ac:dyDescent="0.2">
      <c r="L1043" s="11">
        <v>45713</v>
      </c>
      <c r="M1043" s="10">
        <v>126.44115447998048</v>
      </c>
      <c r="N1043" s="10">
        <v>104.69190979003906</v>
      </c>
      <c r="O1043" s="10">
        <v>249.8184509277344</v>
      </c>
      <c r="P1043" s="10">
        <v>245.52980041503903</v>
      </c>
      <c r="Q1043" s="10">
        <v>584.2379150390625</v>
      </c>
      <c r="R1043" s="10">
        <v>160.66386413574219</v>
      </c>
      <c r="S1043" s="10">
        <v>165.546875</v>
      </c>
      <c r="V1043" s="11">
        <v>45714</v>
      </c>
      <c r="W1043" s="12">
        <v>-2.7040139913881323E-2</v>
      </c>
      <c r="X1043" s="12">
        <v>-1.8122629049106664E-2</v>
      </c>
      <c r="Y1043" s="12">
        <v>5.4002839708668926E-3</v>
      </c>
      <c r="Z1043" s="12">
        <v>3.6721224626113713E-2</v>
      </c>
      <c r="AA1043" s="12">
        <v>-7.8190442130722237E-3</v>
      </c>
      <c r="AB1043" s="12">
        <v>5.0490203145492352E-4</v>
      </c>
      <c r="AC1043" s="12">
        <v>-2.4606152172053086E-3</v>
      </c>
    </row>
    <row r="1044" spans="12:29" x14ac:dyDescent="0.2">
      <c r="L1044" s="11">
        <v>45714</v>
      </c>
      <c r="M1044" s="10">
        <v>131.084228515625</v>
      </c>
      <c r="N1044" s="10">
        <v>104.43430328369141</v>
      </c>
      <c r="O1044" s="10">
        <v>251.16754150390625</v>
      </c>
      <c r="P1044" s="10">
        <v>238.89064025878903</v>
      </c>
      <c r="Q1044" s="10">
        <v>584.53289794921875</v>
      </c>
      <c r="R1044" s="10">
        <v>157.75221252441406</v>
      </c>
      <c r="S1044" s="10">
        <v>164.25245666503906</v>
      </c>
      <c r="V1044" s="11">
        <v>45715</v>
      </c>
      <c r="W1044" s="12">
        <v>-1.2730953120212329E-2</v>
      </c>
      <c r="X1044" s="12">
        <v>3.9856075123068102E-3</v>
      </c>
      <c r="Y1044" s="12">
        <v>1.0045250100301217E-3</v>
      </c>
      <c r="Z1044" s="12">
        <v>-8.4780628807589964E-2</v>
      </c>
      <c r="AA1044" s="12">
        <v>3.9110222919909177E-3</v>
      </c>
      <c r="AB1044" s="12">
        <v>-1.5962118357266242E-2</v>
      </c>
      <c r="AC1044" s="12">
        <v>6.3036525855846293E-3</v>
      </c>
    </row>
    <row r="1045" spans="12:29" x14ac:dyDescent="0.2">
      <c r="L1045" s="11">
        <v>45715</v>
      </c>
      <c r="M1045" s="10">
        <v>119.9708251953125</v>
      </c>
      <c r="N1045" s="10">
        <v>105.09262084960938</v>
      </c>
      <c r="O1045" s="10">
        <v>251.41984558105469</v>
      </c>
      <c r="P1045" s="10">
        <v>235.84933471679688</v>
      </c>
      <c r="Q1045" s="10">
        <v>575.2025146484375</v>
      </c>
      <c r="R1045" s="10">
        <v>158.38095092773438</v>
      </c>
      <c r="S1045" s="10">
        <v>164.89485168457031</v>
      </c>
      <c r="V1045" s="11">
        <v>45716</v>
      </c>
      <c r="W1045" s="12">
        <v>1.9131994041130085E-2</v>
      </c>
      <c r="X1045" s="12">
        <v>7.8789716882663452E-3</v>
      </c>
      <c r="Y1045" s="12">
        <v>2.1617521242120352E-2</v>
      </c>
      <c r="Z1045" s="12">
        <v>3.9700305555244508E-2</v>
      </c>
      <c r="AA1045" s="12">
        <v>1.0873869169519379E-2</v>
      </c>
      <c r="AB1045" s="12">
        <v>1.5605704427724687E-2</v>
      </c>
      <c r="AC1045" s="12">
        <v>1.0712683397823719E-2</v>
      </c>
    </row>
    <row r="1046" spans="12:29" x14ac:dyDescent="0.2">
      <c r="L1046" s="11">
        <v>45716</v>
      </c>
      <c r="M1046" s="10">
        <v>124.73370361328124</v>
      </c>
      <c r="N1046" s="10">
        <v>106.21844482421876</v>
      </c>
      <c r="O1046" s="10">
        <v>256.85491943359375</v>
      </c>
      <c r="P1046" s="10">
        <v>240.36160278320312</v>
      </c>
      <c r="Q1046" s="10">
        <v>584.178955078125</v>
      </c>
      <c r="R1046" s="10">
        <v>159.62882995605469</v>
      </c>
      <c r="S1046" s="10">
        <v>166.68789672851562</v>
      </c>
      <c r="V1046" s="11">
        <v>45719</v>
      </c>
      <c r="W1046" s="12">
        <v>-1.5754169317595879E-2</v>
      </c>
      <c r="X1046" s="12">
        <v>1.3695253089083925E-2</v>
      </c>
      <c r="Y1046" s="12">
        <v>-1.5227605564322566E-2</v>
      </c>
      <c r="Z1046" s="12">
        <v>-8.6935632404384955E-2</v>
      </c>
      <c r="AA1046" s="12">
        <v>1.0066863431153594E-2</v>
      </c>
      <c r="AB1046" s="12">
        <v>-1.7519977666304309E-2</v>
      </c>
      <c r="AC1046" s="12">
        <v>-3.2066767301640153E-2</v>
      </c>
    </row>
    <row r="1047" spans="12:29" x14ac:dyDescent="0.2">
      <c r="L1047" s="11">
        <v>45719</v>
      </c>
      <c r="M1047" s="10">
        <v>113.88990020751952</v>
      </c>
      <c r="N1047" s="10">
        <v>102.81236267089844</v>
      </c>
      <c r="O1047" s="10">
        <v>252.94363403320312</v>
      </c>
      <c r="P1047" s="10">
        <v>236.57490539550781</v>
      </c>
      <c r="Q1047" s="10">
        <v>573.94415283203125</v>
      </c>
      <c r="R1047" s="10">
        <v>161.81498718261719</v>
      </c>
      <c r="S1047" s="10">
        <v>168.36592102050781</v>
      </c>
      <c r="V1047" s="11">
        <v>45720</v>
      </c>
      <c r="W1047" s="12">
        <v>-8.8225924723622784E-3</v>
      </c>
      <c r="X1047" s="12">
        <v>-1.111911908551555E-2</v>
      </c>
      <c r="Y1047" s="12">
        <v>-3.9789794409260892E-2</v>
      </c>
      <c r="Z1047" s="12">
        <v>1.6920871741318289E-2</v>
      </c>
      <c r="AA1047" s="12">
        <v>-1.3725176905009073E-2</v>
      </c>
      <c r="AB1047" s="12">
        <v>-1.183676164866676E-2</v>
      </c>
      <c r="AC1047" s="12">
        <v>-2.0416565312305623E-3</v>
      </c>
    </row>
    <row r="1048" spans="12:29" x14ac:dyDescent="0.2">
      <c r="L1048" s="11">
        <v>45720</v>
      </c>
      <c r="M1048" s="10">
        <v>115.8170166015625</v>
      </c>
      <c r="N1048" s="10">
        <v>102.60245513916016</v>
      </c>
      <c r="O1048" s="10">
        <v>242.87905883789065</v>
      </c>
      <c r="P1048" s="10">
        <v>234.4877014160156</v>
      </c>
      <c r="Q1048" s="10">
        <v>567.1505126953125</v>
      </c>
      <c r="R1048" s="10">
        <v>160.0157470703125</v>
      </c>
      <c r="S1048" s="10">
        <v>166.05506896972656</v>
      </c>
      <c r="V1048" s="11">
        <v>45721</v>
      </c>
      <c r="W1048" s="12">
        <v>-8.0514669183151533E-4</v>
      </c>
      <c r="X1048" s="12">
        <v>-1.8135193298388641E-3</v>
      </c>
      <c r="Y1048" s="12">
        <v>5.1148679407251318E-3</v>
      </c>
      <c r="Z1048" s="12">
        <v>1.1294192604553555E-2</v>
      </c>
      <c r="AA1048" s="12">
        <v>8.2572293255691598E-3</v>
      </c>
      <c r="AB1048" s="12">
        <v>1.0747838454513436E-2</v>
      </c>
      <c r="AC1048" s="12">
        <v>-1.9527585215360577E-2</v>
      </c>
    </row>
    <row r="1049" spans="12:29" x14ac:dyDescent="0.2">
      <c r="L1049" s="11">
        <v>45721</v>
      </c>
      <c r="M1049" s="10">
        <v>117.12507629394533</v>
      </c>
      <c r="N1049" s="10">
        <v>100.598876953125</v>
      </c>
      <c r="O1049" s="10">
        <v>244.12135314941409</v>
      </c>
      <c r="P1049" s="10">
        <v>234.29890441894531</v>
      </c>
      <c r="Q1049" s="10">
        <v>573.24615478515625</v>
      </c>
      <c r="R1049" s="10">
        <v>159.72555541992188</v>
      </c>
      <c r="S1049" s="10">
        <v>167.42622375488281</v>
      </c>
      <c r="V1049" s="11">
        <v>45722</v>
      </c>
      <c r="W1049" s="12">
        <v>-1.7392365607244997E-3</v>
      </c>
      <c r="X1049" s="12">
        <v>4.2999590934997833E-3</v>
      </c>
      <c r="Y1049" s="12">
        <v>-1.983850350187033E-2</v>
      </c>
      <c r="Z1049" s="12">
        <v>-5.7374312280148221E-2</v>
      </c>
      <c r="AA1049" s="12">
        <v>2.8662709177407208E-4</v>
      </c>
      <c r="AB1049" s="12">
        <v>-1.7751261304090216E-2</v>
      </c>
      <c r="AC1049" s="12">
        <v>2.0675283276665901E-2</v>
      </c>
    </row>
    <row r="1050" spans="12:29" x14ac:dyDescent="0.2">
      <c r="L1050" s="11">
        <v>45722</v>
      </c>
      <c r="M1050" s="10">
        <v>110.40510559082033</v>
      </c>
      <c r="N1050" s="10">
        <v>102.67878723144533</v>
      </c>
      <c r="O1050" s="10">
        <v>239.27835083007812</v>
      </c>
      <c r="P1050" s="10">
        <v>233.89140319824219</v>
      </c>
      <c r="Q1050" s="10">
        <v>563.0703125</v>
      </c>
      <c r="R1050" s="10">
        <v>160.41236877441406</v>
      </c>
      <c r="S1050" s="10">
        <v>167.47421264648438</v>
      </c>
      <c r="V1050" s="11">
        <v>45723</v>
      </c>
      <c r="W1050" s="12">
        <v>1.5892557475525537E-2</v>
      </c>
      <c r="X1050" s="12">
        <v>5.1859711770001482E-3</v>
      </c>
      <c r="Y1050" s="12">
        <v>-1.7279128972729763E-2</v>
      </c>
      <c r="Z1050" s="12">
        <v>1.9173426499780266E-2</v>
      </c>
      <c r="AA1050" s="12">
        <v>7.3856621830807878E-3</v>
      </c>
      <c r="AB1050" s="12">
        <v>5.6048858449071481E-3</v>
      </c>
      <c r="AC1050" s="12">
        <v>1.3008687418052389E-2</v>
      </c>
    </row>
    <row r="1051" spans="12:29" x14ac:dyDescent="0.2">
      <c r="L1051" s="11">
        <v>45723</v>
      </c>
      <c r="M1051" s="10">
        <v>112.52194976806641</v>
      </c>
      <c r="N1051" s="10">
        <v>104.01450347900391</v>
      </c>
      <c r="O1051" s="10">
        <v>235.14382934570312</v>
      </c>
      <c r="P1051" s="10">
        <v>237.60853576660156</v>
      </c>
      <c r="Q1051" s="10">
        <v>566.22625732421875</v>
      </c>
      <c r="R1051" s="10">
        <v>161.2442626953125</v>
      </c>
      <c r="S1051" s="10">
        <v>168.71112060546875</v>
      </c>
      <c r="V1051" s="11">
        <v>45726</v>
      </c>
      <c r="W1051" s="12">
        <v>-4.8479464276482975E-2</v>
      </c>
      <c r="X1051" s="12">
        <v>6.0590667212754301E-3</v>
      </c>
      <c r="Y1051" s="12">
        <v>-4.1522191592085922E-2</v>
      </c>
      <c r="Z1051" s="12">
        <v>-5.0669977652607834E-2</v>
      </c>
      <c r="AA1051" s="12">
        <v>1.7617448753926013E-3</v>
      </c>
      <c r="AB1051" s="12">
        <v>-2.6635511651277977E-2</v>
      </c>
      <c r="AC1051" s="12">
        <v>2.5499969229954456E-2</v>
      </c>
    </row>
    <row r="1052" spans="12:29" x14ac:dyDescent="0.2">
      <c r="L1052" s="11">
        <v>45726</v>
      </c>
      <c r="M1052" s="10">
        <v>106.82046508789062</v>
      </c>
      <c r="N1052" s="10">
        <v>106.6668701171875</v>
      </c>
      <c r="O1052" s="10">
        <v>225.38014221191409</v>
      </c>
      <c r="P1052" s="10">
        <v>226.08940124511719</v>
      </c>
      <c r="Q1052" s="10">
        <v>551.14453125</v>
      </c>
      <c r="R1052" s="10">
        <v>162.22125244140625</v>
      </c>
      <c r="S1052" s="10">
        <v>169.00834655761719</v>
      </c>
      <c r="V1052" s="11">
        <v>45727</v>
      </c>
      <c r="W1052" s="12">
        <v>-2.9189454406916004E-2</v>
      </c>
      <c r="X1052" s="12">
        <v>-1.0972002379382007E-2</v>
      </c>
      <c r="Y1052" s="12">
        <v>-1.326324955673519E-2</v>
      </c>
      <c r="Z1052" s="12">
        <v>1.6638535688298095E-2</v>
      </c>
      <c r="AA1052" s="12">
        <v>-1.7814614146401841E-2</v>
      </c>
      <c r="AB1052" s="12">
        <v>-8.3128902567809471E-3</v>
      </c>
      <c r="AC1052" s="12">
        <v>-2.3613622448687477E-2</v>
      </c>
    </row>
    <row r="1053" spans="12:29" x14ac:dyDescent="0.2">
      <c r="L1053" s="11">
        <v>45727</v>
      </c>
      <c r="M1053" s="10">
        <v>108.59780120849609</v>
      </c>
      <c r="N1053" s="10">
        <v>104.14807891845705</v>
      </c>
      <c r="O1053" s="10">
        <v>222.390869140625</v>
      </c>
      <c r="P1053" s="10">
        <v>219.48997497558591</v>
      </c>
      <c r="Q1053" s="10">
        <v>546.56292724609375</v>
      </c>
      <c r="R1053" s="10">
        <v>160.44136047363281</v>
      </c>
      <c r="S1053" s="10">
        <v>165.99752807617188</v>
      </c>
      <c r="V1053" s="11">
        <v>45728</v>
      </c>
      <c r="W1053" s="12">
        <v>-1.7478750557457734E-2</v>
      </c>
      <c r="X1053" s="12">
        <v>-1.8147666810750862E-2</v>
      </c>
      <c r="Y1053" s="12">
        <v>-5.4116035230586945E-3</v>
      </c>
      <c r="Z1053" s="12">
        <v>6.4275999708025777E-2</v>
      </c>
      <c r="AA1053" s="12">
        <v>-2.7437457796410492E-2</v>
      </c>
      <c r="AB1053" s="12">
        <v>5.3064879545661192E-3</v>
      </c>
      <c r="AC1053" s="12">
        <v>-2.7485373305513594E-4</v>
      </c>
    </row>
    <row r="1054" spans="12:29" x14ac:dyDescent="0.2">
      <c r="L1054" s="11">
        <v>45728</v>
      </c>
      <c r="M1054" s="10">
        <v>115.57803344726562</v>
      </c>
      <c r="N1054" s="10">
        <v>104.11945343017578</v>
      </c>
      <c r="O1054" s="10">
        <v>221.1873779296875</v>
      </c>
      <c r="P1054" s="10">
        <v>215.653564453125</v>
      </c>
      <c r="Q1054" s="10">
        <v>549.4632568359375</v>
      </c>
      <c r="R1054" s="10">
        <v>157.52972412109375</v>
      </c>
      <c r="S1054" s="10">
        <v>161.44297790527344</v>
      </c>
      <c r="V1054" s="11">
        <v>45729</v>
      </c>
      <c r="W1054" s="12">
        <v>-3.3643711713914892E-2</v>
      </c>
      <c r="X1054" s="12">
        <v>8.5965841484991756E-4</v>
      </c>
      <c r="Y1054" s="12">
        <v>-1.1891151991178628E-2</v>
      </c>
      <c r="Z1054" s="12">
        <v>-1.3824634742628517E-3</v>
      </c>
      <c r="AA1054" s="12">
        <v>1.3065758742616396E-3</v>
      </c>
      <c r="AB1054" s="12">
        <v>-1.3330436330021067E-2</v>
      </c>
      <c r="AC1054" s="12">
        <v>-4.215094072789638E-3</v>
      </c>
    </row>
    <row r="1055" spans="12:29" x14ac:dyDescent="0.2">
      <c r="L1055" s="11">
        <v>45729</v>
      </c>
      <c r="M1055" s="10">
        <v>115.41825103759766</v>
      </c>
      <c r="N1055" s="10">
        <v>103.68058013916016</v>
      </c>
      <c r="O1055" s="10">
        <v>218.55720520019531</v>
      </c>
      <c r="P1055" s="10">
        <v>208.39817810058591</v>
      </c>
      <c r="Q1055" s="10">
        <v>542.138671875</v>
      </c>
      <c r="R1055" s="10">
        <v>157.66514587402344</v>
      </c>
      <c r="S1055" s="10">
        <v>161.65391540527344</v>
      </c>
      <c r="V1055" s="11">
        <v>45730</v>
      </c>
      <c r="W1055" s="12">
        <v>1.8170638245434745E-2</v>
      </c>
      <c r="X1055" s="12">
        <v>-1.1044501929449169E-3</v>
      </c>
      <c r="Y1055" s="12">
        <v>3.2195018419205024E-2</v>
      </c>
      <c r="Z1055" s="12">
        <v>5.2690750808710218E-2</v>
      </c>
      <c r="AA1055" s="12">
        <v>-3.6775009153635629E-3</v>
      </c>
      <c r="AB1055" s="12">
        <v>2.0655678645411069E-2</v>
      </c>
      <c r="AC1055" s="12">
        <v>2.9722977557652186E-2</v>
      </c>
    </row>
    <row r="1056" spans="12:29" x14ac:dyDescent="0.2">
      <c r="L1056" s="11">
        <v>45730</v>
      </c>
      <c r="M1056" s="10">
        <v>121.49972534179688</v>
      </c>
      <c r="N1056" s="10">
        <v>106.76227569580078</v>
      </c>
      <c r="O1056" s="10">
        <v>225.5936584472656</v>
      </c>
      <c r="P1056" s="10">
        <v>212.18490600585935</v>
      </c>
      <c r="Q1056" s="10">
        <v>553.3369140625</v>
      </c>
      <c r="R1056" s="10">
        <v>157.49101257324219</v>
      </c>
      <c r="S1056" s="10">
        <v>161.05943298339844</v>
      </c>
      <c r="V1056" s="11">
        <v>45733</v>
      </c>
      <c r="W1056" s="12">
        <v>2.3887960016542031E-3</v>
      </c>
      <c r="X1056" s="12">
        <v>1.8437544537608375E-4</v>
      </c>
      <c r="Y1056" s="12">
        <v>6.4102243253851832E-3</v>
      </c>
      <c r="Z1056" s="12">
        <v>-1.7588525666094701E-2</v>
      </c>
      <c r="AA1056" s="12">
        <v>1.0656557517528586E-2</v>
      </c>
      <c r="AB1056" s="12">
        <v>7.7114479445552497E-3</v>
      </c>
      <c r="AC1056" s="12">
        <v>1.6622021081863059E-2</v>
      </c>
    </row>
    <row r="1057" spans="12:29" x14ac:dyDescent="0.2">
      <c r="L1057" s="11">
        <v>45733</v>
      </c>
      <c r="M1057" s="10">
        <v>119.36272430419922</v>
      </c>
      <c r="N1057" s="10">
        <v>108.53688049316406</v>
      </c>
      <c r="O1057" s="10">
        <v>227.03976440429688</v>
      </c>
      <c r="P1057" s="10">
        <v>212.6917724609375</v>
      </c>
      <c r="Q1057" s="10">
        <v>557.60394287109375</v>
      </c>
      <c r="R1057" s="10">
        <v>157.52005004882812</v>
      </c>
      <c r="S1057" s="10">
        <v>162.77577209472656</v>
      </c>
      <c r="V1057" s="11">
        <v>45734</v>
      </c>
      <c r="W1057" s="12">
        <v>-6.1215435748184222E-3</v>
      </c>
      <c r="X1057" s="12">
        <v>8.6587207070962791E-3</v>
      </c>
      <c r="Y1057" s="12">
        <v>4.4457802320785333E-3</v>
      </c>
      <c r="Z1057" s="12">
        <v>-3.4301003041780964E-2</v>
      </c>
      <c r="AA1057" s="12">
        <v>-1.2075735729807247E-2</v>
      </c>
      <c r="AB1057" s="12">
        <v>-1.0808597358321625E-2</v>
      </c>
      <c r="AC1057" s="12">
        <v>-1.054888653610031E-3</v>
      </c>
    </row>
    <row r="1058" spans="12:29" x14ac:dyDescent="0.2">
      <c r="L1058" s="11">
        <v>45734</v>
      </c>
      <c r="M1058" s="10">
        <v>115.26846313476562</v>
      </c>
      <c r="N1058" s="10">
        <v>108.42238616943359</v>
      </c>
      <c r="O1058" s="10">
        <v>228.04913330078125</v>
      </c>
      <c r="P1058" s="10">
        <v>211.3897705078125</v>
      </c>
      <c r="Q1058" s="10">
        <v>551.5770263671875</v>
      </c>
      <c r="R1058" s="10">
        <v>158.88397216796875</v>
      </c>
      <c r="S1058" s="10">
        <v>160.81013488769531</v>
      </c>
      <c r="V1058" s="11">
        <v>45735</v>
      </c>
      <c r="W1058" s="12">
        <v>1.1989339985736702E-2</v>
      </c>
      <c r="X1058" s="12">
        <v>-7.6711720969362407E-3</v>
      </c>
      <c r="Y1058" s="12">
        <v>1.7619301367615581E-2</v>
      </c>
      <c r="Z1058" s="12">
        <v>1.81062037527564E-2</v>
      </c>
      <c r="AA1058" s="12">
        <v>5.1277876254653965E-3</v>
      </c>
      <c r="AB1058" s="12">
        <v>1.0891068511607482E-2</v>
      </c>
      <c r="AC1058" s="12">
        <v>1.5575528463974697E-2</v>
      </c>
    </row>
    <row r="1059" spans="12:29" x14ac:dyDescent="0.2">
      <c r="L1059" s="11">
        <v>45735</v>
      </c>
      <c r="M1059" s="10">
        <v>117.35553741455078</v>
      </c>
      <c r="N1059" s="10">
        <v>110.11112213134766</v>
      </c>
      <c r="O1059" s="10">
        <v>232.06719970703125</v>
      </c>
      <c r="P1059" s="10">
        <v>213.9241943359375</v>
      </c>
      <c r="Q1059" s="10">
        <v>557.58428955078125</v>
      </c>
      <c r="R1059" s="10">
        <v>157.66514587402344</v>
      </c>
      <c r="S1059" s="10">
        <v>161.63473510742188</v>
      </c>
      <c r="V1059" s="11">
        <v>45736</v>
      </c>
      <c r="W1059" s="12">
        <v>-5.2963194171417038E-3</v>
      </c>
      <c r="X1059" s="12">
        <v>1.8407503215756016E-4</v>
      </c>
      <c r="Y1059" s="12">
        <v>-4.18311662045312E-4</v>
      </c>
      <c r="Z1059" s="12">
        <v>8.5941870462438175E-3</v>
      </c>
      <c r="AA1059" s="12">
        <v>-6.0509432077768821E-3</v>
      </c>
      <c r="AB1059" s="12">
        <v>-2.8918080871890295E-3</v>
      </c>
      <c r="AC1059" s="12">
        <v>4.2456998915985089E-3</v>
      </c>
    </row>
    <row r="1060" spans="12:29" x14ac:dyDescent="0.2">
      <c r="L1060" s="11">
        <v>45736</v>
      </c>
      <c r="M1060" s="10">
        <v>118.36411285400391</v>
      </c>
      <c r="N1060" s="10">
        <v>110.57862091064452</v>
      </c>
      <c r="O1060" s="10">
        <v>231.9701232910156</v>
      </c>
      <c r="P1060" s="10">
        <v>212.79118347167969</v>
      </c>
      <c r="Q1060" s="10">
        <v>555.97186279296875</v>
      </c>
      <c r="R1060" s="10">
        <v>157.69416809082031</v>
      </c>
      <c r="S1060" s="10">
        <v>160.65669250488281</v>
      </c>
      <c r="V1060" s="11">
        <v>45737</v>
      </c>
      <c r="W1060" s="12">
        <v>1.9476844222606093E-2</v>
      </c>
      <c r="X1060" s="12">
        <v>3.7419766232900109E-3</v>
      </c>
      <c r="Y1060" s="12">
        <v>1.0961957702188441E-2</v>
      </c>
      <c r="Z1060" s="12">
        <v>-7.0024141076757696E-3</v>
      </c>
      <c r="AA1060" s="12">
        <v>-5.1326851491200198E-3</v>
      </c>
      <c r="AB1060" s="12">
        <v>3.298919546212975E-4</v>
      </c>
      <c r="AC1060" s="12">
        <v>-3.4511401147016008E-3</v>
      </c>
    </row>
    <row r="1061" spans="12:29" x14ac:dyDescent="0.2">
      <c r="L1061" s="11">
        <v>45737</v>
      </c>
      <c r="M1061" s="10">
        <v>117.5352783203125</v>
      </c>
      <c r="N1061" s="10">
        <v>110.19699859619141</v>
      </c>
      <c r="O1061" s="10">
        <v>234.51296997070312</v>
      </c>
      <c r="P1061" s="10">
        <v>216.93568420410156</v>
      </c>
      <c r="Q1061" s="10">
        <v>556.1552734375</v>
      </c>
      <c r="R1061" s="10">
        <v>158.28425598144531</v>
      </c>
      <c r="S1061" s="10">
        <v>159.83209228515625</v>
      </c>
      <c r="V1061" s="11">
        <v>45740</v>
      </c>
      <c r="W1061" s="12">
        <v>1.1270514648665575E-2</v>
      </c>
      <c r="X1061" s="12">
        <v>-2.0780238375054383E-3</v>
      </c>
      <c r="Y1061" s="12">
        <v>2.6610897413124501E-2</v>
      </c>
      <c r="Z1061" s="12">
        <v>3.1520908262874014E-2</v>
      </c>
      <c r="AA1061" s="12">
        <v>-6.2391906790000284E-3</v>
      </c>
      <c r="AB1061" s="12">
        <v>1.790837800678835E-2</v>
      </c>
      <c r="AC1061" s="12">
        <v>2.5973187971175538E-3</v>
      </c>
    </row>
    <row r="1062" spans="12:29" x14ac:dyDescent="0.2">
      <c r="L1062" s="11">
        <v>45740</v>
      </c>
      <c r="M1062" s="10">
        <v>121.24009704589844</v>
      </c>
      <c r="N1062" s="10">
        <v>110.48321533203124</v>
      </c>
      <c r="O1062" s="10">
        <v>240.75357055664065</v>
      </c>
      <c r="P1062" s="10">
        <v>219.38066101074219</v>
      </c>
      <c r="Q1062" s="10">
        <v>566.1151123046875</v>
      </c>
      <c r="R1062" s="10">
        <v>157.95533752441406</v>
      </c>
      <c r="S1062" s="10">
        <v>158.83486938476562</v>
      </c>
      <c r="V1062" s="11">
        <v>45741</v>
      </c>
      <c r="W1062" s="12">
        <v>1.3681816186884799E-2</v>
      </c>
      <c r="X1062" s="12">
        <v>-1.3901692668522814E-2</v>
      </c>
      <c r="Y1062" s="12">
        <v>1.2376072900374124E-2</v>
      </c>
      <c r="Z1062" s="12">
        <v>-5.9303329355865353E-3</v>
      </c>
      <c r="AA1062" s="12">
        <v>-1.6902988279249853E-2</v>
      </c>
      <c r="AB1062" s="12">
        <v>2.403929606058286E-3</v>
      </c>
      <c r="AC1062" s="12">
        <v>6.8219911311560022E-3</v>
      </c>
    </row>
    <row r="1063" spans="12:29" x14ac:dyDescent="0.2">
      <c r="L1063" s="11">
        <v>45741</v>
      </c>
      <c r="M1063" s="10">
        <v>120.52110290527344</v>
      </c>
      <c r="N1063" s="10">
        <v>111.23693084716795</v>
      </c>
      <c r="O1063" s="10">
        <v>243.733154296875</v>
      </c>
      <c r="P1063" s="10">
        <v>222.38218688964844</v>
      </c>
      <c r="Q1063" s="10">
        <v>567.47601318359375</v>
      </c>
      <c r="R1063" s="10">
        <v>155.75949096679688</v>
      </c>
      <c r="S1063" s="10">
        <v>156.15008544921875</v>
      </c>
      <c r="V1063" s="11">
        <v>45742</v>
      </c>
      <c r="W1063" s="12">
        <v>-9.9217519590827363E-3</v>
      </c>
      <c r="X1063" s="12">
        <v>4.3474367873992392E-3</v>
      </c>
      <c r="Y1063" s="12">
        <v>-3.98227141098495E-4</v>
      </c>
      <c r="Z1063" s="12">
        <v>-5.7419847461616325E-2</v>
      </c>
      <c r="AA1063" s="12">
        <v>2.2904392379033078E-2</v>
      </c>
      <c r="AB1063" s="12">
        <v>-1.1938228305225729E-2</v>
      </c>
      <c r="AC1063" s="12">
        <v>1.4409555744230529E-2</v>
      </c>
    </row>
    <row r="1064" spans="12:29" x14ac:dyDescent="0.2">
      <c r="L1064" s="11">
        <v>45742</v>
      </c>
      <c r="M1064" s="10">
        <v>113.60079956054688</v>
      </c>
      <c r="N1064" s="10">
        <v>112.83980560302734</v>
      </c>
      <c r="O1064" s="10">
        <v>243.63609313964844</v>
      </c>
      <c r="P1064" s="10">
        <v>220.17576599121097</v>
      </c>
      <c r="Q1064" s="10">
        <v>560.70135498046875</v>
      </c>
      <c r="R1064" s="10">
        <v>156.4366455078125</v>
      </c>
      <c r="S1064" s="10">
        <v>159.72660827636719</v>
      </c>
      <c r="V1064" s="11">
        <v>45743</v>
      </c>
      <c r="W1064" s="12">
        <v>1.0472617819722529E-2</v>
      </c>
      <c r="X1064" s="12">
        <v>8.7187843583718116E-3</v>
      </c>
      <c r="Y1064" s="12">
        <v>-1.1592268647677262E-2</v>
      </c>
      <c r="Z1064" s="12">
        <v>-2.0481690790875251E-2</v>
      </c>
      <c r="AA1064" s="12">
        <v>1.2786683942431987E-2</v>
      </c>
      <c r="AB1064" s="12">
        <v>-2.6558447361686444E-3</v>
      </c>
      <c r="AC1064" s="12">
        <v>-3.2130191609424097E-3</v>
      </c>
    </row>
    <row r="1065" spans="12:29" x14ac:dyDescent="0.2">
      <c r="L1065" s="11">
        <v>45743</v>
      </c>
      <c r="M1065" s="10">
        <v>111.27406311035156</v>
      </c>
      <c r="N1065" s="10">
        <v>112.4772491455078</v>
      </c>
      <c r="O1065" s="10">
        <v>240.81179809570312</v>
      </c>
      <c r="P1065" s="10">
        <v>222.48158264160156</v>
      </c>
      <c r="Q1065" s="10">
        <v>559.21221923828125</v>
      </c>
      <c r="R1065" s="10">
        <v>157.80058288574219</v>
      </c>
      <c r="S1065" s="10">
        <v>161.76898193359375</v>
      </c>
      <c r="V1065" s="11">
        <v>45744</v>
      </c>
      <c r="W1065" s="12">
        <v>-2.6580336150487605E-2</v>
      </c>
      <c r="X1065" s="12">
        <v>3.5554394336128059E-3</v>
      </c>
      <c r="Y1065" s="12">
        <v>-2.1239599281249966E-2</v>
      </c>
      <c r="Z1065" s="12">
        <v>-1.5794676608994918E-2</v>
      </c>
      <c r="AA1065" s="12">
        <v>-4.0305830427822542E-3</v>
      </c>
      <c r="AB1065" s="12">
        <v>-2.0138105395326567E-2</v>
      </c>
      <c r="AC1065" s="12">
        <v>-1.3572216278001648E-3</v>
      </c>
    </row>
    <row r="1066" spans="12:29" x14ac:dyDescent="0.2">
      <c r="L1066" s="11">
        <v>45744</v>
      </c>
      <c r="M1066" s="10">
        <v>109.51652526855467</v>
      </c>
      <c r="N1066" s="10">
        <v>112.32459259033205</v>
      </c>
      <c r="O1066" s="10">
        <v>235.69705200195312</v>
      </c>
      <c r="P1066" s="10">
        <v>216.56794738769531</v>
      </c>
      <c r="Q1066" s="10">
        <v>547.95074462890625</v>
      </c>
      <c r="R1066" s="10">
        <v>158.36163330078125</v>
      </c>
      <c r="S1066" s="10">
        <v>161.11695861816406</v>
      </c>
      <c r="V1066" s="11">
        <v>45747</v>
      </c>
      <c r="W1066" s="12">
        <v>1.9412601862735634E-2</v>
      </c>
      <c r="X1066" s="12">
        <v>1.3010691063005231E-2</v>
      </c>
      <c r="Y1066" s="12">
        <v>1.0088471008779853E-2</v>
      </c>
      <c r="Z1066" s="12">
        <v>-1.1762611854777671E-2</v>
      </c>
      <c r="AA1066" s="12">
        <v>1.4223558548989823E-2</v>
      </c>
      <c r="AB1066" s="12">
        <v>6.712688489439067E-3</v>
      </c>
      <c r="AC1066" s="12">
        <v>1.0192826556760348E-2</v>
      </c>
    </row>
    <row r="1067" spans="12:29" x14ac:dyDescent="0.2">
      <c r="L1067" s="11">
        <v>45747</v>
      </c>
      <c r="M1067" s="10">
        <v>108.22832489013672</v>
      </c>
      <c r="N1067" s="10">
        <v>113.46949768066406</v>
      </c>
      <c r="O1067" s="10">
        <v>238.07487487792969</v>
      </c>
      <c r="P1067" s="10">
        <v>220.7720947265625</v>
      </c>
      <c r="Q1067" s="10">
        <v>551.62896728515625</v>
      </c>
      <c r="R1067" s="10">
        <v>160.42202758789062</v>
      </c>
      <c r="S1067" s="10">
        <v>163.40861511230469</v>
      </c>
      <c r="V1067" s="11">
        <v>45748</v>
      </c>
      <c r="W1067" s="12">
        <v>4.7719462667916712E-3</v>
      </c>
      <c r="X1067" s="12">
        <v>-7.5916509740219573E-2</v>
      </c>
      <c r="Y1067" s="12">
        <v>-6.6857341543568038E-3</v>
      </c>
      <c r="Z1067" s="12">
        <v>1.6331513496370187E-2</v>
      </c>
      <c r="AA1067" s="12">
        <v>8.2163406665358707E-4</v>
      </c>
      <c r="AB1067" s="12">
        <v>2.8245533885180585E-3</v>
      </c>
      <c r="AC1067" s="12">
        <v>9.2491773839720182E-4</v>
      </c>
    </row>
    <row r="1068" spans="12:29" x14ac:dyDescent="0.2">
      <c r="L1068" s="11">
        <v>45748</v>
      </c>
      <c r="M1068" s="10">
        <v>109.99585723876952</v>
      </c>
      <c r="N1068" s="10">
        <v>113.57444763183594</v>
      </c>
      <c r="O1068" s="10">
        <v>236.48316955566409</v>
      </c>
      <c r="P1068" s="10">
        <v>221.82560729980469</v>
      </c>
      <c r="Q1068" s="10">
        <v>553.18707275390625</v>
      </c>
      <c r="R1068" s="10">
        <v>148.24334716796875</v>
      </c>
      <c r="S1068" s="10">
        <v>163.54287719726562</v>
      </c>
      <c r="V1068" s="11">
        <v>45749</v>
      </c>
      <c r="W1068" s="12">
        <v>3.136220286715119E-3</v>
      </c>
      <c r="X1068" s="12">
        <v>1.376821409911555E-2</v>
      </c>
      <c r="Y1068" s="12">
        <v>8.8648582241466212E-3</v>
      </c>
      <c r="Z1068" s="12">
        <v>2.4510699831183924E-3</v>
      </c>
      <c r="AA1068" s="12">
        <v>-6.2149034899037225E-3</v>
      </c>
      <c r="AB1068" s="12">
        <v>6.3282975946048481E-3</v>
      </c>
      <c r="AC1068" s="12">
        <v>-3.1082670593284289E-3</v>
      </c>
    </row>
    <row r="1069" spans="12:29" x14ac:dyDescent="0.2">
      <c r="L1069" s="11">
        <v>45749</v>
      </c>
      <c r="M1069" s="10">
        <v>110.26546478271484</v>
      </c>
      <c r="N1069" s="10">
        <v>113.22142791748048</v>
      </c>
      <c r="O1069" s="10">
        <v>238.57955932617188</v>
      </c>
      <c r="P1069" s="10">
        <v>222.52130126953125</v>
      </c>
      <c r="Q1069" s="10">
        <v>556.68780517578125</v>
      </c>
      <c r="R1069" s="10">
        <v>150.28439331054688</v>
      </c>
      <c r="S1069" s="10">
        <v>162.52647399902344</v>
      </c>
      <c r="V1069" s="11">
        <v>45750</v>
      </c>
      <c r="W1069" s="12">
        <v>-9.2456118552115774E-2</v>
      </c>
      <c r="X1069" s="12">
        <v>2.8707778363734615E-2</v>
      </c>
      <c r="Y1069" s="12">
        <v>-6.9685108614663482E-2</v>
      </c>
      <c r="Z1069" s="12">
        <v>-7.8065470743732268E-2</v>
      </c>
      <c r="AA1069" s="12">
        <v>1.7050163195505563E-2</v>
      </c>
      <c r="AB1069" s="12">
        <v>-4.9280691450165448E-2</v>
      </c>
      <c r="AC1069" s="12">
        <v>-5.2582725023364252E-2</v>
      </c>
    </row>
    <row r="1070" spans="12:29" x14ac:dyDescent="0.2">
      <c r="L1070" s="11">
        <v>45750</v>
      </c>
      <c r="M1070" s="10">
        <v>101.65753936767578</v>
      </c>
      <c r="N1070" s="10">
        <v>107.26793670654295</v>
      </c>
      <c r="O1070" s="10">
        <v>221.95411682128903</v>
      </c>
      <c r="P1070" s="10">
        <v>201.9478454589844</v>
      </c>
      <c r="Q1070" s="10">
        <v>529.25384521484375</v>
      </c>
      <c r="R1070" s="10">
        <v>154.59872436523438</v>
      </c>
      <c r="S1070" s="10">
        <v>165.29757690429688</v>
      </c>
      <c r="V1070" s="11">
        <v>45751</v>
      </c>
      <c r="W1070" s="12">
        <v>-7.2887317079584069E-2</v>
      </c>
      <c r="X1070" s="12">
        <v>-4.1171335901226458E-2</v>
      </c>
      <c r="Y1070" s="12">
        <v>-7.4838314490218272E-2</v>
      </c>
      <c r="Z1070" s="12">
        <v>-7.3575681170347185E-2</v>
      </c>
      <c r="AA1070" s="12">
        <v>-5.011888737150072E-2</v>
      </c>
      <c r="AB1070" s="12">
        <v>-5.8543101116961149E-2</v>
      </c>
      <c r="AC1070" s="12">
        <v>-7.1955955633296265E-2</v>
      </c>
    </row>
    <row r="1071" spans="12:29" x14ac:dyDescent="0.2">
      <c r="L1071" s="11">
        <v>45751</v>
      </c>
      <c r="M1071" s="10">
        <v>94.178016662597656</v>
      </c>
      <c r="N1071" s="10">
        <v>99.549369812011719</v>
      </c>
      <c r="O1071" s="10">
        <v>205.34344482421875</v>
      </c>
      <c r="P1071" s="10">
        <v>187.22840881347656</v>
      </c>
      <c r="Q1071" s="10">
        <v>498.26968383789062</v>
      </c>
      <c r="R1071" s="10">
        <v>148.23368835449219</v>
      </c>
      <c r="S1071" s="10">
        <v>157.01304626464844</v>
      </c>
      <c r="V1071" s="11">
        <v>45754</v>
      </c>
      <c r="W1071" s="12">
        <v>-3.6734361564248252E-2</v>
      </c>
      <c r="X1071" s="12">
        <v>-1.7097591748868157E-2</v>
      </c>
      <c r="Y1071" s="12">
        <v>1.9783110957341643E-2</v>
      </c>
      <c r="Z1071" s="12">
        <v>3.530901116249785E-2</v>
      </c>
      <c r="AA1071" s="12">
        <v>-2.1496195289274378E-2</v>
      </c>
      <c r="AB1071" s="12">
        <v>-1.7811884523963872E-3</v>
      </c>
      <c r="AC1071" s="12">
        <v>-1.3417626350432421E-2</v>
      </c>
    </row>
    <row r="1072" spans="12:29" x14ac:dyDescent="0.2">
      <c r="L1072" s="11">
        <v>45754</v>
      </c>
      <c r="M1072" s="10">
        <v>97.503349304199219</v>
      </c>
      <c r="N1072" s="10">
        <v>98.213653564453125</v>
      </c>
      <c r="O1072" s="10">
        <v>209.40577697753903</v>
      </c>
      <c r="P1072" s="10">
        <v>180.35069274902344</v>
      </c>
      <c r="Q1072" s="10">
        <v>497.38217163085938</v>
      </c>
      <c r="R1072" s="10">
        <v>145.69924926757812</v>
      </c>
      <c r="S1072" s="10">
        <v>153.63786315917969</v>
      </c>
      <c r="V1072" s="11">
        <v>45755</v>
      </c>
      <c r="W1072" s="12">
        <v>-4.9818083951868153E-2</v>
      </c>
      <c r="X1072" s="12">
        <v>-4.116124067475857E-3</v>
      </c>
      <c r="Y1072" s="12">
        <v>1.1331852236914131E-2</v>
      </c>
      <c r="Z1072" s="12">
        <v>-1.3723831195389558E-2</v>
      </c>
      <c r="AA1072" s="12">
        <v>-1.1483580335354349E-2</v>
      </c>
      <c r="AB1072" s="12">
        <v>-1.5662754316898009E-2</v>
      </c>
      <c r="AC1072" s="12">
        <v>-2.1080147222183432E-2</v>
      </c>
    </row>
    <row r="1073" spans="12:29" x14ac:dyDescent="0.2">
      <c r="L1073" s="11">
        <v>45755</v>
      </c>
      <c r="M1073" s="10">
        <v>96.165229797363281</v>
      </c>
      <c r="N1073" s="10">
        <v>96.143295288085938</v>
      </c>
      <c r="O1073" s="10">
        <v>211.77873229980469</v>
      </c>
      <c r="P1073" s="10">
        <v>171.365966796875</v>
      </c>
      <c r="Q1073" s="10">
        <v>489.591796875</v>
      </c>
      <c r="R1073" s="10">
        <v>145.09953308105469</v>
      </c>
      <c r="S1073" s="10">
        <v>151.87355041503906</v>
      </c>
      <c r="V1073" s="11">
        <v>45756</v>
      </c>
      <c r="W1073" s="12">
        <v>0.15328859263586048</v>
      </c>
      <c r="X1073" s="12">
        <v>6.4666556528212293E-3</v>
      </c>
      <c r="Y1073" s="12">
        <v>8.0555115446348857E-2</v>
      </c>
      <c r="Z1073" s="12">
        <v>0.18722750456600301</v>
      </c>
      <c r="AA1073" s="12">
        <v>2.4812258588582381E-2</v>
      </c>
      <c r="AB1073" s="12">
        <v>0.10501937798947614</v>
      </c>
      <c r="AC1073" s="12">
        <v>4.9915590713438984E-2</v>
      </c>
    </row>
    <row r="1074" spans="12:29" x14ac:dyDescent="0.2">
      <c r="L1074" s="11">
        <v>45756</v>
      </c>
      <c r="M1074" s="10">
        <v>114.17000579833984</v>
      </c>
      <c r="N1074" s="10">
        <v>100.94234466552734</v>
      </c>
      <c r="O1074" s="10">
        <v>228.83859252929688</v>
      </c>
      <c r="P1074" s="10">
        <v>197.63441467285156</v>
      </c>
      <c r="Q1074" s="10">
        <v>541.0084228515625</v>
      </c>
      <c r="R1074" s="10">
        <v>146.037841796875</v>
      </c>
      <c r="S1074" s="10">
        <v>155.64187622070312</v>
      </c>
      <c r="V1074" s="11">
        <v>45757</v>
      </c>
      <c r="W1074" s="12">
        <v>-4.2393903291410129E-2</v>
      </c>
      <c r="X1074" s="12">
        <v>-1.5102286804275056E-2</v>
      </c>
      <c r="Y1074" s="12">
        <v>-3.0852629090056038E-2</v>
      </c>
      <c r="Z1074" s="12">
        <v>-5.9127169778110056E-2</v>
      </c>
      <c r="AA1074" s="12">
        <v>7.6392043800157516E-3</v>
      </c>
      <c r="AB1074" s="12">
        <v>-4.3819062573260736E-2</v>
      </c>
      <c r="AC1074" s="12">
        <v>-5.5481959969661543E-2</v>
      </c>
    </row>
    <row r="1075" spans="12:29" x14ac:dyDescent="0.2">
      <c r="L1075" s="11">
        <v>45757</v>
      </c>
      <c r="M1075" s="10">
        <v>107.41945648193359</v>
      </c>
      <c r="N1075" s="10">
        <v>95.341865539550781</v>
      </c>
      <c r="O1075" s="10">
        <v>221.7783203125</v>
      </c>
      <c r="P1075" s="10">
        <v>189.25592041015625</v>
      </c>
      <c r="Q1075" s="10">
        <v>517.30194091796875</v>
      </c>
      <c r="R1075" s="10">
        <v>143.83233642578125</v>
      </c>
      <c r="S1075" s="10">
        <v>156.83085632324219</v>
      </c>
      <c r="V1075" s="11">
        <v>45758</v>
      </c>
      <c r="W1075" s="12">
        <v>4.0594526712567136E-2</v>
      </c>
      <c r="X1075" s="12">
        <v>2.0444938764269338E-2</v>
      </c>
      <c r="Y1075" s="12">
        <v>4.0024730186128732E-2</v>
      </c>
      <c r="Z1075" s="12">
        <v>3.1235504378898327E-2</v>
      </c>
      <c r="AA1075" s="12">
        <v>2.0481866872438248E-2</v>
      </c>
      <c r="AB1075" s="12">
        <v>1.7843011748604143E-2</v>
      </c>
      <c r="AC1075" s="12">
        <v>3.2122531408219857E-2</v>
      </c>
    </row>
    <row r="1076" spans="12:29" x14ac:dyDescent="0.2">
      <c r="L1076" s="11">
        <v>45758</v>
      </c>
      <c r="M1076" s="10">
        <v>110.77475738525391</v>
      </c>
      <c r="N1076" s="10">
        <v>98.404487609863281</v>
      </c>
      <c r="O1076" s="10">
        <v>230.65493774414065</v>
      </c>
      <c r="P1076" s="10">
        <v>196.93867492675781</v>
      </c>
      <c r="Q1076" s="10">
        <v>526.53216552734375</v>
      </c>
      <c r="R1076" s="10">
        <v>146.77297973632812</v>
      </c>
      <c r="S1076" s="10">
        <v>160.04304504394531</v>
      </c>
      <c r="V1076" s="11">
        <v>45761</v>
      </c>
      <c r="W1076" s="12">
        <v>2.2054034018170299E-2</v>
      </c>
      <c r="X1076" s="12">
        <v>1.7333661575516635E-2</v>
      </c>
      <c r="Y1076" s="12">
        <v>-6.265991946919014E-3</v>
      </c>
      <c r="Z1076" s="12">
        <v>-1.9832681208932224E-3</v>
      </c>
      <c r="AA1076" s="12">
        <v>1.3300559913681287E-2</v>
      </c>
      <c r="AB1076" s="12">
        <v>9.7012728964935846E-3</v>
      </c>
      <c r="AC1076" s="12">
        <v>2.4236953845739873E-3</v>
      </c>
    </row>
    <row r="1077" spans="12:29" x14ac:dyDescent="0.2">
      <c r="L1077" s="11">
        <v>45761</v>
      </c>
      <c r="M1077" s="10">
        <v>110.55506134033205</v>
      </c>
      <c r="N1077" s="10">
        <v>98.642990112304673</v>
      </c>
      <c r="O1077" s="10">
        <v>229.20965576171875</v>
      </c>
      <c r="P1077" s="10">
        <v>201.28196716308591</v>
      </c>
      <c r="Q1077" s="10">
        <v>531.64019775390625</v>
      </c>
      <c r="R1077" s="10">
        <v>149.31709289550781</v>
      </c>
      <c r="S1077" s="10">
        <v>162.17170715332031</v>
      </c>
      <c r="V1077" s="11">
        <v>45762</v>
      </c>
      <c r="W1077" s="12">
        <v>-1.8764761244508543E-3</v>
      </c>
      <c r="X1077" s="12">
        <v>-4.7940631404470579E-3</v>
      </c>
      <c r="Y1077" s="12">
        <v>-6.7739645430503481E-3</v>
      </c>
      <c r="Z1077" s="12">
        <v>1.3458588155291107E-2</v>
      </c>
      <c r="AA1077" s="12">
        <v>-3.9023963395098393E-3</v>
      </c>
      <c r="AB1077" s="12">
        <v>-2.8010217219820444E-3</v>
      </c>
      <c r="AC1077" s="12">
        <v>-2.8048621839298349E-3</v>
      </c>
    </row>
    <row r="1078" spans="12:29" x14ac:dyDescent="0.2">
      <c r="L1078" s="11">
        <v>45762</v>
      </c>
      <c r="M1078" s="10">
        <v>112.04297637939452</v>
      </c>
      <c r="N1078" s="10">
        <v>98.366310119628906</v>
      </c>
      <c r="O1078" s="10">
        <v>227.65699768066409</v>
      </c>
      <c r="P1078" s="10">
        <v>200.90426635742188</v>
      </c>
      <c r="Q1078" s="10">
        <v>530.15106201171875</v>
      </c>
      <c r="R1078" s="10">
        <v>148.60125732421875</v>
      </c>
      <c r="S1078" s="10">
        <v>161.53884887695312</v>
      </c>
      <c r="V1078" s="11">
        <v>45763</v>
      </c>
      <c r="W1078" s="12">
        <v>-3.8933238101473311E-2</v>
      </c>
      <c r="X1078" s="12">
        <v>1.8878227678922332E-3</v>
      </c>
      <c r="Y1078" s="12">
        <v>-1.5098866742150885E-2</v>
      </c>
      <c r="Z1078" s="12">
        <v>-6.8716520571001749E-2</v>
      </c>
      <c r="AA1078" s="12">
        <v>-1.2346350720391142E-2</v>
      </c>
      <c r="AB1078" s="12">
        <v>-2.2227965823144014E-2</v>
      </c>
      <c r="AC1078" s="12">
        <v>1.0572269488358543E-2</v>
      </c>
    </row>
    <row r="1079" spans="12:29" x14ac:dyDescent="0.2">
      <c r="L1079" s="11">
        <v>45763</v>
      </c>
      <c r="M1079" s="10">
        <v>104.34377288818359</v>
      </c>
      <c r="N1079" s="10">
        <v>99.406265258789062</v>
      </c>
      <c r="O1079" s="10">
        <v>224.2196350097656</v>
      </c>
      <c r="P1079" s="10">
        <v>193.08241271972656</v>
      </c>
      <c r="Q1079" s="10">
        <v>518.36688232421875</v>
      </c>
      <c r="R1079" s="10">
        <v>148.88179016113281</v>
      </c>
      <c r="S1079" s="10">
        <v>159.54443359375</v>
      </c>
      <c r="V1079" s="11">
        <v>45764</v>
      </c>
      <c r="W1079" s="12">
        <v>1.3949510540231636E-2</v>
      </c>
      <c r="X1079" s="12">
        <v>2.3130398046881995E-2</v>
      </c>
      <c r="Y1079" s="12">
        <v>1.0234810974314446E-2</v>
      </c>
      <c r="Z1079" s="12">
        <v>-2.8710901955003698E-2</v>
      </c>
      <c r="AA1079" s="12">
        <v>2.5482253853899239E-2</v>
      </c>
      <c r="AB1079" s="12">
        <v>1.4268350248789474E-3</v>
      </c>
      <c r="AC1079" s="12">
        <v>2.6202094988724722E-2</v>
      </c>
    </row>
    <row r="1080" spans="12:29" x14ac:dyDescent="0.2">
      <c r="L1080" s="11">
        <v>45764</v>
      </c>
      <c r="M1080" s="10">
        <v>101.34796905517578</v>
      </c>
      <c r="N1080" s="10">
        <v>102.01091766357422</v>
      </c>
      <c r="O1080" s="10">
        <v>226.51448059082031</v>
      </c>
      <c r="P1080" s="10">
        <v>195.77581787109375</v>
      </c>
      <c r="Q1080" s="10">
        <v>519.10650634765625</v>
      </c>
      <c r="R1080" s="10">
        <v>152.32548522949219</v>
      </c>
      <c r="S1080" s="10">
        <v>163.6099853515625</v>
      </c>
      <c r="V1080" s="11">
        <v>45768</v>
      </c>
      <c r="W1080" s="12">
        <v>-1.9392746768525093E-2</v>
      </c>
      <c r="X1080" s="12">
        <v>-3.4927064072084457E-3</v>
      </c>
      <c r="Y1080" s="12">
        <v>-1.2803966465683381E-2</v>
      </c>
      <c r="Z1080" s="12">
        <v>-4.512754969726096E-2</v>
      </c>
      <c r="AA1080" s="12">
        <v>-2.2544790579373308E-2</v>
      </c>
      <c r="AB1080" s="12">
        <v>-2.3802765912592339E-2</v>
      </c>
      <c r="AC1080" s="12">
        <v>-1.4683816009169237E-2</v>
      </c>
    </row>
    <row r="1081" spans="12:29" x14ac:dyDescent="0.2">
      <c r="L1081" s="11">
        <v>45768</v>
      </c>
      <c r="M1081" s="10">
        <v>96.774383544921875</v>
      </c>
      <c r="N1081" s="10">
        <v>100.51300811767578</v>
      </c>
      <c r="O1081" s="10">
        <v>223.61419677734375</v>
      </c>
      <c r="P1081" s="10">
        <v>191.97918701171875</v>
      </c>
      <c r="Q1081" s="10">
        <v>506.75033569335938</v>
      </c>
      <c r="R1081" s="10">
        <v>151.79345703125</v>
      </c>
      <c r="S1081" s="10">
        <v>159.92143249511719</v>
      </c>
      <c r="V1081" s="11">
        <v>45769</v>
      </c>
      <c r="W1081" s="12">
        <v>3.406496561472383E-2</v>
      </c>
      <c r="X1081" s="12">
        <v>5.2892378881408408E-3</v>
      </c>
      <c r="Y1081" s="12">
        <v>2.8822199992084574E-2</v>
      </c>
      <c r="Z1081" s="12">
        <v>2.0431219042711612E-2</v>
      </c>
      <c r="AA1081" s="12">
        <v>1.2850777497609656E-2</v>
      </c>
      <c r="AB1081" s="12">
        <v>2.601794197538787E-2</v>
      </c>
      <c r="AC1081" s="12">
        <v>2.8001947103486247E-2</v>
      </c>
    </row>
    <row r="1082" spans="12:29" x14ac:dyDescent="0.2">
      <c r="L1082" s="11">
        <v>45769</v>
      </c>
      <c r="M1082" s="10">
        <v>98.751602172851562</v>
      </c>
      <c r="N1082" s="10">
        <v>103.32756805419922</v>
      </c>
      <c r="O1082" s="10">
        <v>230.05924987792969</v>
      </c>
      <c r="P1082" s="10">
        <v>198.5189514160156</v>
      </c>
      <c r="Q1082" s="10">
        <v>519.9349365234375</v>
      </c>
      <c r="R1082" s="10">
        <v>152.59632873535156</v>
      </c>
      <c r="S1082" s="10">
        <v>161.97654724121094</v>
      </c>
      <c r="V1082" s="11">
        <v>45770</v>
      </c>
      <c r="W1082" s="12">
        <v>2.4331717311530499E-2</v>
      </c>
      <c r="X1082" s="12">
        <v>-1.5023769185564029E-2</v>
      </c>
      <c r="Y1082" s="12">
        <v>2.2454356963574673E-2</v>
      </c>
      <c r="Z1082" s="12">
        <v>3.8628832694534765E-2</v>
      </c>
      <c r="AA1082" s="12">
        <v>-1.2806803767582475E-2</v>
      </c>
      <c r="AB1082" s="12">
        <v>1.5495243709833462E-2</v>
      </c>
      <c r="AC1082" s="12">
        <v>-8.587313435205024E-3</v>
      </c>
    </row>
    <row r="1083" spans="12:29" x14ac:dyDescent="0.2">
      <c r="L1083" s="11">
        <v>45770</v>
      </c>
      <c r="M1083" s="10">
        <v>102.56626129150391</v>
      </c>
      <c r="N1083" s="10">
        <v>102.44026184082033</v>
      </c>
      <c r="O1083" s="10">
        <v>235.22508239746097</v>
      </c>
      <c r="P1083" s="10">
        <v>203.34925842285156</v>
      </c>
      <c r="Q1083" s="10">
        <v>527.991455078125</v>
      </c>
      <c r="R1083" s="10">
        <v>150.30375671386719</v>
      </c>
      <c r="S1083" s="10">
        <v>159.90214538574219</v>
      </c>
      <c r="V1083" s="11">
        <v>45771</v>
      </c>
      <c r="W1083" s="12">
        <v>1.8426096128695724E-2</v>
      </c>
      <c r="X1083" s="12">
        <v>-2.8961533889247937E-3</v>
      </c>
      <c r="Y1083" s="12">
        <v>1.5609335177598993E-2</v>
      </c>
      <c r="Z1083" s="12">
        <v>3.6218443545294798E-2</v>
      </c>
      <c r="AA1083" s="12">
        <v>-3.7410250848645465E-2</v>
      </c>
      <c r="AB1083" s="12">
        <v>2.1049030981854289E-2</v>
      </c>
      <c r="AC1083" s="12">
        <v>1.1735042321284084E-2</v>
      </c>
    </row>
    <row r="1084" spans="12:29" x14ac:dyDescent="0.2">
      <c r="L1084" s="11">
        <v>45771</v>
      </c>
      <c r="M1084" s="10">
        <v>106.2810516357422</v>
      </c>
      <c r="N1084" s="10">
        <v>103.64240264892578</v>
      </c>
      <c r="O1084" s="10">
        <v>238.89678955078125</v>
      </c>
      <c r="P1084" s="10">
        <v>207.09619140625</v>
      </c>
      <c r="Q1084" s="10">
        <v>539.10516357421875</v>
      </c>
      <c r="R1084" s="10">
        <v>149.86845397949219</v>
      </c>
      <c r="S1084" s="10">
        <v>153.920166015625</v>
      </c>
      <c r="V1084" s="11">
        <v>45772</v>
      </c>
      <c r="W1084" s="12">
        <v>4.367291627862091E-3</v>
      </c>
      <c r="X1084" s="12">
        <v>-2.2589594003286084E-3</v>
      </c>
      <c r="Y1084" s="12">
        <v>-4.455447441739202E-3</v>
      </c>
      <c r="Z1084" s="12">
        <v>4.3033077850208823E-2</v>
      </c>
      <c r="AA1084" s="12">
        <v>9.3397527507823597E-3</v>
      </c>
      <c r="AB1084" s="12">
        <v>7.2253113119784551E-3</v>
      </c>
      <c r="AC1084" s="12">
        <v>-5.5224228993722146E-4</v>
      </c>
    </row>
    <row r="1085" spans="12:29" x14ac:dyDescent="0.2">
      <c r="L1085" s="11">
        <v>45772</v>
      </c>
      <c r="M1085" s="10">
        <v>110.85465240478516</v>
      </c>
      <c r="N1085" s="10">
        <v>103.58516693115234</v>
      </c>
      <c r="O1085" s="10">
        <v>237.8323974609375</v>
      </c>
      <c r="P1085" s="10">
        <v>208.00064086914065</v>
      </c>
      <c r="Q1085" s="10">
        <v>543.0003662109375</v>
      </c>
      <c r="R1085" s="10">
        <v>149.5299072265625</v>
      </c>
      <c r="S1085" s="10">
        <v>155.35774230957031</v>
      </c>
      <c r="V1085" s="11">
        <v>45775</v>
      </c>
      <c r="W1085" s="12">
        <v>4.1092232493342706E-3</v>
      </c>
      <c r="X1085" s="12">
        <v>4.9811257448268975E-3</v>
      </c>
      <c r="Y1085" s="12">
        <v>-1.3550114637049804E-3</v>
      </c>
      <c r="Z1085" s="12">
        <v>-2.0538761994973176E-2</v>
      </c>
      <c r="AA1085" s="12">
        <v>5.1548270028312082E-3</v>
      </c>
      <c r="AB1085" s="12">
        <v>3.8149757017302832E-4</v>
      </c>
      <c r="AC1085" s="12">
        <v>5.5254742999522044E-4</v>
      </c>
    </row>
    <row r="1086" spans="12:29" x14ac:dyDescent="0.2">
      <c r="L1086" s="11">
        <v>45775</v>
      </c>
      <c r="M1086" s="10">
        <v>108.5778350830078</v>
      </c>
      <c r="N1086" s="10">
        <v>103.64240264892578</v>
      </c>
      <c r="O1086" s="10">
        <v>237.5101318359375</v>
      </c>
      <c r="P1086" s="10">
        <v>208.85536193847656</v>
      </c>
      <c r="Q1086" s="10">
        <v>543.20751953125</v>
      </c>
      <c r="R1086" s="10">
        <v>150.27473449707031</v>
      </c>
      <c r="S1086" s="10">
        <v>156.15858459472656</v>
      </c>
      <c r="V1086" s="11">
        <v>45776</v>
      </c>
      <c r="W1086" s="12">
        <v>5.0919284648927032E-3</v>
      </c>
      <c r="X1086" s="12">
        <v>3.6048476885344183E-3</v>
      </c>
      <c r="Y1086" s="12">
        <v>5.7560764009347842E-3</v>
      </c>
      <c r="Z1086" s="12">
        <v>2.667179331728331E-3</v>
      </c>
      <c r="AA1086" s="12">
        <v>2.5330249367574442E-3</v>
      </c>
      <c r="AB1086" s="12">
        <v>6.2991634074585079E-3</v>
      </c>
      <c r="AC1086" s="12">
        <v>-2.4853847554184849E-3</v>
      </c>
    </row>
    <row r="1087" spans="12:29" x14ac:dyDescent="0.2">
      <c r="L1087" s="11">
        <v>45776</v>
      </c>
      <c r="M1087" s="10">
        <v>108.867431640625</v>
      </c>
      <c r="N1087" s="10">
        <v>103.3848114013672</v>
      </c>
      <c r="O1087" s="10">
        <v>238.87725830078125</v>
      </c>
      <c r="P1087" s="10">
        <v>209.91883850097656</v>
      </c>
      <c r="Q1087" s="10">
        <v>546.6292724609375</v>
      </c>
      <c r="R1087" s="10">
        <v>150.81645202636719</v>
      </c>
      <c r="S1087" s="10">
        <v>156.55413818359375</v>
      </c>
      <c r="V1087" s="11">
        <v>45777</v>
      </c>
      <c r="W1087" s="12">
        <v>6.107765357894035E-3</v>
      </c>
      <c r="X1087" s="12">
        <v>2.5654834672159677E-3</v>
      </c>
      <c r="Y1087" s="12">
        <v>0</v>
      </c>
      <c r="Z1087" s="12">
        <v>-9.1734298227708067E-4</v>
      </c>
      <c r="AA1087" s="12">
        <v>1.9105389782310134E-3</v>
      </c>
      <c r="AB1087" s="12">
        <v>3.9683009352198262E-4</v>
      </c>
      <c r="AC1087" s="12">
        <v>-2.5193910287868437E-2</v>
      </c>
    </row>
    <row r="1088" spans="12:29" x14ac:dyDescent="0.2">
      <c r="L1088" s="11">
        <v>45777</v>
      </c>
      <c r="M1088" s="10">
        <v>108.76756286621094</v>
      </c>
      <c r="N1088" s="10">
        <v>100.78014373779295</v>
      </c>
      <c r="O1088" s="10">
        <v>238.87725830078125</v>
      </c>
      <c r="P1088" s="10">
        <v>211.20097351074219</v>
      </c>
      <c r="Q1088" s="10">
        <v>546.84619140625</v>
      </c>
      <c r="R1088" s="10">
        <v>151.203369140625</v>
      </c>
      <c r="S1088" s="10">
        <v>156.85324096679688</v>
      </c>
      <c r="V1088" s="11">
        <v>45778</v>
      </c>
      <c r="W1088" s="12">
        <v>3.8588230398270973E-3</v>
      </c>
      <c r="X1088" s="12">
        <v>-1.1835288675324462E-2</v>
      </c>
      <c r="Y1088" s="12">
        <v>9.2797472510484091E-3</v>
      </c>
      <c r="Z1088" s="12">
        <v>2.4697079525506593E-2</v>
      </c>
      <c r="AA1088" s="12">
        <v>-1.5931558765212461E-2</v>
      </c>
      <c r="AB1088" s="12">
        <v>7.087203700909317E-3</v>
      </c>
      <c r="AC1088" s="12">
        <v>1.4201191495031296E-3</v>
      </c>
    </row>
    <row r="1089" spans="12:29" x14ac:dyDescent="0.2">
      <c r="L1089" s="11">
        <v>45778</v>
      </c>
      <c r="M1089" s="10">
        <v>111.45380401611328</v>
      </c>
      <c r="N1089" s="10">
        <v>100.92326354980467</v>
      </c>
      <c r="O1089" s="10">
        <v>241.09397888183591</v>
      </c>
      <c r="P1089" s="10">
        <v>212.01596069335935</v>
      </c>
      <c r="Q1089" s="10">
        <v>550.7218017578125</v>
      </c>
      <c r="R1089" s="10">
        <v>149.41383361816406</v>
      </c>
      <c r="S1089" s="10">
        <v>154.35432434082031</v>
      </c>
      <c r="V1089" s="11">
        <v>45779</v>
      </c>
      <c r="W1089" s="12">
        <v>-3.736178700938575E-2</v>
      </c>
      <c r="X1089" s="12">
        <v>1.0746850613026826E-2</v>
      </c>
      <c r="Y1089" s="12">
        <v>2.2763124959059633E-2</v>
      </c>
      <c r="Z1089" s="12">
        <v>2.5893808339858548E-2</v>
      </c>
      <c r="AA1089" s="12">
        <v>3.3754243994399413E-3</v>
      </c>
      <c r="AB1089" s="12">
        <v>1.4844133220939471E-2</v>
      </c>
      <c r="AC1089" s="12">
        <v>4.0650234415622322E-3</v>
      </c>
    </row>
    <row r="1090" spans="12:29" x14ac:dyDescent="0.2">
      <c r="L1090" s="11">
        <v>45779</v>
      </c>
      <c r="M1090" s="10">
        <v>114.33976745605467</v>
      </c>
      <c r="N1090" s="10">
        <v>101.33351898193359</v>
      </c>
      <c r="O1090" s="10">
        <v>246.58203125</v>
      </c>
      <c r="P1090" s="10">
        <v>204.09466552734375</v>
      </c>
      <c r="Q1090" s="10">
        <v>558.89678955078125</v>
      </c>
      <c r="R1090" s="10">
        <v>151.01956176757812</v>
      </c>
      <c r="S1090" s="10">
        <v>154.87533569335938</v>
      </c>
      <c r="V1090" s="11">
        <v>45782</v>
      </c>
      <c r="W1090" s="12">
        <v>-3.1458524166635971E-2</v>
      </c>
      <c r="X1090" s="12">
        <v>-7.173834101663723E-3</v>
      </c>
      <c r="Y1090" s="12">
        <v>1.980198019801982E-4</v>
      </c>
      <c r="Z1090" s="12">
        <v>-5.9388491508025609E-3</v>
      </c>
      <c r="AA1090" s="12">
        <v>-1.0528270694025843E-2</v>
      </c>
      <c r="AB1090" s="12">
        <v>-5.7344327514629034E-3</v>
      </c>
      <c r="AC1090" s="12">
        <v>-2.7681023931133031E-2</v>
      </c>
    </row>
    <row r="1091" spans="12:29" x14ac:dyDescent="0.2">
      <c r="L1091" s="11">
        <v>45782</v>
      </c>
      <c r="M1091" s="10">
        <v>113.66072082519533</v>
      </c>
      <c r="N1091" s="10">
        <v>98.528503417968764</v>
      </c>
      <c r="O1091" s="10">
        <v>246.630859375</v>
      </c>
      <c r="P1091" s="10">
        <v>197.67414855957031</v>
      </c>
      <c r="Q1091" s="10">
        <v>555.69183349609375</v>
      </c>
      <c r="R1091" s="10">
        <v>149.93617248535156</v>
      </c>
      <c r="S1091" s="10">
        <v>153.24476623535156</v>
      </c>
      <c r="V1091" s="11">
        <v>45783</v>
      </c>
      <c r="W1091" s="12">
        <v>-1.9105699497782291E-3</v>
      </c>
      <c r="X1091" s="12">
        <v>-3.4192202350100676E-3</v>
      </c>
      <c r="Y1091" s="12">
        <v>-1.3105820629578324E-2</v>
      </c>
      <c r="Z1091" s="12">
        <v>-2.460037893001199E-3</v>
      </c>
      <c r="AA1091" s="12">
        <v>2.6443164819767162E-3</v>
      </c>
      <c r="AB1091" s="12">
        <v>-8.3583256768252623E-3</v>
      </c>
      <c r="AC1091" s="12">
        <v>1.3943969829479208E-2</v>
      </c>
    </row>
    <row r="1092" spans="12:29" x14ac:dyDescent="0.2">
      <c r="L1092" s="11">
        <v>45783</v>
      </c>
      <c r="M1092" s="10">
        <v>113.38111114501952</v>
      </c>
      <c r="N1092" s="10">
        <v>99.902381896972656</v>
      </c>
      <c r="O1092" s="10">
        <v>243.3985595703125</v>
      </c>
      <c r="P1092" s="10">
        <v>197.2964782714844</v>
      </c>
      <c r="Q1092" s="10">
        <v>551.04718017578125</v>
      </c>
      <c r="R1092" s="10">
        <v>149.42350769042969</v>
      </c>
      <c r="S1092" s="10">
        <v>153.64999389648438</v>
      </c>
      <c r="V1092" s="11">
        <v>45784</v>
      </c>
      <c r="W1092" s="12">
        <v>-1.1384822083056134E-2</v>
      </c>
      <c r="X1092" s="12">
        <v>1.8320635164096544E-2</v>
      </c>
      <c r="Y1092" s="12">
        <v>5.6170730936688784E-4</v>
      </c>
      <c r="Z1092" s="12">
        <v>3.1002236780898418E-2</v>
      </c>
      <c r="AA1092" s="12">
        <v>2.5115183255430829E-4</v>
      </c>
      <c r="AB1092" s="12">
        <v>4.2054163343341333E-3</v>
      </c>
      <c r="AC1092" s="12">
        <v>-9.5491165883443418E-4</v>
      </c>
    </row>
    <row r="1093" spans="12:29" x14ac:dyDescent="0.2">
      <c r="L1093" s="11">
        <v>45784</v>
      </c>
      <c r="M1093" s="10">
        <v>116.89617919921876</v>
      </c>
      <c r="N1093" s="10">
        <v>99.806983947753906</v>
      </c>
      <c r="O1093" s="10">
        <v>243.5352783203125</v>
      </c>
      <c r="P1093" s="10">
        <v>195.05029296875</v>
      </c>
      <c r="Q1093" s="10">
        <v>553.36456298828125</v>
      </c>
      <c r="R1093" s="10">
        <v>152.16104125976562</v>
      </c>
      <c r="S1093" s="10">
        <v>153.68858337402344</v>
      </c>
      <c r="V1093" s="11">
        <v>45785</v>
      </c>
      <c r="W1093" s="12">
        <v>6.3184043328170514E-3</v>
      </c>
      <c r="X1093" s="12">
        <v>-1.0425965596158715E-2</v>
      </c>
      <c r="Y1093" s="12">
        <v>1.6360002125269668E-2</v>
      </c>
      <c r="Z1093" s="12">
        <v>2.6482500507771789E-3</v>
      </c>
      <c r="AA1093" s="12">
        <v>-4.0179167574699859E-3</v>
      </c>
      <c r="AB1093" s="12">
        <v>6.9677625719350988E-3</v>
      </c>
      <c r="AC1093" s="12">
        <v>1.3956534298799728E-2</v>
      </c>
    </row>
    <row r="1094" spans="12:29" x14ac:dyDescent="0.2">
      <c r="L1094" s="11">
        <v>45785</v>
      </c>
      <c r="M1094" s="10">
        <v>117.20574951171876</v>
      </c>
      <c r="N1094" s="10">
        <v>101.19994354248048</v>
      </c>
      <c r="O1094" s="10">
        <v>247.51951599121097</v>
      </c>
      <c r="P1094" s="10">
        <v>196.28269958496097</v>
      </c>
      <c r="Q1094" s="10">
        <v>557.22027587890625</v>
      </c>
      <c r="R1094" s="10">
        <v>150.57461547851562</v>
      </c>
      <c r="S1094" s="10">
        <v>153.07107543945312</v>
      </c>
      <c r="V1094" s="11">
        <v>45786</v>
      </c>
      <c r="W1094" s="12">
        <v>5.2660289127841597E-3</v>
      </c>
      <c r="X1094" s="12">
        <v>-9.2510603403425096E-3</v>
      </c>
      <c r="Y1094" s="12">
        <v>-1.5387044269007388E-3</v>
      </c>
      <c r="Z1094" s="12">
        <v>-6.1344613521123748E-3</v>
      </c>
      <c r="AA1094" s="12">
        <v>-6.2400402884227324E-3</v>
      </c>
      <c r="AB1094" s="12">
        <v>-1.2741118157988396E-3</v>
      </c>
      <c r="AC1094" s="12">
        <v>1.1690395076956683E-2</v>
      </c>
    </row>
    <row r="1095" spans="12:29" x14ac:dyDescent="0.2">
      <c r="L1095" s="11">
        <v>45786</v>
      </c>
      <c r="M1095" s="10">
        <v>116.48675537109376</v>
      </c>
      <c r="N1095" s="10">
        <v>102.3830108642578</v>
      </c>
      <c r="O1095" s="10">
        <v>247.13865661621097</v>
      </c>
      <c r="P1095" s="10">
        <v>197.31632995605469</v>
      </c>
      <c r="Q1095" s="10">
        <v>556.51031494140625</v>
      </c>
      <c r="R1095" s="10">
        <v>149.181640625</v>
      </c>
      <c r="S1095" s="10">
        <v>152.11590576171875</v>
      </c>
      <c r="V1095" s="11">
        <v>45789</v>
      </c>
      <c r="W1095" s="12">
        <v>6.3146284413435394E-2</v>
      </c>
      <c r="X1095" s="12">
        <v>-5.186785653500392E-4</v>
      </c>
      <c r="Y1095" s="12">
        <v>2.7540677205212249E-2</v>
      </c>
      <c r="Z1095" s="12">
        <v>5.4436319470751782E-2</v>
      </c>
      <c r="AA1095" s="12">
        <v>2.0550567013887466E-2</v>
      </c>
      <c r="AB1095" s="12">
        <v>3.3047429414670981E-2</v>
      </c>
      <c r="AC1095" s="12">
        <v>1.723985297267161E-2</v>
      </c>
    </row>
    <row r="1096" spans="12:29" x14ac:dyDescent="0.2">
      <c r="L1096" s="11">
        <v>45789</v>
      </c>
      <c r="M1096" s="10">
        <v>122.82786560058594</v>
      </c>
      <c r="N1096" s="10">
        <v>104.14807891845705</v>
      </c>
      <c r="O1096" s="10">
        <v>253.94502258300781</v>
      </c>
      <c r="P1096" s="10">
        <v>209.776123046875</v>
      </c>
      <c r="Q1096" s="10">
        <v>574.90155029296875</v>
      </c>
      <c r="R1096" s="10">
        <v>149.10426330566406</v>
      </c>
      <c r="S1096" s="10">
        <v>155.24197387695312</v>
      </c>
      <c r="V1096" s="11">
        <v>45790</v>
      </c>
      <c r="W1096" s="12">
        <v>1.0152250294736209E-2</v>
      </c>
      <c r="X1096" s="12">
        <v>-3.6979247309858243E-2</v>
      </c>
      <c r="Y1096" s="12">
        <v>1.1382576735127214E-2</v>
      </c>
      <c r="Z1096" s="12">
        <v>5.6341476837431514E-2</v>
      </c>
      <c r="AA1096" s="12">
        <v>-1.3486813070809012E-2</v>
      </c>
      <c r="AB1096" s="12">
        <v>6.6037546552584203E-3</v>
      </c>
      <c r="AC1096" s="12">
        <v>2.7482443095130371E-3</v>
      </c>
    </row>
    <row r="1097" spans="12:29" x14ac:dyDescent="0.2">
      <c r="L1097" s="11">
        <v>45790</v>
      </c>
      <c r="M1097" s="10">
        <v>129.7481689453125</v>
      </c>
      <c r="N1097" s="10">
        <v>104.43430328369141</v>
      </c>
      <c r="O1097" s="10">
        <v>256.8355712890625</v>
      </c>
      <c r="P1097" s="10">
        <v>211.90582275390625</v>
      </c>
      <c r="Q1097" s="10">
        <v>578.69805908203125</v>
      </c>
      <c r="R1097" s="10">
        <v>143.59049987792969</v>
      </c>
      <c r="S1097" s="10">
        <v>153.14825439453125</v>
      </c>
      <c r="V1097" s="11">
        <v>45791</v>
      </c>
      <c r="W1097" s="12">
        <v>-2.8177938946358783E-3</v>
      </c>
      <c r="X1097" s="12">
        <v>-1.4012554478596839E-2</v>
      </c>
      <c r="Y1097" s="12">
        <v>9.9995389727267625E-3</v>
      </c>
      <c r="Z1097" s="12">
        <v>4.1637736299942496E-2</v>
      </c>
      <c r="AA1097" s="12">
        <v>-4.4728738181900596E-3</v>
      </c>
      <c r="AB1097" s="12">
        <v>1.2779773090207946E-3</v>
      </c>
      <c r="AC1097" s="12">
        <v>-8.9529735843008051E-3</v>
      </c>
    </row>
    <row r="1098" spans="12:29" x14ac:dyDescent="0.2">
      <c r="L1098" s="11">
        <v>45791</v>
      </c>
      <c r="M1098" s="10">
        <v>135.15058898925781</v>
      </c>
      <c r="N1098" s="10">
        <v>103.49930572509766</v>
      </c>
      <c r="O1098" s="10">
        <v>259.40380859375</v>
      </c>
      <c r="P1098" s="10">
        <v>211.3087158203125</v>
      </c>
      <c r="Q1098" s="10">
        <v>579.4376220703125</v>
      </c>
      <c r="R1098" s="10">
        <v>141.57843017578125</v>
      </c>
      <c r="S1098" s="10">
        <v>152.46324157714844</v>
      </c>
      <c r="V1098" s="11">
        <v>45792</v>
      </c>
      <c r="W1098" s="12">
        <v>-4.1444714481055911E-3</v>
      </c>
      <c r="X1098" s="12">
        <v>2.2205674978800438E-2</v>
      </c>
      <c r="Y1098" s="12">
        <v>6.9641173137773293E-3</v>
      </c>
      <c r="Z1098" s="12">
        <v>-3.7682214155240201E-3</v>
      </c>
      <c r="AA1098" s="12">
        <v>2.7781294539509283E-2</v>
      </c>
      <c r="AB1098" s="12">
        <v>4.8844968339409878E-3</v>
      </c>
      <c r="AC1098" s="12">
        <v>1.0140381063907355E-2</v>
      </c>
    </row>
    <row r="1099" spans="12:29" x14ac:dyDescent="0.2">
      <c r="L1099" s="11">
        <v>45792</v>
      </c>
      <c r="M1099" s="10">
        <v>134.64131164550781</v>
      </c>
      <c r="N1099" s="10">
        <v>104.548828125</v>
      </c>
      <c r="O1099" s="10">
        <v>261.2103271484375</v>
      </c>
      <c r="P1099" s="10">
        <v>210.43295288085935</v>
      </c>
      <c r="Q1099" s="10">
        <v>582.26788330078125</v>
      </c>
      <c r="R1099" s="10">
        <v>144.72227478027344</v>
      </c>
      <c r="S1099" s="10">
        <v>156.69886779785156</v>
      </c>
      <c r="V1099" s="11">
        <v>45793</v>
      </c>
      <c r="W1099" s="12">
        <v>-8.9848881881382514E-4</v>
      </c>
      <c r="X1099" s="12">
        <v>1.1496523967108985E-2</v>
      </c>
      <c r="Y1099" s="12">
        <v>2.618192524190821E-4</v>
      </c>
      <c r="Z1099" s="12">
        <v>4.2275182961457602E-3</v>
      </c>
      <c r="AA1099" s="12">
        <v>5.3568766367164677E-3</v>
      </c>
      <c r="AB1099" s="12">
        <v>6.3340439294972128E-3</v>
      </c>
      <c r="AC1099" s="12">
        <v>-3.5918030413421009E-3</v>
      </c>
    </row>
    <row r="1100" spans="12:29" x14ac:dyDescent="0.2">
      <c r="L1100" s="11">
        <v>45793</v>
      </c>
      <c r="M1100" s="10">
        <v>135.21051025390625</v>
      </c>
      <c r="N1100" s="10">
        <v>104.17330932617188</v>
      </c>
      <c r="O1100" s="10">
        <v>261.27871704101562</v>
      </c>
      <c r="P1100" s="10">
        <v>210.24388122558591</v>
      </c>
      <c r="Q1100" s="10">
        <v>585.95599365234375</v>
      </c>
      <c r="R1100" s="10">
        <v>146.38607788085938</v>
      </c>
      <c r="S1100" s="10">
        <v>157.53828430175781</v>
      </c>
      <c r="V1100" s="11">
        <v>45796</v>
      </c>
      <c r="W1100" s="12">
        <v>-1.1739122198914487E-2</v>
      </c>
      <c r="X1100" s="12">
        <v>7.6654563405984533E-3</v>
      </c>
      <c r="Y1100" s="12">
        <v>-1.00164911130316E-2</v>
      </c>
      <c r="Z1100" s="12">
        <v>1.2554795333701296E-3</v>
      </c>
      <c r="AA1100" s="12">
        <v>9.1254441286776622E-3</v>
      </c>
      <c r="AB1100" s="12">
        <v>1.0939238063631951E-3</v>
      </c>
      <c r="AC1100" s="12">
        <v>-1.5897887566349578E-2</v>
      </c>
    </row>
    <row r="1101" spans="12:29" x14ac:dyDescent="0.2">
      <c r="L1101" s="11">
        <v>45796</v>
      </c>
      <c r="M1101" s="10">
        <v>135.38026428222656</v>
      </c>
      <c r="N1101" s="10">
        <v>102.51717376708984</v>
      </c>
      <c r="O1101" s="10">
        <v>258.66162109375</v>
      </c>
      <c r="P1101" s="10">
        <v>207.77580261230469</v>
      </c>
      <c r="Q1101" s="10">
        <v>586.59698486328125</v>
      </c>
      <c r="R1101" s="10">
        <v>147.50819396972656</v>
      </c>
      <c r="S1101" s="10">
        <v>158.97589111328125</v>
      </c>
      <c r="V1101" s="11">
        <v>45797</v>
      </c>
      <c r="W1101" s="12">
        <v>-9.1962903164805043E-3</v>
      </c>
      <c r="X1101" s="12">
        <v>7.6725205095180549E-3</v>
      </c>
      <c r="Y1101" s="12">
        <v>3.0203553070473621E-3</v>
      </c>
      <c r="Z1101" s="12">
        <v>-8.7776750984329688E-3</v>
      </c>
      <c r="AA1101" s="12">
        <v>5.2799577373023876E-3</v>
      </c>
      <c r="AB1101" s="12">
        <v>-3.3621533263863412E-3</v>
      </c>
      <c r="AC1101" s="12">
        <v>-1.4276410641527404E-2</v>
      </c>
    </row>
    <row r="1102" spans="12:29" x14ac:dyDescent="0.2">
      <c r="L1102" s="11">
        <v>45797</v>
      </c>
      <c r="M1102" s="10">
        <v>134.19194030761719</v>
      </c>
      <c r="N1102" s="10">
        <v>101.05359649658205</v>
      </c>
      <c r="O1102" s="10">
        <v>259.44287109375</v>
      </c>
      <c r="P1102" s="10">
        <v>205.86503601074219</v>
      </c>
      <c r="Q1102" s="10">
        <v>584.624755859375</v>
      </c>
      <c r="R1102" s="10">
        <v>148.63995361328125</v>
      </c>
      <c r="S1102" s="10">
        <v>159.81527709960938</v>
      </c>
      <c r="V1102" s="11">
        <v>45798</v>
      </c>
      <c r="W1102" s="12">
        <v>-2.305906406303615E-2</v>
      </c>
      <c r="X1102" s="12">
        <v>-3.1238233051384956E-3</v>
      </c>
      <c r="Y1102" s="12">
        <v>-1.7464662390677121E-2</v>
      </c>
      <c r="Z1102" s="12">
        <v>-1.919925661810129E-2</v>
      </c>
      <c r="AA1102" s="12">
        <v>-1.2677524004516272E-3</v>
      </c>
      <c r="AB1102" s="12">
        <v>-1.6850877987892088E-2</v>
      </c>
      <c r="AC1102" s="12">
        <v>-1.2291457111154425E-2</v>
      </c>
    </row>
    <row r="1103" spans="12:29" x14ac:dyDescent="0.2">
      <c r="L1103" s="11">
        <v>45798</v>
      </c>
      <c r="M1103" s="10">
        <v>131.61555480957031</v>
      </c>
      <c r="N1103" s="10">
        <v>99.811500549316406</v>
      </c>
      <c r="O1103" s="10">
        <v>254.91178894042969</v>
      </c>
      <c r="P1103" s="10">
        <v>201.11798095703125</v>
      </c>
      <c r="Q1103" s="10">
        <v>574.7733154296875</v>
      </c>
      <c r="R1103" s="10">
        <v>148.17562866210938</v>
      </c>
      <c r="S1103" s="10">
        <v>159.6126708984375</v>
      </c>
      <c r="V1103" s="11">
        <v>45799</v>
      </c>
      <c r="W1103" s="12">
        <v>-3.6122389584345438E-3</v>
      </c>
      <c r="X1103" s="12">
        <v>-3.7212030516831085E-3</v>
      </c>
      <c r="Y1103" s="12">
        <v>-1.4172837989742115E-3</v>
      </c>
      <c r="Z1103" s="12">
        <v>7.8147996703286093E-3</v>
      </c>
      <c r="AA1103" s="12">
        <v>-2.4178863168972109E-3</v>
      </c>
      <c r="AB1103" s="12">
        <v>3.9460189702000825E-4</v>
      </c>
      <c r="AC1103" s="12">
        <v>-6.6563765789899865E-3</v>
      </c>
    </row>
    <row r="1104" spans="12:29" x14ac:dyDescent="0.2">
      <c r="L1104" s="11">
        <v>45799</v>
      </c>
      <c r="M1104" s="10">
        <v>132.64410400390625</v>
      </c>
      <c r="N1104" s="10">
        <v>99.147117614746094</v>
      </c>
      <c r="O1104" s="10">
        <v>254.55050659179688</v>
      </c>
      <c r="P1104" s="10">
        <v>200.39149475097656</v>
      </c>
      <c r="Q1104" s="10">
        <v>575.0001220703125</v>
      </c>
      <c r="R1104" s="10">
        <v>147.62423706054688</v>
      </c>
      <c r="S1104" s="10">
        <v>159.22674560546875</v>
      </c>
      <c r="V1104" s="11">
        <v>45800</v>
      </c>
      <c r="W1104" s="12">
        <v>-3.0244294900949709E-2</v>
      </c>
      <c r="X1104" s="12">
        <v>2.1624438664880063E-3</v>
      </c>
      <c r="Y1104" s="12">
        <v>1.531570554569317E-4</v>
      </c>
      <c r="Z1104" s="12">
        <v>-1.1593744090047986E-2</v>
      </c>
      <c r="AA1104" s="12">
        <v>5.0293797347487068E-3</v>
      </c>
      <c r="AB1104" s="12">
        <v>-6.8257458335287957E-3</v>
      </c>
      <c r="AC1104" s="12">
        <v>5.8259026975004957E-4</v>
      </c>
    </row>
    <row r="1105" spans="12:29" x14ac:dyDescent="0.2">
      <c r="L1105" s="11">
        <v>45800</v>
      </c>
      <c r="M1105" s="10">
        <v>131.10626220703125</v>
      </c>
      <c r="N1105" s="10">
        <v>99.204879760742202</v>
      </c>
      <c r="O1105" s="10">
        <v>254.58949279785156</v>
      </c>
      <c r="P1105" s="10">
        <v>194.33079528808591</v>
      </c>
      <c r="Q1105" s="10">
        <v>571.0753173828125</v>
      </c>
      <c r="R1105" s="10">
        <v>147.94346618652344</v>
      </c>
      <c r="S1105" s="10">
        <v>160.02755737304688</v>
      </c>
      <c r="V1105" s="11">
        <v>45804</v>
      </c>
      <c r="W1105" s="12">
        <v>2.5298329580486056E-2</v>
      </c>
      <c r="X1105" s="12">
        <v>1.0617265130874021E-2</v>
      </c>
      <c r="Y1105" s="12">
        <v>1.7567570726297443E-2</v>
      </c>
      <c r="Z1105" s="12">
        <v>3.2066367324706802E-2</v>
      </c>
      <c r="AA1105" s="12">
        <v>1.145537486963133E-2</v>
      </c>
      <c r="AB1105" s="12">
        <v>2.0790577842265234E-2</v>
      </c>
      <c r="AC1105" s="12">
        <v>4.7559090676276838E-3</v>
      </c>
    </row>
    <row r="1106" spans="12:29" x14ac:dyDescent="0.2">
      <c r="L1106" s="11">
        <v>45804</v>
      </c>
      <c r="M1106" s="10">
        <v>135.31036376953125</v>
      </c>
      <c r="N1106" s="10">
        <v>99.676689147949219</v>
      </c>
      <c r="O1106" s="10">
        <v>259.06201171875</v>
      </c>
      <c r="P1106" s="10">
        <v>199.24703979492188</v>
      </c>
      <c r="Q1106" s="10">
        <v>582.94830322265625</v>
      </c>
      <c r="R1106" s="10">
        <v>149.51422119140625</v>
      </c>
      <c r="S1106" s="10">
        <v>161.86073303222656</v>
      </c>
      <c r="V1106" s="11">
        <v>45805</v>
      </c>
      <c r="W1106" s="12">
        <v>1.0488706643525525E-3</v>
      </c>
      <c r="X1106" s="12">
        <v>-5.3506819978927922E-3</v>
      </c>
      <c r="Y1106" s="12">
        <v>-6.7850606624334509E-3</v>
      </c>
      <c r="Z1106" s="12">
        <v>-5.0921885043472281E-3</v>
      </c>
      <c r="AA1106" s="12">
        <v>-2.3842103452160757E-3</v>
      </c>
      <c r="AB1106" s="12">
        <v>-5.7853476459333031E-3</v>
      </c>
      <c r="AC1106" s="12">
        <v>-1.3620467724668184E-2</v>
      </c>
    </row>
    <row r="1107" spans="12:29" x14ac:dyDescent="0.2">
      <c r="L1107" s="11">
        <v>45805</v>
      </c>
      <c r="M1107" s="10">
        <v>134.621337890625</v>
      </c>
      <c r="N1107" s="10">
        <v>98.319046020507798</v>
      </c>
      <c r="O1107" s="10">
        <v>257.30426025390625</v>
      </c>
      <c r="P1107" s="10">
        <v>199.45602416992188</v>
      </c>
      <c r="Q1107" s="10">
        <v>579.57574462890625</v>
      </c>
      <c r="R1107" s="10">
        <v>148.71421813964844</v>
      </c>
      <c r="S1107" s="10">
        <v>161.47482299804688</v>
      </c>
      <c r="V1107" s="11">
        <v>45806</v>
      </c>
      <c r="W1107" s="12">
        <v>-2.3452459731247988E-3</v>
      </c>
      <c r="X1107" s="12">
        <v>7.5444265855131309E-3</v>
      </c>
      <c r="Y1107" s="12">
        <v>3.33979888857594E-3</v>
      </c>
      <c r="Z1107" s="12">
        <v>3.2490175169429536E-2</v>
      </c>
      <c r="AA1107" s="12">
        <v>7.1701976505549325E-3</v>
      </c>
      <c r="AB1107" s="12">
        <v>3.9473369666005453E-3</v>
      </c>
      <c r="AC1107" s="12">
        <v>5.6801207181820246E-3</v>
      </c>
    </row>
    <row r="1108" spans="12:29" x14ac:dyDescent="0.2">
      <c r="L1108" s="11">
        <v>45806</v>
      </c>
      <c r="M1108" s="10">
        <v>138.99520874023438</v>
      </c>
      <c r="N1108" s="10">
        <v>98.877510070800781</v>
      </c>
      <c r="O1108" s="10">
        <v>258.16360473632812</v>
      </c>
      <c r="P1108" s="10">
        <v>198.98825073242188</v>
      </c>
      <c r="Q1108" s="10">
        <v>581.863525390625</v>
      </c>
      <c r="R1108" s="10">
        <v>149.836181640625</v>
      </c>
      <c r="S1108" s="10">
        <v>162.63262939453125</v>
      </c>
      <c r="V1108" s="11">
        <v>45807</v>
      </c>
      <c r="W1108" s="12">
        <v>4.5011484642081268E-3</v>
      </c>
      <c r="X1108" s="12">
        <v>1.0613295933547207E-2</v>
      </c>
      <c r="Y1108" s="12">
        <v>-1.3994908685555085E-3</v>
      </c>
      <c r="Z1108" s="12">
        <v>-2.9168674712021558E-2</v>
      </c>
      <c r="AA1108" s="12">
        <v>7.8902886128471295E-3</v>
      </c>
      <c r="AB1108" s="12">
        <v>-1.118296253996065E-3</v>
      </c>
      <c r="AC1108" s="12">
        <v>-3.7978181141418155E-3</v>
      </c>
    </row>
    <row r="1109" spans="12:29" x14ac:dyDescent="0.2">
      <c r="L1109" s="11">
        <v>45807</v>
      </c>
      <c r="M1109" s="10">
        <v>134.94090270996094</v>
      </c>
      <c r="N1109" s="10">
        <v>98.501991271972656</v>
      </c>
      <c r="O1109" s="10">
        <v>257.80230712890625</v>
      </c>
      <c r="P1109" s="10">
        <v>199.88392639160156</v>
      </c>
      <c r="Q1109" s="10">
        <v>581.21282958984375</v>
      </c>
      <c r="R1109" s="10">
        <v>151.42643737792969</v>
      </c>
      <c r="S1109" s="10">
        <v>163.91584777832031</v>
      </c>
      <c r="V1109" s="11">
        <v>45810</v>
      </c>
      <c r="W1109" s="12">
        <v>4.2320398809336801E-3</v>
      </c>
      <c r="X1109" s="12">
        <v>1.224117616058118E-3</v>
      </c>
      <c r="Y1109" s="12">
        <v>2.4999804679777249E-3</v>
      </c>
      <c r="Z1109" s="12">
        <v>1.665055876714705E-2</v>
      </c>
      <c r="AA1109" s="12">
        <v>-1.2419863030467382E-2</v>
      </c>
      <c r="AB1109" s="12">
        <v>5.6329207040395346E-3</v>
      </c>
      <c r="AC1109" s="12">
        <v>7.3313513832122812E-3</v>
      </c>
    </row>
    <row r="1110" spans="12:29" x14ac:dyDescent="0.2">
      <c r="L1110" s="11">
        <v>45810</v>
      </c>
      <c r="M1110" s="10">
        <v>137.187744140625</v>
      </c>
      <c r="N1110" s="10">
        <v>99.224143981933594</v>
      </c>
      <c r="O1110" s="10">
        <v>258.44680786132812</v>
      </c>
      <c r="P1110" s="10">
        <v>200.72984313964844</v>
      </c>
      <c r="Q1110" s="10">
        <v>584.48675537109375</v>
      </c>
      <c r="R1110" s="10">
        <v>151.61180114746094</v>
      </c>
      <c r="S1110" s="10">
        <v>161.88003540039062</v>
      </c>
      <c r="V1110" s="11">
        <v>45811</v>
      </c>
      <c r="W1110" s="12">
        <v>7.7839421283005805E-3</v>
      </c>
      <c r="X1110" s="12">
        <v>-6.3062403891452901E-3</v>
      </c>
      <c r="Y1110" s="12">
        <v>6.0832811318269897E-3</v>
      </c>
      <c r="Z1110" s="12">
        <v>2.7951549239128015E-2</v>
      </c>
      <c r="AA1110" s="12">
        <v>-5.5429509179496517E-3</v>
      </c>
      <c r="AB1110" s="12">
        <v>5.7024522486979201E-3</v>
      </c>
      <c r="AC1110" s="12">
        <v>7.2779938529115018E-3</v>
      </c>
    </row>
    <row r="1111" spans="12:29" x14ac:dyDescent="0.2">
      <c r="L1111" s="11">
        <v>45811</v>
      </c>
      <c r="M1111" s="10">
        <v>141.02235412597656</v>
      </c>
      <c r="N1111" s="10">
        <v>99.946296691894517</v>
      </c>
      <c r="O1111" s="10">
        <v>260.01901245117188</v>
      </c>
      <c r="P1111" s="10">
        <v>202.29231262207031</v>
      </c>
      <c r="Q1111" s="10">
        <v>587.81976318359375</v>
      </c>
      <c r="R1111" s="10">
        <v>150.65570068359375</v>
      </c>
      <c r="S1111" s="10">
        <v>160.98274230957031</v>
      </c>
      <c r="V1111" s="11">
        <v>45812</v>
      </c>
      <c r="W1111" s="12">
        <v>-2.2137776487431982E-3</v>
      </c>
      <c r="X1111" s="12">
        <v>-7.771002652386616E-3</v>
      </c>
      <c r="Y1111" s="12">
        <v>-7.6991393381198314E-3</v>
      </c>
      <c r="Z1111" s="12">
        <v>4.9569137379936734E-3</v>
      </c>
      <c r="AA1111" s="12">
        <v>-5.3940388610036472E-3</v>
      </c>
      <c r="AB1111" s="12">
        <v>-2.684085986693896E-4</v>
      </c>
      <c r="AC1111" s="12">
        <v>-1.4450814764795483E-2</v>
      </c>
    </row>
    <row r="1112" spans="12:29" x14ac:dyDescent="0.2">
      <c r="L1112" s="11">
        <v>45812</v>
      </c>
      <c r="M1112" s="10">
        <v>141.72138977050781</v>
      </c>
      <c r="N1112" s="10">
        <v>98.501991271972656</v>
      </c>
      <c r="O1112" s="10">
        <v>258.01708984375</v>
      </c>
      <c r="P1112" s="10">
        <v>201.844482421875</v>
      </c>
      <c r="Q1112" s="10">
        <v>587.6619873046875</v>
      </c>
      <c r="R1112" s="10">
        <v>149.48495483398438</v>
      </c>
      <c r="S1112" s="10">
        <v>160.11439514160156</v>
      </c>
      <c r="V1112" s="11">
        <v>45813</v>
      </c>
      <c r="W1112" s="12">
        <v>-1.0797787736391062E-2</v>
      </c>
      <c r="X1112" s="12">
        <v>2.8715950336473117E-3</v>
      </c>
      <c r="Y1112" s="12">
        <v>-8.5911345920567372E-3</v>
      </c>
      <c r="Z1112" s="12">
        <v>-1.3599267774802248E-2</v>
      </c>
      <c r="AA1112" s="12">
        <v>-1.8981523086683216E-2</v>
      </c>
      <c r="AB1112" s="12">
        <v>-4.8328596233543353E-3</v>
      </c>
      <c r="AC1112" s="12">
        <v>-4.5943517442263992E-3</v>
      </c>
    </row>
    <row r="1113" spans="12:29" x14ac:dyDescent="0.2">
      <c r="L1113" s="11">
        <v>45813</v>
      </c>
      <c r="M1113" s="10">
        <v>139.79408264160156</v>
      </c>
      <c r="N1113" s="10">
        <v>98.0494384765625</v>
      </c>
      <c r="O1113" s="10">
        <v>255.80043029785156</v>
      </c>
      <c r="P1113" s="10">
        <v>199.66500854492188</v>
      </c>
      <c r="Q1113" s="10">
        <v>584.8218994140625</v>
      </c>
      <c r="R1113" s="10">
        <v>149.91421508789062</v>
      </c>
      <c r="S1113" s="10">
        <v>157.07518005371094</v>
      </c>
      <c r="V1113" s="11">
        <v>45814</v>
      </c>
      <c r="W1113" s="12">
        <v>1.6398392510159843E-2</v>
      </c>
      <c r="X1113" s="12">
        <v>8.9158248664753526E-3</v>
      </c>
      <c r="Y1113" s="12">
        <v>1.4430149312189444E-2</v>
      </c>
      <c r="Z1113" s="12">
        <v>1.2357959274336361E-2</v>
      </c>
      <c r="AA1113" s="12">
        <v>7.4937252764428752E-3</v>
      </c>
      <c r="AB1113" s="12">
        <v>1.0269030973764526E-2</v>
      </c>
      <c r="AC1113" s="12">
        <v>2.3961415973934974E-2</v>
      </c>
    </row>
    <row r="1114" spans="12:29" x14ac:dyDescent="0.2">
      <c r="L1114" s="11">
        <v>45814</v>
      </c>
      <c r="M1114" s="10">
        <v>141.52165222167969</v>
      </c>
      <c r="N1114" s="10">
        <v>100.39884185791016</v>
      </c>
      <c r="O1114" s="10">
        <v>259.49166870117188</v>
      </c>
      <c r="P1114" s="10">
        <v>202.93919372558591</v>
      </c>
      <c r="Q1114" s="10">
        <v>590.82745361328125</v>
      </c>
      <c r="R1114" s="10">
        <v>151.25082397460938</v>
      </c>
      <c r="S1114" s="10">
        <v>158.25225830078125</v>
      </c>
      <c r="V1114" s="11">
        <v>45817</v>
      </c>
      <c r="W1114" s="12">
        <v>-1.2112642401331031E-2</v>
      </c>
      <c r="X1114" s="12">
        <v>1.2901046711917274E-3</v>
      </c>
      <c r="Y1114" s="12">
        <v>3.8007659158396656E-3</v>
      </c>
      <c r="Z1114" s="12">
        <v>6.4212961560312642E-3</v>
      </c>
      <c r="AA1114" s="12">
        <v>-8.9013635811409086E-3</v>
      </c>
      <c r="AB1114" s="12">
        <v>9.0122877647047517E-4</v>
      </c>
      <c r="AC1114" s="12">
        <v>6.7133367078342499E-3</v>
      </c>
    </row>
    <row r="1115" spans="12:29" x14ac:dyDescent="0.2">
      <c r="L1115" s="11">
        <v>45817</v>
      </c>
      <c r="M1115" s="10">
        <v>142.43040466308594</v>
      </c>
      <c r="N1115" s="10">
        <v>101.07285308837891</v>
      </c>
      <c r="O1115" s="10">
        <v>260.47793579101562</v>
      </c>
      <c r="P1115" s="10">
        <v>200.48106384277344</v>
      </c>
      <c r="Q1115" s="10">
        <v>591.35992431640625</v>
      </c>
      <c r="R1115" s="10">
        <v>151.44595336914062</v>
      </c>
      <c r="S1115" s="10">
        <v>156.84359741210938</v>
      </c>
      <c r="V1115" s="11">
        <v>45818</v>
      </c>
      <c r="W1115" s="12">
        <v>6.056142273144216E-3</v>
      </c>
      <c r="X1115" s="12">
        <v>7.8594183147842056E-3</v>
      </c>
      <c r="Y1115" s="12">
        <v>6.9732421938384359E-3</v>
      </c>
      <c r="Z1115" s="12">
        <v>9.3247295276710496E-3</v>
      </c>
      <c r="AA1115" s="12">
        <v>1.7223629527745032E-3</v>
      </c>
      <c r="AB1115" s="12">
        <v>5.6699248135045899E-3</v>
      </c>
      <c r="AC1115" s="12">
        <v>2.1434770291657745E-2</v>
      </c>
    </row>
    <row r="1116" spans="12:29" x14ac:dyDescent="0.2">
      <c r="L1116" s="11">
        <v>45818</v>
      </c>
      <c r="M1116" s="10">
        <v>143.75852966308594</v>
      </c>
      <c r="N1116" s="10">
        <v>103.23932647705078</v>
      </c>
      <c r="O1116" s="10">
        <v>262.2943115234375</v>
      </c>
      <c r="P1116" s="10">
        <v>201.69520568847656</v>
      </c>
      <c r="Q1116" s="10">
        <v>594.712890625</v>
      </c>
      <c r="R1116" s="10">
        <v>152.63623046875</v>
      </c>
      <c r="S1116" s="10">
        <v>157.11373901367188</v>
      </c>
      <c r="V1116" s="11">
        <v>45819</v>
      </c>
      <c r="W1116" s="12">
        <v>-1.9193849253046791E-2</v>
      </c>
      <c r="X1116" s="12">
        <v>-7.6062903272243743E-3</v>
      </c>
      <c r="Y1116" s="12">
        <v>-1.6754199603018494E-3</v>
      </c>
      <c r="Z1116" s="12">
        <v>-7.7805123443444035E-3</v>
      </c>
      <c r="AA1116" s="12">
        <v>-4.4828363831732609E-3</v>
      </c>
      <c r="AB1116" s="12">
        <v>-2.8522823184768953E-3</v>
      </c>
      <c r="AC1116" s="12">
        <v>1.9492550317641077E-2</v>
      </c>
    </row>
    <row r="1117" spans="12:29" x14ac:dyDescent="0.2">
      <c r="L1117" s="11">
        <v>45819</v>
      </c>
      <c r="M1117" s="10">
        <v>142.6400146484375</v>
      </c>
      <c r="N1117" s="10">
        <v>105.25172424316406</v>
      </c>
      <c r="O1117" s="10">
        <v>261.8548583984375</v>
      </c>
      <c r="P1117" s="10">
        <v>197.82389831542969</v>
      </c>
      <c r="Q1117" s="10">
        <v>593.0166015625</v>
      </c>
      <c r="R1117" s="10">
        <v>151.47523498535156</v>
      </c>
      <c r="S1117" s="10">
        <v>156.409423828125</v>
      </c>
      <c r="V1117" s="11">
        <v>45820</v>
      </c>
      <c r="W1117" s="12">
        <v>2.1129095743659398E-3</v>
      </c>
      <c r="X1117" s="12">
        <v>9.017152171922449E-3</v>
      </c>
      <c r="Y1117" s="12">
        <v>3.3564634063898424E-4</v>
      </c>
      <c r="Z1117" s="12">
        <v>1.5192891441814238E-2</v>
      </c>
      <c r="AA1117" s="12">
        <v>6.6004919980082732E-3</v>
      </c>
      <c r="AB1117" s="12">
        <v>3.9742757913145965E-3</v>
      </c>
      <c r="AC1117" s="12">
        <v>3.8423248533550058E-3</v>
      </c>
    </row>
    <row r="1118" spans="12:29" x14ac:dyDescent="0.2">
      <c r="L1118" s="11">
        <v>45820</v>
      </c>
      <c r="M1118" s="10">
        <v>144.80712890625</v>
      </c>
      <c r="N1118" s="10">
        <v>105.65613555908205</v>
      </c>
      <c r="O1118" s="10">
        <v>261.9427490234375</v>
      </c>
      <c r="P1118" s="10">
        <v>198.24188232421875</v>
      </c>
      <c r="Q1118" s="10">
        <v>595.3734130859375</v>
      </c>
      <c r="R1118" s="10">
        <v>152.84111022949219</v>
      </c>
      <c r="S1118" s="10">
        <v>157.44180297851562</v>
      </c>
      <c r="V1118" s="11">
        <v>45821</v>
      </c>
      <c r="W1118" s="12">
        <v>-1.3805363000866655E-2</v>
      </c>
      <c r="X1118" s="12">
        <v>2.808639063474061E-3</v>
      </c>
      <c r="Y1118" s="12">
        <v>-1.2265155522209303E-2</v>
      </c>
      <c r="Z1118" s="12">
        <v>-2.0896662620336182E-2</v>
      </c>
      <c r="AA1118" s="12">
        <v>-1.7771866270805847E-2</v>
      </c>
      <c r="AB1118" s="12">
        <v>-1.1179958415508229E-2</v>
      </c>
      <c r="AC1118" s="12">
        <v>2.1780746750510671E-2</v>
      </c>
    </row>
    <row r="1119" spans="12:29" x14ac:dyDescent="0.2">
      <c r="L1119" s="11">
        <v>45821</v>
      </c>
      <c r="M1119" s="10">
        <v>141.78114318847656</v>
      </c>
      <c r="N1119" s="10">
        <v>107.95740509033205</v>
      </c>
      <c r="O1119" s="10">
        <v>258.72998046875</v>
      </c>
      <c r="P1119" s="10">
        <v>195.50508117675781</v>
      </c>
      <c r="Q1119" s="10">
        <v>588.7171630859375</v>
      </c>
      <c r="R1119" s="10">
        <v>153.2703857421875</v>
      </c>
      <c r="S1119" s="10">
        <v>154.64376831054688</v>
      </c>
      <c r="V1119" s="11">
        <v>45824</v>
      </c>
      <c r="W1119" s="12">
        <v>1.0028158953581778E-2</v>
      </c>
      <c r="X1119" s="12">
        <v>-1.1966874563452579E-2</v>
      </c>
      <c r="Y1119" s="12">
        <v>2.0418930548294911E-2</v>
      </c>
      <c r="Z1119" s="12">
        <v>1.9159107377723306E-2</v>
      </c>
      <c r="AA1119" s="12">
        <v>3.7435614985059651E-3</v>
      </c>
      <c r="AB1119" s="12">
        <v>9.5142398426133479E-3</v>
      </c>
      <c r="AC1119" s="12">
        <v>3.2108395977354931E-3</v>
      </c>
    </row>
    <row r="1120" spans="12:29" x14ac:dyDescent="0.2">
      <c r="L1120" s="11">
        <v>45824</v>
      </c>
      <c r="M1120" s="10">
        <v>144.49754333496094</v>
      </c>
      <c r="N1120" s="10">
        <v>108.30403900146484</v>
      </c>
      <c r="O1120" s="10">
        <v>264.01296997070312</v>
      </c>
      <c r="P1120" s="10">
        <v>197.46563720703125</v>
      </c>
      <c r="Q1120" s="10">
        <v>594.318359375</v>
      </c>
      <c r="R1120" s="10">
        <v>151.43621826171875</v>
      </c>
      <c r="S1120" s="10">
        <v>155.22268676757812</v>
      </c>
      <c r="V1120" s="11">
        <v>45825</v>
      </c>
      <c r="W1120" s="12">
        <v>-1.4010701402074721E-2</v>
      </c>
      <c r="X1120" s="12">
        <v>-1.8296696143815017E-2</v>
      </c>
      <c r="Y1120" s="12">
        <v>-3.1068604884629814E-3</v>
      </c>
      <c r="Z1120" s="12">
        <v>-3.9395800815456017E-3</v>
      </c>
      <c r="AA1120" s="12">
        <v>-1.4669397643136906E-2</v>
      </c>
      <c r="AB1120" s="12">
        <v>-8.5450687006844994E-3</v>
      </c>
      <c r="AC1120" s="12">
        <v>1.3513527792749169E-2</v>
      </c>
    </row>
    <row r="1121" spans="12:29" x14ac:dyDescent="0.2">
      <c r="L1121" s="11">
        <v>45825</v>
      </c>
      <c r="M1121" s="10">
        <v>143.92828369140625</v>
      </c>
      <c r="N1121" s="10">
        <v>109.76760864257812</v>
      </c>
      <c r="O1121" s="10">
        <v>263.19271850585938</v>
      </c>
      <c r="P1121" s="10">
        <v>194.69900512695312</v>
      </c>
      <c r="Q1121" s="10">
        <v>589.2398681640625</v>
      </c>
      <c r="R1121" s="10">
        <v>148.66543579101562</v>
      </c>
      <c r="S1121" s="10">
        <v>152.94566345214844</v>
      </c>
      <c r="V1121" s="11">
        <v>45826</v>
      </c>
      <c r="W1121" s="12">
        <v>4.8047797636858736E-3</v>
      </c>
      <c r="X1121" s="12">
        <v>-1.0828253243528763E-2</v>
      </c>
      <c r="Y1121" s="12">
        <v>1.6473570779491853E-2</v>
      </c>
      <c r="Z1121" s="12">
        <v>9.4366446844755814E-3</v>
      </c>
      <c r="AA1121" s="12">
        <v>-3.1542043370907935E-3</v>
      </c>
      <c r="AB1121" s="12">
        <v>-1.5081665769989261E-4</v>
      </c>
      <c r="AC1121" s="12">
        <v>-7.1052152360457921E-3</v>
      </c>
    </row>
    <row r="1122" spans="12:29" x14ac:dyDescent="0.2">
      <c r="L1122" s="11">
        <v>45826</v>
      </c>
      <c r="M1122" s="10">
        <v>145.28648376464844</v>
      </c>
      <c r="N1122" s="10">
        <v>108.98768615722656</v>
      </c>
      <c r="O1122" s="10">
        <v>267.5284423828125</v>
      </c>
      <c r="P1122" s="10">
        <v>195.63449096679688</v>
      </c>
      <c r="Q1122" s="10">
        <v>589.1510009765625</v>
      </c>
      <c r="R1122" s="10">
        <v>147.05564880371094</v>
      </c>
      <c r="S1122" s="10">
        <v>152.46324157714844</v>
      </c>
      <c r="V1122" s="11">
        <v>45828</v>
      </c>
      <c r="W1122" s="12">
        <v>2.248441670614576E-2</v>
      </c>
      <c r="X1122" s="12">
        <v>-6.2363040637662959E-3</v>
      </c>
      <c r="Y1122" s="12">
        <v>3.7962112490776967E-3</v>
      </c>
      <c r="Z1122" s="12">
        <v>-1.1204227907487208E-2</v>
      </c>
      <c r="AA1122" s="12">
        <v>6.7080798304135492E-3</v>
      </c>
      <c r="AB1122" s="12">
        <v>-2.3484742531844072E-3</v>
      </c>
      <c r="AC1122" s="12">
        <v>1.3340348502516752E-2</v>
      </c>
    </row>
    <row r="1123" spans="12:29" x14ac:dyDescent="0.2">
      <c r="L1123" s="11">
        <v>45828</v>
      </c>
      <c r="M1123" s="10">
        <v>143.65866088867188</v>
      </c>
      <c r="N1123" s="10">
        <v>110.44161987304688</v>
      </c>
      <c r="O1123" s="10">
        <v>268.54403686523438</v>
      </c>
      <c r="P1123" s="10">
        <v>200.03321838378903</v>
      </c>
      <c r="Q1123" s="10">
        <v>587.76739501953125</v>
      </c>
      <c r="R1123" s="10">
        <v>146.13856506347656</v>
      </c>
      <c r="S1123" s="10">
        <v>153.48597717285156</v>
      </c>
      <c r="V1123" s="11">
        <v>45831</v>
      </c>
      <c r="W1123" s="12">
        <v>2.4876086788869767E-3</v>
      </c>
      <c r="X1123" s="12">
        <v>1.0214321580205521E-2</v>
      </c>
      <c r="Y1123" s="12">
        <v>1.1890926128774959E-2</v>
      </c>
      <c r="Z1123" s="12">
        <v>2.2245792641255591E-3</v>
      </c>
      <c r="AA1123" s="12">
        <v>1.2257953363886243E-2</v>
      </c>
      <c r="AB1123" s="12">
        <v>9.877485739587577E-3</v>
      </c>
      <c r="AC1123" s="12">
        <v>-2.5806511334361959E-2</v>
      </c>
    </row>
    <row r="1124" spans="12:29" x14ac:dyDescent="0.2">
      <c r="L1124" s="11">
        <v>45831</v>
      </c>
      <c r="M1124" s="10">
        <v>143.97824096679688</v>
      </c>
      <c r="N1124" s="10">
        <v>107.5915069580078</v>
      </c>
      <c r="O1124" s="10">
        <v>271.73727416992188</v>
      </c>
      <c r="P1124" s="10">
        <v>200.53082275390625</v>
      </c>
      <c r="Q1124" s="10">
        <v>593.57305908203125</v>
      </c>
      <c r="R1124" s="10">
        <v>147.63127136230469</v>
      </c>
      <c r="S1124" s="10">
        <v>155.36740112304688</v>
      </c>
      <c r="V1124" s="11">
        <v>45832</v>
      </c>
      <c r="W1124" s="12">
        <v>-5.9553394813630645E-3</v>
      </c>
      <c r="X1124" s="12">
        <v>5.749463859161752E-3</v>
      </c>
      <c r="Y1124" s="12">
        <v>1.0744936680500139E-2</v>
      </c>
      <c r="Z1124" s="12">
        <v>2.5872007315151491E-2</v>
      </c>
      <c r="AA1124" s="12">
        <v>-4.1607093506111914E-3</v>
      </c>
      <c r="AB1124" s="12">
        <v>1.1047186039507384E-2</v>
      </c>
      <c r="AC1124" s="12">
        <v>-3.0427732230226767E-2</v>
      </c>
    </row>
    <row r="1125" spans="12:29" x14ac:dyDescent="0.2">
      <c r="L1125" s="11">
        <v>45832</v>
      </c>
      <c r="M1125" s="10">
        <v>147.7032470703125</v>
      </c>
      <c r="N1125" s="10">
        <v>104.31774139404295</v>
      </c>
      <c r="O1125" s="10">
        <v>274.65707397460938</v>
      </c>
      <c r="P1125" s="10">
        <v>199.33659362792969</v>
      </c>
      <c r="Q1125" s="10">
        <v>600.13037109375</v>
      </c>
      <c r="R1125" s="10">
        <v>148.48007202148438</v>
      </c>
      <c r="S1125" s="10">
        <v>154.72096252441406</v>
      </c>
      <c r="V1125" s="11">
        <v>45833</v>
      </c>
      <c r="W1125" s="12">
        <v>6.2904732441126932E-3</v>
      </c>
      <c r="X1125" s="12">
        <v>5.9131889599917109E-4</v>
      </c>
      <c r="Y1125" s="12">
        <v>9.955152037847359E-3</v>
      </c>
      <c r="Z1125" s="12">
        <v>4.3340310003842974E-2</v>
      </c>
      <c r="AA1125" s="12">
        <v>-8.6679284281246938E-3</v>
      </c>
      <c r="AB1125" s="12">
        <v>5.6038442167927194E-4</v>
      </c>
      <c r="AC1125" s="12">
        <v>2.7689333865299481E-4</v>
      </c>
    </row>
    <row r="1126" spans="12:29" x14ac:dyDescent="0.2">
      <c r="L1126" s="11">
        <v>45833</v>
      </c>
      <c r="M1126" s="10">
        <v>154.10475158691406</v>
      </c>
      <c r="N1126" s="10">
        <v>104.34662628173828</v>
      </c>
      <c r="O1126" s="10">
        <v>277.39132690429688</v>
      </c>
      <c r="P1126" s="10">
        <v>200.59051513671875</v>
      </c>
      <c r="Q1126" s="10">
        <v>600.4666748046875</v>
      </c>
      <c r="R1126" s="10">
        <v>148.56787109375</v>
      </c>
      <c r="S1126" s="10">
        <v>153.37985229492188</v>
      </c>
      <c r="V1126" s="11">
        <v>45834</v>
      </c>
      <c r="W1126" s="12">
        <v>-2.7782806806686544E-3</v>
      </c>
      <c r="X1126" s="12">
        <v>-1.7731137454932711E-3</v>
      </c>
      <c r="Y1126" s="12">
        <v>1.6510702004354672E-2</v>
      </c>
      <c r="Z1126" s="12">
        <v>4.6010613096272301E-3</v>
      </c>
      <c r="AA1126" s="12">
        <v>-2.1386997207095693E-3</v>
      </c>
      <c r="AB1126" s="12">
        <v>7.8238097280700636E-3</v>
      </c>
      <c r="AC1126" s="12">
        <v>1.4948832416302071E-2</v>
      </c>
    </row>
    <row r="1127" spans="12:29" x14ac:dyDescent="0.2">
      <c r="L1127" s="11">
        <v>45834</v>
      </c>
      <c r="M1127" s="10">
        <v>154.81379699707031</v>
      </c>
      <c r="N1127" s="10">
        <v>105.90648651123048</v>
      </c>
      <c r="O1127" s="10">
        <v>281.97125244140625</v>
      </c>
      <c r="P1127" s="10">
        <v>200.03321838378903</v>
      </c>
      <c r="Q1127" s="10">
        <v>605.16461181640625</v>
      </c>
      <c r="R1127" s="10">
        <v>148.304443359375</v>
      </c>
      <c r="S1127" s="10">
        <v>153.05181884765625</v>
      </c>
      <c r="V1127" s="11">
        <v>45835</v>
      </c>
      <c r="W1127" s="12">
        <v>3.9795941485265551E-4</v>
      </c>
      <c r="X1127" s="12">
        <v>2.6315735321957856E-3</v>
      </c>
      <c r="Y1127" s="12">
        <v>-5.6797704324651477E-3</v>
      </c>
      <c r="Z1127" s="12">
        <v>1.7610700385979339E-2</v>
      </c>
      <c r="AA1127" s="12">
        <v>7.7537255727686549E-3</v>
      </c>
      <c r="AB1127" s="12">
        <v>4.9683222933454285E-3</v>
      </c>
      <c r="AC1127" s="12">
        <v>-5.5459203429054638E-3</v>
      </c>
    </row>
    <row r="1128" spans="12:29" x14ac:dyDescent="0.2">
      <c r="L1128" s="11">
        <v>45835</v>
      </c>
      <c r="M1128" s="10">
        <v>157.54017639160156</v>
      </c>
      <c r="N1128" s="10">
        <v>105.3191375732422</v>
      </c>
      <c r="O1128" s="10">
        <v>280.36972045898438</v>
      </c>
      <c r="P1128" s="10">
        <v>200.11282348632812</v>
      </c>
      <c r="Q1128" s="10">
        <v>608.1712646484375</v>
      </c>
      <c r="R1128" s="10">
        <v>148.69471740722656</v>
      </c>
      <c r="S1128" s="10">
        <v>154.23854064941406</v>
      </c>
      <c r="V1128" s="11">
        <v>45838</v>
      </c>
      <c r="W1128" s="12">
        <v>2.0340164552558715E-2</v>
      </c>
      <c r="X1128" s="12">
        <v>2.2307151351732557E-3</v>
      </c>
      <c r="Y1128" s="12">
        <v>9.7525294827398579E-3</v>
      </c>
      <c r="Z1128" s="12">
        <v>1.5214217990842105E-3</v>
      </c>
      <c r="AA1128" s="12">
        <v>-3.3778593311137861E-3</v>
      </c>
      <c r="AB1128" s="12">
        <v>4.7812796872990226E-3</v>
      </c>
      <c r="AC1128" s="12">
        <v>-1.4445042482862491E-2</v>
      </c>
    </row>
    <row r="1129" spans="12:29" x14ac:dyDescent="0.2">
      <c r="L1129" s="11">
        <v>45838</v>
      </c>
      <c r="M1129" s="10">
        <v>157.77986145019531</v>
      </c>
      <c r="N1129" s="10">
        <v>103.79779815673828</v>
      </c>
      <c r="O1129" s="10">
        <v>283.10403442382812</v>
      </c>
      <c r="P1129" s="10">
        <v>204.18315124511719</v>
      </c>
      <c r="Q1129" s="10">
        <v>611.0791015625</v>
      </c>
      <c r="R1129" s="10">
        <v>149.02641296386719</v>
      </c>
      <c r="S1129" s="10">
        <v>153.71754455566406</v>
      </c>
      <c r="V1129" s="11">
        <v>45839</v>
      </c>
      <c r="W1129" s="12">
        <v>1.2916188482370305E-2</v>
      </c>
      <c r="X1129" s="12">
        <v>2.0752882657671279E-2</v>
      </c>
      <c r="Y1129" s="12">
        <v>1.7246336083325264E-3</v>
      </c>
      <c r="Z1129" s="12">
        <v>-2.9685420899917325E-2</v>
      </c>
      <c r="AA1129" s="12">
        <v>1.1925710388282384E-2</v>
      </c>
      <c r="AB1129" s="12">
        <v>-3.2371413275378291E-4</v>
      </c>
      <c r="AC1129" s="12">
        <v>1.3357897858762957E-2</v>
      </c>
    </row>
    <row r="1130" spans="12:29" x14ac:dyDescent="0.2">
      <c r="L1130" s="11">
        <v>45839</v>
      </c>
      <c r="M1130" s="10">
        <v>153.09609985351562</v>
      </c>
      <c r="N1130" s="10">
        <v>105.18431854248048</v>
      </c>
      <c r="O1130" s="10">
        <v>283.59228515625</v>
      </c>
      <c r="P1130" s="10">
        <v>206.82041931152344</v>
      </c>
      <c r="Q1130" s="10">
        <v>610.88128662109375</v>
      </c>
      <c r="R1130" s="10">
        <v>152.119140625</v>
      </c>
      <c r="S1130" s="10">
        <v>155.55073547363281</v>
      </c>
      <c r="V1130" s="11">
        <v>45840</v>
      </c>
      <c r="W1130" s="12">
        <v>2.2230849325259872E-2</v>
      </c>
      <c r="X1130" s="12">
        <v>-2.3088929190473451E-3</v>
      </c>
      <c r="Y1130" s="12">
        <v>5.4751272819935082E-3</v>
      </c>
      <c r="Z1130" s="12">
        <v>2.5766382486490436E-2</v>
      </c>
      <c r="AA1130" s="12">
        <v>-1.2409049758133062E-4</v>
      </c>
      <c r="AB1130" s="12">
        <v>4.5332655788041798E-3</v>
      </c>
      <c r="AC1130" s="12">
        <v>1.6569206930234781E-2</v>
      </c>
    </row>
    <row r="1131" spans="12:29" x14ac:dyDescent="0.2">
      <c r="L1131" s="11">
        <v>45840</v>
      </c>
      <c r="M1131" s="10">
        <v>157.04083251953125</v>
      </c>
      <c r="N1131" s="10">
        <v>106.92713928222656</v>
      </c>
      <c r="O1131" s="10">
        <v>285.14498901367188</v>
      </c>
      <c r="P1131" s="10">
        <v>211.418212890625</v>
      </c>
      <c r="Q1131" s="10">
        <v>613.65057373046875</v>
      </c>
      <c r="R1131" s="10">
        <v>151.76791381835938</v>
      </c>
      <c r="S1131" s="10">
        <v>155.53143310546875</v>
      </c>
      <c r="V1131" s="11">
        <v>45841</v>
      </c>
      <c r="W1131" s="12">
        <v>5.2249993937427686E-3</v>
      </c>
      <c r="X1131" s="12">
        <v>2.8926444929764372E-3</v>
      </c>
      <c r="Y1131" s="12">
        <v>1.8582176457953015E-2</v>
      </c>
      <c r="Z1131" s="12">
        <v>1.3290933350226908E-2</v>
      </c>
      <c r="AA1131" s="12">
        <v>-2.2953214136731681E-3</v>
      </c>
      <c r="AB1131" s="12">
        <v>7.8814002435436681E-3</v>
      </c>
      <c r="AC1131" s="12">
        <v>1.035557654236241E-2</v>
      </c>
    </row>
    <row r="1132" spans="12:29" x14ac:dyDescent="0.2">
      <c r="L1132" s="11">
        <v>45841</v>
      </c>
      <c r="M1132" s="10">
        <v>159.1280517578125</v>
      </c>
      <c r="N1132" s="10">
        <v>108.03443145751952</v>
      </c>
      <c r="O1132" s="10">
        <v>290.443603515625</v>
      </c>
      <c r="P1132" s="10">
        <v>212.52287292480469</v>
      </c>
      <c r="Q1132" s="10">
        <v>618.48699951171875</v>
      </c>
      <c r="R1132" s="10">
        <v>152.20692443847656</v>
      </c>
      <c r="S1132" s="10">
        <v>155.1744384765625</v>
      </c>
      <c r="V1132" s="11">
        <v>45845</v>
      </c>
      <c r="W1132" s="12">
        <v>-1.685796256851102E-2</v>
      </c>
      <c r="X1132" s="12">
        <v>-4.7431422031385395E-3</v>
      </c>
      <c r="Y1132" s="12">
        <v>-1.3614953721955203E-2</v>
      </c>
      <c r="Z1132" s="12">
        <v>-6.903408851184123E-3</v>
      </c>
      <c r="AA1132" s="12">
        <v>-2.0518192023373238E-3</v>
      </c>
      <c r="AB1132" s="12">
        <v>-7.4519719210669466E-3</v>
      </c>
      <c r="AC1132" s="12">
        <v>-9.7147028566999527E-3</v>
      </c>
    </row>
    <row r="1133" spans="12:29" x14ac:dyDescent="0.2">
      <c r="L1133" s="11">
        <v>45845</v>
      </c>
      <c r="M1133" s="10">
        <v>158.02952575683594</v>
      </c>
      <c r="N1133" s="10">
        <v>106.9849090576172</v>
      </c>
      <c r="O1133" s="10">
        <v>286.48922729492188</v>
      </c>
      <c r="P1133" s="10">
        <v>208.94017028808591</v>
      </c>
      <c r="Q1133" s="10">
        <v>613.8780517578125</v>
      </c>
      <c r="R1133" s="10">
        <v>151.4849853515625</v>
      </c>
      <c r="S1133" s="10">
        <v>154.85604858398438</v>
      </c>
      <c r="V1133" s="11">
        <v>45846</v>
      </c>
      <c r="W1133" s="12">
        <v>2.8576430046589607E-4</v>
      </c>
      <c r="X1133" s="12">
        <v>3.348905891785936E-3</v>
      </c>
      <c r="Y1133" s="12">
        <v>-3.1475831246466801E-2</v>
      </c>
      <c r="Z1133" s="12">
        <v>1.1122254812210519E-2</v>
      </c>
      <c r="AA1133" s="12">
        <v>-1.6261578145498445E-2</v>
      </c>
      <c r="AB1133" s="12">
        <v>-5.4773529501250806E-4</v>
      </c>
      <c r="AC1133" s="12">
        <v>2.7720287767157181E-2</v>
      </c>
    </row>
    <row r="1134" spans="12:29" x14ac:dyDescent="0.2">
      <c r="L1134" s="11">
        <v>45846</v>
      </c>
      <c r="M1134" s="10">
        <v>159.78717041015625</v>
      </c>
      <c r="N1134" s="10">
        <v>109.9505615234375</v>
      </c>
      <c r="O1134" s="10">
        <v>277.47174072265625</v>
      </c>
      <c r="P1134" s="10">
        <v>208.9998779296875</v>
      </c>
      <c r="Q1134" s="10">
        <v>613.54180908203125</v>
      </c>
      <c r="R1134" s="10">
        <v>151.99229431152344</v>
      </c>
      <c r="S1134" s="10">
        <v>152.33784484863281</v>
      </c>
      <c r="V1134" s="11">
        <v>45847</v>
      </c>
      <c r="W1134" s="12">
        <v>5.3807340226512679E-3</v>
      </c>
      <c r="X1134" s="12">
        <v>3.1452769595561314E-3</v>
      </c>
      <c r="Y1134" s="12">
        <v>1.3439000531665357E-3</v>
      </c>
      <c r="Z1134" s="12">
        <v>1.8000036669871378E-2</v>
      </c>
      <c r="AA1134" s="12">
        <v>-2.3435403595872817E-3</v>
      </c>
      <c r="AB1134" s="12">
        <v>5.9966560783442091E-3</v>
      </c>
      <c r="AC1134" s="12">
        <v>-3.4153422558744762E-3</v>
      </c>
    </row>
    <row r="1135" spans="12:29" x14ac:dyDescent="0.2">
      <c r="L1135" s="11">
        <v>45847</v>
      </c>
      <c r="M1135" s="10">
        <v>162.66334533691406</v>
      </c>
      <c r="N1135" s="10">
        <v>109.57504272460938</v>
      </c>
      <c r="O1135" s="10">
        <v>277.84463500976562</v>
      </c>
      <c r="P1135" s="10">
        <v>210.12445068359375</v>
      </c>
      <c r="Q1135" s="10">
        <v>617.22100830078125</v>
      </c>
      <c r="R1135" s="10">
        <v>152.47035217285156</v>
      </c>
      <c r="S1135" s="10">
        <v>151.9808349609375</v>
      </c>
      <c r="V1135" s="11">
        <v>45848</v>
      </c>
      <c r="W1135" s="12">
        <v>6.0149377853702113E-3</v>
      </c>
      <c r="X1135" s="12">
        <v>9.0223499161403709E-3</v>
      </c>
      <c r="Y1135" s="12">
        <v>1.7763693277095483E-2</v>
      </c>
      <c r="Z1135" s="12">
        <v>7.490217212359207E-3</v>
      </c>
      <c r="AA1135" s="12">
        <v>6.1578985837253963E-3</v>
      </c>
      <c r="AB1135" s="12">
        <v>2.8202582751390981E-3</v>
      </c>
      <c r="AC1135" s="12">
        <v>9.9295930573408686E-3</v>
      </c>
    </row>
    <row r="1136" spans="12:29" x14ac:dyDescent="0.2">
      <c r="L1136" s="11">
        <v>45848</v>
      </c>
      <c r="M1136" s="10">
        <v>163.88172912597656</v>
      </c>
      <c r="N1136" s="10">
        <v>110.66307830810548</v>
      </c>
      <c r="O1136" s="10">
        <v>282.78018188476562</v>
      </c>
      <c r="P1136" s="10">
        <v>211.38833618164065</v>
      </c>
      <c r="Q1136" s="10">
        <v>618.96173095703125</v>
      </c>
      <c r="R1136" s="10">
        <v>153.84599304199219</v>
      </c>
      <c r="S1136" s="10">
        <v>152.91671752929688</v>
      </c>
      <c r="V1136" s="11">
        <v>45849</v>
      </c>
      <c r="W1136" s="12">
        <v>-5.8847749161118346E-3</v>
      </c>
      <c r="X1136" s="12">
        <v>-5.0098929317881069E-3</v>
      </c>
      <c r="Y1136" s="12">
        <v>-4.6150819418785405E-3</v>
      </c>
      <c r="Z1136" s="12">
        <v>4.996949298580855E-3</v>
      </c>
      <c r="AA1136" s="12">
        <v>-9.0856204878486668E-3</v>
      </c>
      <c r="AB1136" s="12">
        <v>-3.5154084840562927E-3</v>
      </c>
      <c r="AC1136" s="12">
        <v>4.3504126314879432E-3</v>
      </c>
    </row>
    <row r="1137" spans="12:29" x14ac:dyDescent="0.2">
      <c r="L1137" s="11">
        <v>45849</v>
      </c>
      <c r="M1137" s="10">
        <v>164.70063781738281</v>
      </c>
      <c r="N1137" s="10">
        <v>111.14450836181641</v>
      </c>
      <c r="O1137" s="10">
        <v>281.47512817382812</v>
      </c>
      <c r="P1137" s="10">
        <v>210.14436340332031</v>
      </c>
      <c r="Q1137" s="10">
        <v>616.78582763671875</v>
      </c>
      <c r="R1137" s="10">
        <v>153.07524108886719</v>
      </c>
      <c r="S1137" s="10">
        <v>151.52737426757812</v>
      </c>
      <c r="V1137" s="11">
        <v>45852</v>
      </c>
      <c r="W1137" s="12">
        <v>-1.2028808262781521E-2</v>
      </c>
      <c r="X1137" s="12">
        <v>-5.0977183972111817E-4</v>
      </c>
      <c r="Y1137" s="12">
        <v>6.4144618614201399E-3</v>
      </c>
      <c r="Z1137" s="12">
        <v>-5.1539672558957861E-3</v>
      </c>
      <c r="AA1137" s="12">
        <v>-2.0948798338210284E-2</v>
      </c>
      <c r="AB1137" s="12">
        <v>1.9080851570825175E-3</v>
      </c>
      <c r="AC1137" s="12">
        <v>-1.3081471475740569E-2</v>
      </c>
    </row>
    <row r="1138" spans="12:29" x14ac:dyDescent="0.2">
      <c r="L1138" s="11">
        <v>45852</v>
      </c>
      <c r="M1138" s="10">
        <v>163.85177612304688</v>
      </c>
      <c r="N1138" s="10">
        <v>109.69057464599609</v>
      </c>
      <c r="O1138" s="10">
        <v>283.2806396484375</v>
      </c>
      <c r="P1138" s="10">
        <v>207.6165771484375</v>
      </c>
      <c r="Q1138" s="10">
        <v>617.96270751953125</v>
      </c>
      <c r="R1138" s="10">
        <v>152.99720764160156</v>
      </c>
      <c r="S1138" s="10">
        <v>148.35305786132812</v>
      </c>
      <c r="V1138" s="11">
        <v>45853</v>
      </c>
      <c r="W1138" s="12">
        <v>2.3487545530178622E-3</v>
      </c>
      <c r="X1138" s="12">
        <v>-1.0521775337656747E-2</v>
      </c>
      <c r="Y1138" s="12">
        <v>-7.4472073376468106E-3</v>
      </c>
      <c r="Z1138" s="12">
        <v>4.0409510355096989E-2</v>
      </c>
      <c r="AA1138" s="12">
        <v>-7.0239381654818578E-3</v>
      </c>
      <c r="AB1138" s="12">
        <v>-4.2731138430656124E-3</v>
      </c>
      <c r="AC1138" s="12">
        <v>-8.8658121798831369E-3</v>
      </c>
    </row>
    <row r="1139" spans="12:29" x14ac:dyDescent="0.2">
      <c r="L1139" s="11">
        <v>45853</v>
      </c>
      <c r="M1139" s="10">
        <v>170.47294616699219</v>
      </c>
      <c r="N1139" s="10">
        <v>108.71807861328124</v>
      </c>
      <c r="O1139" s="10">
        <v>281.17098999023438</v>
      </c>
      <c r="P1139" s="10">
        <v>208.10421752929688</v>
      </c>
      <c r="Q1139" s="10">
        <v>615.32208251953125</v>
      </c>
      <c r="R1139" s="10">
        <v>151.38740539550781</v>
      </c>
      <c r="S1139" s="10">
        <v>147.31103515625</v>
      </c>
      <c r="V1139" s="11">
        <v>45854</v>
      </c>
      <c r="W1139" s="12">
        <v>5.0213670043477432E-3</v>
      </c>
      <c r="X1139" s="12">
        <v>6.1932151199562524E-2</v>
      </c>
      <c r="Y1139" s="12">
        <v>-2.5474821431498151E-3</v>
      </c>
      <c r="Z1139" s="12">
        <v>3.9250401557806569E-3</v>
      </c>
      <c r="AA1139" s="12">
        <v>6.8772311588269908E-3</v>
      </c>
      <c r="AB1139" s="12">
        <v>3.3431741923299896E-3</v>
      </c>
      <c r="AC1139" s="12">
        <v>-6.0225000940355988E-3</v>
      </c>
    </row>
    <row r="1140" spans="12:29" x14ac:dyDescent="0.2">
      <c r="L1140" s="11">
        <v>45854</v>
      </c>
      <c r="M1140" s="10">
        <v>171.14205932617188</v>
      </c>
      <c r="N1140" s="10">
        <v>108.06332397460938</v>
      </c>
      <c r="O1140" s="10">
        <v>280.4547119140625</v>
      </c>
      <c r="P1140" s="10">
        <v>209.14918518066409</v>
      </c>
      <c r="Q1140" s="10">
        <v>617.37921142578125</v>
      </c>
      <c r="R1140" s="10">
        <v>160.76315307617188</v>
      </c>
      <c r="S1140" s="10">
        <v>148.32412719726562</v>
      </c>
      <c r="V1140" s="11">
        <v>45855</v>
      </c>
      <c r="W1140" s="12">
        <v>-6.6616565017618701E-4</v>
      </c>
      <c r="X1140" s="12">
        <v>-1.0923544867230461E-2</v>
      </c>
      <c r="Y1140" s="12">
        <v>1.4274630737523886E-2</v>
      </c>
      <c r="Z1140" s="12">
        <v>9.5116194182471858E-3</v>
      </c>
      <c r="AA1140" s="12">
        <v>1.2294032140090616E-2</v>
      </c>
      <c r="AB1140" s="12">
        <v>6.119736739210957E-3</v>
      </c>
      <c r="AC1140" s="12">
        <v>-5.0788346518332306E-3</v>
      </c>
    </row>
    <row r="1141" spans="12:29" x14ac:dyDescent="0.2">
      <c r="L1141" s="11">
        <v>45855</v>
      </c>
      <c r="M1141" s="10">
        <v>172.7698974609375</v>
      </c>
      <c r="N1141" s="10">
        <v>107.51448822021484</v>
      </c>
      <c r="O1141" s="10">
        <v>284.45809936523438</v>
      </c>
      <c r="P1141" s="10">
        <v>209.0098571777344</v>
      </c>
      <c r="Q1141" s="10">
        <v>621.15740966796875</v>
      </c>
      <c r="R1141" s="10">
        <v>159.00704956054688</v>
      </c>
      <c r="S1141" s="10">
        <v>150.14762878417969</v>
      </c>
      <c r="V1141" s="11">
        <v>45856</v>
      </c>
      <c r="W1141" s="12">
        <v>5.5231291161195184E-3</v>
      </c>
      <c r="X1141" s="12">
        <v>4.4176554211499131E-3</v>
      </c>
      <c r="Y1141" s="12">
        <v>4.7258254182462878E-3</v>
      </c>
      <c r="Z1141" s="12">
        <v>-3.4104213078071099E-3</v>
      </c>
      <c r="AA1141" s="12">
        <v>3.4745670129547879E-3</v>
      </c>
      <c r="AB1141" s="12">
        <v>-7.3243279015333673E-4</v>
      </c>
      <c r="AC1141" s="12">
        <v>-3.4837933403864429E-2</v>
      </c>
    </row>
    <row r="1142" spans="12:29" x14ac:dyDescent="0.2">
      <c r="L1142" s="11">
        <v>45856</v>
      </c>
      <c r="M1142" s="10">
        <v>172.18067932128906</v>
      </c>
      <c r="N1142" s="10">
        <v>103.76890563964844</v>
      </c>
      <c r="O1142" s="10">
        <v>285.80239868164062</v>
      </c>
      <c r="P1142" s="10">
        <v>210.16424560546875</v>
      </c>
      <c r="Q1142" s="10">
        <v>620.70245361328125</v>
      </c>
      <c r="R1142" s="10">
        <v>159.70948791503906</v>
      </c>
      <c r="S1142" s="10">
        <v>150.66932678222656</v>
      </c>
      <c r="V1142" s="11">
        <v>45859</v>
      </c>
      <c r="W1142" s="12">
        <v>6.1559577049083991E-3</v>
      </c>
      <c r="X1142" s="12">
        <v>4.0317306633090855E-3</v>
      </c>
      <c r="Y1142" s="12">
        <v>-1.0300930906455008E-3</v>
      </c>
      <c r="Z1142" s="12">
        <v>-5.9741051803020584E-3</v>
      </c>
      <c r="AA1142" s="12">
        <v>-4.5137536819195301E-4</v>
      </c>
      <c r="AB1142" s="12">
        <v>1.8961434921311859E-3</v>
      </c>
      <c r="AC1142" s="12">
        <v>2.5981534861856392E-3</v>
      </c>
    </row>
    <row r="1143" spans="12:29" x14ac:dyDescent="0.2">
      <c r="L1143" s="11">
        <v>45859</v>
      </c>
      <c r="M1143" s="10">
        <v>171.15205383300781</v>
      </c>
      <c r="N1143" s="10">
        <v>104.03851318359376</v>
      </c>
      <c r="O1143" s="10">
        <v>285.50799560546875</v>
      </c>
      <c r="P1143" s="10">
        <v>211.4580078125</v>
      </c>
      <c r="Q1143" s="10">
        <v>621.87939453125</v>
      </c>
      <c r="R1143" s="10">
        <v>160.3533935546875</v>
      </c>
      <c r="S1143" s="10">
        <v>150.601318359375</v>
      </c>
      <c r="V1143" s="11">
        <v>45860</v>
      </c>
      <c r="W1143" s="12">
        <v>9.0361515334844711E-3</v>
      </c>
      <c r="X1143" s="12">
        <v>2.1720595456050651E-2</v>
      </c>
      <c r="Y1143" s="12">
        <v>1.5810976314960534E-3</v>
      </c>
      <c r="Z1143" s="12">
        <v>-2.5382153858991896E-2</v>
      </c>
      <c r="AA1143" s="12">
        <v>2.1221588099788802E-2</v>
      </c>
      <c r="AB1143" s="12">
        <v>1.4309729281114514E-4</v>
      </c>
      <c r="AC1143" s="12">
        <v>4.5348760125003551E-3</v>
      </c>
    </row>
    <row r="1144" spans="12:29" x14ac:dyDescent="0.2">
      <c r="L1144" s="11">
        <v>45860</v>
      </c>
      <c r="M1144" s="10">
        <v>166.80784606933594</v>
      </c>
      <c r="N1144" s="10">
        <v>104.51031494140624</v>
      </c>
      <c r="O1144" s="10">
        <v>285.95941162109375</v>
      </c>
      <c r="P1144" s="10">
        <v>213.3687744140625</v>
      </c>
      <c r="Q1144" s="10">
        <v>621.9683837890625</v>
      </c>
      <c r="R1144" s="10">
        <v>163.83636474609375</v>
      </c>
      <c r="S1144" s="10">
        <v>153.79731750488281</v>
      </c>
      <c r="V1144" s="11">
        <v>45861</v>
      </c>
      <c r="W1144" s="12">
        <v>-1.166102280600434E-3</v>
      </c>
      <c r="X1144" s="12">
        <v>6.9672856373834691E-3</v>
      </c>
      <c r="Y1144" s="12">
        <v>1.8289027117329493E-2</v>
      </c>
      <c r="Z1144" s="12">
        <v>2.2450953030295873E-2</v>
      </c>
      <c r="AA1144" s="12">
        <v>-2.5269709753517056E-4</v>
      </c>
      <c r="AB1144" s="12">
        <v>8.5075753189542969E-3</v>
      </c>
      <c r="AC1144" s="12">
        <v>1.2806408584492113E-2</v>
      </c>
    </row>
    <row r="1145" spans="12:29" x14ac:dyDescent="0.2">
      <c r="L1145" s="11">
        <v>45861</v>
      </c>
      <c r="M1145" s="10">
        <v>170.55284118652344</v>
      </c>
      <c r="N1145" s="10">
        <v>105.84871673583984</v>
      </c>
      <c r="O1145" s="10">
        <v>291.1893310546875</v>
      </c>
      <c r="P1145" s="10">
        <v>213.11996459960935</v>
      </c>
      <c r="Q1145" s="10">
        <v>627.25982666015625</v>
      </c>
      <c r="R1145" s="10">
        <v>164.97785949707031</v>
      </c>
      <c r="S1145" s="10">
        <v>153.75845336914062</v>
      </c>
      <c r="V1145" s="11">
        <v>45862</v>
      </c>
      <c r="W1145" s="12">
        <v>-1.8211459415494735E-3</v>
      </c>
      <c r="X1145" s="12">
        <v>2.7202210435102181E-3</v>
      </c>
      <c r="Y1145" s="12">
        <v>-7.0763130899631488E-4</v>
      </c>
      <c r="Z1145" s="12">
        <v>1.7332282040708913E-2</v>
      </c>
      <c r="AA1145" s="12">
        <v>3.3485122233298803E-3</v>
      </c>
      <c r="AB1145" s="12">
        <v>3.3102965109055305E-4</v>
      </c>
      <c r="AC1145" s="12">
        <v>7.8231613927342014E-3</v>
      </c>
    </row>
    <row r="1146" spans="12:29" x14ac:dyDescent="0.2">
      <c r="L1146" s="11">
        <v>45862</v>
      </c>
      <c r="M1146" s="10">
        <v>173.5089111328125</v>
      </c>
      <c r="N1146" s="10">
        <v>106.67678833007812</v>
      </c>
      <c r="O1146" s="10">
        <v>290.9832763671875</v>
      </c>
      <c r="P1146" s="10">
        <v>212.7318420410156</v>
      </c>
      <c r="Q1146" s="10">
        <v>627.46746826171875</v>
      </c>
      <c r="R1146" s="10">
        <v>165.4266357421875</v>
      </c>
      <c r="S1146" s="10">
        <v>154.2733154296875</v>
      </c>
      <c r="V1146" s="11">
        <v>45863</v>
      </c>
      <c r="W1146" s="12">
        <v>5.6141356576588919E-4</v>
      </c>
      <c r="X1146" s="12">
        <v>-7.4309591012230447E-3</v>
      </c>
      <c r="Y1146" s="12">
        <v>6.9803270917279114E-3</v>
      </c>
      <c r="Z1146" s="12">
        <v>-1.3813991283150306E-3</v>
      </c>
      <c r="AA1146" s="12">
        <v>-3.2113289450050875E-3</v>
      </c>
      <c r="AB1146" s="12">
        <v>4.224338152491125E-3</v>
      </c>
      <c r="AC1146" s="12">
        <v>-3.5201547094406704E-3</v>
      </c>
    </row>
    <row r="1147" spans="12:29" x14ac:dyDescent="0.2">
      <c r="L1147" s="11">
        <v>45863</v>
      </c>
      <c r="M1147" s="10">
        <v>173.26922607421875</v>
      </c>
      <c r="N1147" s="10">
        <v>106.30126953125</v>
      </c>
      <c r="O1147" s="10">
        <v>293.01443481445312</v>
      </c>
      <c r="P1147" s="10">
        <v>212.85127258300781</v>
      </c>
      <c r="Q1147" s="10">
        <v>630.11810302734375</v>
      </c>
      <c r="R1147" s="10">
        <v>164.19735717773438</v>
      </c>
      <c r="S1147" s="10">
        <v>153.77789306640625</v>
      </c>
      <c r="V1147" s="11">
        <v>45866</v>
      </c>
      <c r="W1147" s="12">
        <v>7.9487170112657601E-4</v>
      </c>
      <c r="X1147" s="12">
        <v>-1.235888877799296E-2</v>
      </c>
      <c r="Y1147" s="12">
        <v>-1.1386766042836838E-3</v>
      </c>
      <c r="Z1147" s="12">
        <v>1.8731927056198527E-2</v>
      </c>
      <c r="AA1147" s="12">
        <v>-7.5173735074898218E-3</v>
      </c>
      <c r="AB1147" s="12">
        <v>-2.5106900474680671E-4</v>
      </c>
      <c r="AC1147" s="12">
        <v>9.4202160033072246E-3</v>
      </c>
    </row>
    <row r="1148" spans="12:29" x14ac:dyDescent="0.2">
      <c r="L1148" s="11">
        <v>45866</v>
      </c>
      <c r="M1148" s="10">
        <v>176.514892578125</v>
      </c>
      <c r="N1148" s="10">
        <v>107.30265045166016</v>
      </c>
      <c r="O1148" s="10">
        <v>292.6807861328125</v>
      </c>
      <c r="P1148" s="10">
        <v>213.02046203613281</v>
      </c>
      <c r="Q1148" s="10">
        <v>629.95989990234375</v>
      </c>
      <c r="R1148" s="10">
        <v>162.16806030273438</v>
      </c>
      <c r="S1148" s="10">
        <v>152.62188720703125</v>
      </c>
      <c r="V1148" s="11">
        <v>45867</v>
      </c>
      <c r="W1148" s="12">
        <v>-1.2987635336218717E-2</v>
      </c>
      <c r="X1148" s="12">
        <v>1.1370507250481499E-2</v>
      </c>
      <c r="Y1148" s="12">
        <v>-4.1571069230130764E-3</v>
      </c>
      <c r="Z1148" s="12">
        <v>-7.0155980940657114E-3</v>
      </c>
      <c r="AA1148" s="12">
        <v>-3.1824909410183011E-3</v>
      </c>
      <c r="AB1148" s="12">
        <v>-2.6377585766392819E-3</v>
      </c>
      <c r="AC1148" s="12">
        <v>1.29217989312429E-2</v>
      </c>
    </row>
    <row r="1149" spans="12:29" x14ac:dyDescent="0.2">
      <c r="L1149" s="11">
        <v>45867</v>
      </c>
      <c r="M1149" s="10">
        <v>175.27653503417969</v>
      </c>
      <c r="N1149" s="10">
        <v>108.68919372558594</v>
      </c>
      <c r="O1149" s="10">
        <v>291.46408081054688</v>
      </c>
      <c r="P1149" s="10">
        <v>210.25382995605469</v>
      </c>
      <c r="Q1149" s="10">
        <v>628.2982177734375</v>
      </c>
      <c r="R1149" s="10">
        <v>164.01199340820312</v>
      </c>
      <c r="S1149" s="10">
        <v>152.13616943359375</v>
      </c>
      <c r="V1149" s="11">
        <v>45868</v>
      </c>
      <c r="W1149" s="12">
        <v>-1.0507943315991919E-2</v>
      </c>
      <c r="X1149" s="12">
        <v>-5.0564301324161898E-3</v>
      </c>
      <c r="Y1149" s="12">
        <v>8.7193654493207262E-3</v>
      </c>
      <c r="Z1149" s="12">
        <v>2.1423404683743374E-2</v>
      </c>
      <c r="AA1149" s="12">
        <v>-2.3817108167017653E-2</v>
      </c>
      <c r="AB1149" s="12">
        <v>-1.2591754567060631E-3</v>
      </c>
      <c r="AC1149" s="12">
        <v>-8.6818085779205578E-3</v>
      </c>
    </row>
    <row r="1150" spans="12:29" x14ac:dyDescent="0.2">
      <c r="L1150" s="11">
        <v>45868</v>
      </c>
      <c r="M1150" s="10">
        <v>179.03155517578125</v>
      </c>
      <c r="N1150" s="10">
        <v>107.74557495117188</v>
      </c>
      <c r="O1150" s="10">
        <v>294.00546264648438</v>
      </c>
      <c r="P1150" s="10">
        <v>208.04449462890625</v>
      </c>
      <c r="Q1150" s="10">
        <v>627.507080078125</v>
      </c>
      <c r="R1150" s="10">
        <v>163.18267822265625</v>
      </c>
      <c r="S1150" s="10">
        <v>148.51272583007812</v>
      </c>
      <c r="V1150" s="11">
        <v>45869</v>
      </c>
      <c r="W1150" s="12">
        <v>-7.0795907177169104E-3</v>
      </c>
      <c r="X1150" s="12">
        <v>-1.5066193893218283E-2</v>
      </c>
      <c r="Y1150" s="12">
        <v>-1.1314026168440794E-2</v>
      </c>
      <c r="Z1150" s="12">
        <v>-7.8095036466339085E-3</v>
      </c>
      <c r="AA1150" s="12">
        <v>-1.5764009399019563E-2</v>
      </c>
      <c r="AB1150" s="12">
        <v>-3.7511637886928906E-3</v>
      </c>
      <c r="AC1150" s="12">
        <v>-2.3235381338110317E-3</v>
      </c>
    </row>
    <row r="1151" spans="12:29" x14ac:dyDescent="0.2">
      <c r="L1151" s="11">
        <v>45869</v>
      </c>
      <c r="M1151" s="10">
        <v>177.63340759277344</v>
      </c>
      <c r="N1151" s="10">
        <v>107.49522399902344</v>
      </c>
      <c r="O1151" s="10">
        <v>290.6790771484375</v>
      </c>
      <c r="P1151" s="10">
        <v>206.57162475585935</v>
      </c>
      <c r="Q1151" s="10">
        <v>625.1531982421875</v>
      </c>
      <c r="R1151" s="10">
        <v>160.72413635253906</v>
      </c>
      <c r="S1151" s="10">
        <v>146.17156982421875</v>
      </c>
      <c r="V1151" s="11">
        <v>45870</v>
      </c>
      <c r="W1151" s="12">
        <v>-2.5003623167530353E-2</v>
      </c>
      <c r="X1151" s="12">
        <v>1.5721692622491235E-2</v>
      </c>
      <c r="Y1151" s="12">
        <v>-2.3190619353001818E-2</v>
      </c>
      <c r="Z1151" s="12">
        <v>-2.3331592131278556E-2</v>
      </c>
      <c r="AA1151" s="12">
        <v>1.1963046087999363E-3</v>
      </c>
      <c r="AB1151" s="12">
        <v>-1.6390611285710288E-2</v>
      </c>
      <c r="AC1151" s="12">
        <v>-1.7914685242619188E-2</v>
      </c>
    </row>
    <row r="1152" spans="12:29" x14ac:dyDescent="0.2">
      <c r="L1152" s="11">
        <v>45870</v>
      </c>
      <c r="M1152" s="10">
        <v>173.48893737792969</v>
      </c>
      <c r="N1152" s="10">
        <v>105.56948089599609</v>
      </c>
      <c r="O1152" s="10">
        <v>283.93804931640625</v>
      </c>
      <c r="P1152" s="10">
        <v>201.40658569335935</v>
      </c>
      <c r="Q1152" s="10">
        <v>614.90655517578125</v>
      </c>
      <c r="R1152" s="10">
        <v>163.25099182128906</v>
      </c>
      <c r="S1152" s="10">
        <v>146.346435546875</v>
      </c>
      <c r="V1152" s="11">
        <v>45873</v>
      </c>
      <c r="W1152" s="12">
        <v>4.7929516700100372E-3</v>
      </c>
      <c r="X1152" s="12">
        <v>2.2171703656581832E-2</v>
      </c>
      <c r="Y1152" s="12">
        <v>1.6898819249443475E-2</v>
      </c>
      <c r="Z1152" s="12">
        <v>3.6150156410362122E-2</v>
      </c>
      <c r="AA1152" s="12">
        <v>7.3006247549778358E-4</v>
      </c>
      <c r="AB1152" s="12">
        <v>1.5199864928028717E-2</v>
      </c>
      <c r="AC1152" s="12">
        <v>-2.0704111950948456E-2</v>
      </c>
    </row>
    <row r="1153" spans="12:29" x14ac:dyDescent="0.2">
      <c r="L1153" s="11">
        <v>45873</v>
      </c>
      <c r="M1153" s="10">
        <v>179.76058959960938</v>
      </c>
      <c r="N1153" s="10">
        <v>103.38375854492188</v>
      </c>
      <c r="O1153" s="10">
        <v>288.73626708984375</v>
      </c>
      <c r="P1153" s="10">
        <v>202.37191772460935</v>
      </c>
      <c r="Q1153" s="10">
        <v>624.2530517578125</v>
      </c>
      <c r="R1153" s="10">
        <v>166.87054443359375</v>
      </c>
      <c r="S1153" s="10">
        <v>146.45327758789062</v>
      </c>
      <c r="V1153" s="11">
        <v>45874</v>
      </c>
      <c r="W1153" s="12">
        <v>-2.114510181452145E-3</v>
      </c>
      <c r="X1153" s="12">
        <v>-1.7538360362646666E-3</v>
      </c>
      <c r="Y1153" s="12">
        <v>-9.821367231387601E-3</v>
      </c>
      <c r="Z1153" s="12">
        <v>-9.6667540971361321E-3</v>
      </c>
      <c r="AA1153" s="12">
        <v>-1.6582687032934418E-3</v>
      </c>
      <c r="AB1153" s="12">
        <v>-5.0700241167128679E-3</v>
      </c>
      <c r="AC1153" s="12">
        <v>-1.210784729013592E-3</v>
      </c>
    </row>
    <row r="1154" spans="12:29" x14ac:dyDescent="0.2">
      <c r="L1154" s="11">
        <v>45874</v>
      </c>
      <c r="M1154" s="10">
        <v>178.02288818359375</v>
      </c>
      <c r="N1154" s="10">
        <v>103.25858306884766</v>
      </c>
      <c r="O1154" s="10">
        <v>285.90048217773438</v>
      </c>
      <c r="P1154" s="10">
        <v>201.94400024414065</v>
      </c>
      <c r="Q1154" s="10">
        <v>621.08807373046875</v>
      </c>
      <c r="R1154" s="10">
        <v>166.577880859375</v>
      </c>
      <c r="S1154" s="10">
        <v>146.21041870117188</v>
      </c>
      <c r="V1154" s="11">
        <v>45875</v>
      </c>
      <c r="W1154" s="12">
        <v>5.0906706525817524E-2</v>
      </c>
      <c r="X1154" s="12">
        <v>-8.7864189370412404E-4</v>
      </c>
      <c r="Y1154" s="12">
        <v>-6.8635080937573534E-5</v>
      </c>
      <c r="Z1154" s="12">
        <v>6.507379675917635E-3</v>
      </c>
      <c r="AA1154" s="12">
        <v>1.561357563927368E-2</v>
      </c>
      <c r="AB1154" s="12">
        <v>7.6597594691067972E-3</v>
      </c>
      <c r="AC1154" s="12">
        <v>-6.8070708301398719E-3</v>
      </c>
    </row>
    <row r="1155" spans="12:29" x14ac:dyDescent="0.2">
      <c r="L1155" s="11">
        <v>45875</v>
      </c>
      <c r="M1155" s="10">
        <v>179.18135070800781</v>
      </c>
      <c r="N1155" s="10">
        <v>102.55569458007812</v>
      </c>
      <c r="O1155" s="10">
        <v>285.880859375</v>
      </c>
      <c r="P1155" s="10">
        <v>212.22430419921875</v>
      </c>
      <c r="Q1155" s="10">
        <v>625.845458984375</v>
      </c>
      <c r="R1155" s="10">
        <v>166.4315185546875</v>
      </c>
      <c r="S1155" s="10">
        <v>148.4932861328125</v>
      </c>
      <c r="V1155" s="11">
        <v>45876</v>
      </c>
      <c r="W1155" s="12">
        <v>3.1793604006576714E-2</v>
      </c>
      <c r="X1155" s="12">
        <v>5.5102768285626436E-3</v>
      </c>
      <c r="Y1155" s="12">
        <v>-1.5136301760594661E-2</v>
      </c>
      <c r="Z1155" s="12">
        <v>7.5243367675710271E-3</v>
      </c>
      <c r="AA1155" s="12">
        <v>4.1214979238888283E-3</v>
      </c>
      <c r="AB1155" s="12">
        <v>-8.3763643165513102E-4</v>
      </c>
      <c r="AC1155" s="12">
        <v>-5.2579269136404649E-3</v>
      </c>
    </row>
    <row r="1156" spans="12:29" x14ac:dyDescent="0.2">
      <c r="L1156" s="11">
        <v>45876</v>
      </c>
      <c r="M1156" s="10">
        <v>180.52957153320312</v>
      </c>
      <c r="N1156" s="10">
        <v>102.01646423339844</v>
      </c>
      <c r="O1156" s="10">
        <v>281.55368041992188</v>
      </c>
      <c r="P1156" s="10">
        <v>218.9716796875</v>
      </c>
      <c r="Q1156" s="10">
        <v>625.32122802734375</v>
      </c>
      <c r="R1156" s="10">
        <v>167.34860229492188</v>
      </c>
      <c r="S1156" s="10">
        <v>149.10530090332031</v>
      </c>
      <c r="V1156" s="11">
        <v>45877</v>
      </c>
      <c r="W1156" s="12">
        <v>4.2357953658569203E-2</v>
      </c>
      <c r="X1156" s="12">
        <v>1.0493867347085795E-2</v>
      </c>
      <c r="Y1156" s="12">
        <v>6.3428691524591851E-3</v>
      </c>
      <c r="Z1156" s="12">
        <v>1.067652896336857E-2</v>
      </c>
      <c r="AA1156" s="12">
        <v>1.3027329249126751E-4</v>
      </c>
      <c r="AB1156" s="12">
        <v>7.7975548309496823E-3</v>
      </c>
      <c r="AC1156" s="12">
        <v>8.0228085072266975E-3</v>
      </c>
    </row>
    <row r="1157" spans="12:29" x14ac:dyDescent="0.2">
      <c r="L1157" s="11">
        <v>45877</v>
      </c>
      <c r="M1157" s="10">
        <v>182.45700073242188</v>
      </c>
      <c r="N1157" s="10">
        <v>102.83492279052734</v>
      </c>
      <c r="O1157" s="10">
        <v>283.33953857421875</v>
      </c>
      <c r="P1157" s="10">
        <v>228.24687194824219</v>
      </c>
      <c r="Q1157" s="10">
        <v>630.19720458984375</v>
      </c>
      <c r="R1157" s="10">
        <v>169.104736328125</v>
      </c>
      <c r="S1157" s="10">
        <v>149.12472534179688</v>
      </c>
      <c r="V1157" s="11">
        <v>45880</v>
      </c>
      <c r="W1157" s="12">
        <v>-8.3373962714028416E-3</v>
      </c>
      <c r="X1157" s="12">
        <v>2.826992736622902E-3</v>
      </c>
      <c r="Y1157" s="12">
        <v>2.7703250697130866E-3</v>
      </c>
      <c r="Z1157" s="12">
        <v>-3.5031564284915273E-3</v>
      </c>
      <c r="AA1157" s="12">
        <v>9.5759373901953548E-3</v>
      </c>
      <c r="AB1157" s="12">
        <v>-1.9774044951013092E-3</v>
      </c>
      <c r="AC1157" s="12">
        <v>-9.0824992382468883E-3</v>
      </c>
    </row>
    <row r="1158" spans="12:29" x14ac:dyDescent="0.2">
      <c r="L1158" s="11">
        <v>45880</v>
      </c>
      <c r="M1158" s="10">
        <v>181.81782531738281</v>
      </c>
      <c r="N1158" s="10">
        <v>101.9009246826172</v>
      </c>
      <c r="O1158" s="10">
        <v>284.12448120117188</v>
      </c>
      <c r="P1158" s="10">
        <v>226.34388732910156</v>
      </c>
      <c r="Q1158" s="10">
        <v>628.9510498046875</v>
      </c>
      <c r="R1158" s="10">
        <v>169.58279418945312</v>
      </c>
      <c r="S1158" s="10">
        <v>150.552734375</v>
      </c>
      <c r="V1158" s="11">
        <v>45881</v>
      </c>
      <c r="W1158" s="12">
        <v>1.0872425190982637E-2</v>
      </c>
      <c r="X1158" s="12">
        <v>-5.9832938898005672E-3</v>
      </c>
      <c r="Y1158" s="12">
        <v>1.1362172913530921E-2</v>
      </c>
      <c r="Z1158" s="12">
        <v>6.0420726990713103E-3</v>
      </c>
      <c r="AA1158" s="12">
        <v>7.0966523098481282E-4</v>
      </c>
      <c r="AB1158" s="12">
        <v>1.0646077812391797E-2</v>
      </c>
      <c r="AC1158" s="12">
        <v>2.8346799329577177E-3</v>
      </c>
    </row>
    <row r="1159" spans="12:29" x14ac:dyDescent="0.2">
      <c r="L1159" s="11">
        <v>45881</v>
      </c>
      <c r="M1159" s="10">
        <v>182.9163818359375</v>
      </c>
      <c r="N1159" s="10">
        <v>102.18978118896484</v>
      </c>
      <c r="O1159" s="10">
        <v>287.35275268554688</v>
      </c>
      <c r="P1159" s="10">
        <v>228.80479431152344</v>
      </c>
      <c r="Q1159" s="10">
        <v>635.64691162109375</v>
      </c>
      <c r="R1159" s="10">
        <v>168.56813049316406</v>
      </c>
      <c r="S1159" s="10">
        <v>150.65957641601562</v>
      </c>
      <c r="V1159" s="11">
        <v>45882</v>
      </c>
      <c r="W1159" s="12">
        <v>1.6024393810956772E-2</v>
      </c>
      <c r="X1159" s="12">
        <v>9.4919283758601036E-3</v>
      </c>
      <c r="Y1159" s="12">
        <v>-7.9221748146103277E-3</v>
      </c>
      <c r="Z1159" s="12">
        <v>-8.5717684462154331E-3</v>
      </c>
      <c r="AA1159" s="12">
        <v>2.0634769840381928E-3</v>
      </c>
      <c r="AB1159" s="12">
        <v>3.4230360367946133E-3</v>
      </c>
      <c r="AC1159" s="12">
        <v>1.3851050218008476E-2</v>
      </c>
    </row>
    <row r="1160" spans="12:29" x14ac:dyDescent="0.2">
      <c r="L1160" s="11">
        <v>45882</v>
      </c>
      <c r="M1160" s="10">
        <v>181.34846496582031</v>
      </c>
      <c r="N1160" s="10">
        <v>103.60521697998048</v>
      </c>
      <c r="O1160" s="10">
        <v>285.0762939453125</v>
      </c>
      <c r="P1160" s="10">
        <v>232.47125244140625</v>
      </c>
      <c r="Q1160" s="10">
        <v>637.82275390625</v>
      </c>
      <c r="R1160" s="10">
        <v>170.16816711425781</v>
      </c>
      <c r="S1160" s="10">
        <v>150.970458984375</v>
      </c>
      <c r="V1160" s="11">
        <v>45883</v>
      </c>
      <c r="W1160" s="12">
        <v>-2.3571672929779686E-3</v>
      </c>
      <c r="X1160" s="12">
        <v>1.7200284680762845E-3</v>
      </c>
      <c r="Y1160" s="12">
        <v>1.2494406608017261E-2</v>
      </c>
      <c r="Z1160" s="12">
        <v>2.3678879326483049E-3</v>
      </c>
      <c r="AA1160" s="12">
        <v>-1.07457044673539E-2</v>
      </c>
      <c r="AB1160" s="12">
        <v>9.3013570794830969E-5</v>
      </c>
      <c r="AC1160" s="12">
        <v>-2.0446631427415429E-3</v>
      </c>
    </row>
    <row r="1161" spans="12:29" x14ac:dyDescent="0.2">
      <c r="L1161" s="11">
        <v>45883</v>
      </c>
      <c r="M1161" s="10">
        <v>181.77787780761719</v>
      </c>
      <c r="N1161" s="10">
        <v>103.39337921142578</v>
      </c>
      <c r="O1161" s="10">
        <v>288.63815307617188</v>
      </c>
      <c r="P1161" s="10">
        <v>231.92327880859375</v>
      </c>
      <c r="Q1161" s="10">
        <v>637.882080078125</v>
      </c>
      <c r="R1161" s="10">
        <v>170.46086120605469</v>
      </c>
      <c r="S1161" s="10">
        <v>149.34817504882812</v>
      </c>
      <c r="V1161" s="11">
        <v>45884</v>
      </c>
      <c r="W1161" s="12">
        <v>-5.1122010426254416E-3</v>
      </c>
      <c r="X1161" s="12">
        <v>1.0988940164025296E-2</v>
      </c>
      <c r="Y1161" s="12">
        <v>-1.2476296759548311E-2</v>
      </c>
      <c r="Z1161" s="12">
        <v>-8.6253708660166684E-3</v>
      </c>
      <c r="AA1161" s="12">
        <v>4.0326197765723215E-3</v>
      </c>
      <c r="AB1161" s="12">
        <v>-2.3411979263346927E-3</v>
      </c>
      <c r="AC1161" s="12">
        <v>9.3993666016412014E-4</v>
      </c>
    </row>
    <row r="1162" spans="12:29" x14ac:dyDescent="0.2">
      <c r="L1162" s="11">
        <v>45884</v>
      </c>
      <c r="M1162" s="10">
        <v>180.20997619628903</v>
      </c>
      <c r="N1162" s="10">
        <v>103.49056243896484</v>
      </c>
      <c r="O1162" s="10">
        <v>285.03701782226562</v>
      </c>
      <c r="P1162" s="10">
        <v>230.73764038085935</v>
      </c>
      <c r="Q1162" s="10">
        <v>636.388671875</v>
      </c>
      <c r="R1162" s="10">
        <v>172.33404541015625</v>
      </c>
      <c r="S1162" s="10">
        <v>149.950439453125</v>
      </c>
      <c r="V1162" s="11">
        <v>45887</v>
      </c>
      <c r="W1162" s="12">
        <v>-3.0225593524291217E-3</v>
      </c>
      <c r="X1162" s="12">
        <v>-2.207881577647175E-3</v>
      </c>
      <c r="Y1162" s="12">
        <v>3.5801570712412634E-3</v>
      </c>
      <c r="Z1162" s="12">
        <v>8.6449548319973424E-3</v>
      </c>
      <c r="AA1162" s="12">
        <v>8.8106910323559884E-3</v>
      </c>
      <c r="AB1162" s="12">
        <v>-2.1771255650937515E-4</v>
      </c>
      <c r="AC1162" s="12">
        <v>2.159868452820346E-3</v>
      </c>
    </row>
    <row r="1163" spans="12:29" x14ac:dyDescent="0.2">
      <c r="L1163" s="11">
        <v>45887</v>
      </c>
      <c r="M1163" s="10">
        <v>181.76788330078125</v>
      </c>
      <c r="N1163" s="10">
        <v>103.71408843994141</v>
      </c>
      <c r="O1163" s="10">
        <v>286.0574951171875</v>
      </c>
      <c r="P1163" s="10">
        <v>230.04022216796875</v>
      </c>
      <c r="Q1163" s="10">
        <v>636.2501220703125</v>
      </c>
      <c r="R1163" s="10">
        <v>171.95355224609375</v>
      </c>
      <c r="S1163" s="10">
        <v>151.2716064453125</v>
      </c>
      <c r="V1163" s="11">
        <v>45888</v>
      </c>
      <c r="W1163" s="12">
        <v>-1.4292332220477988E-3</v>
      </c>
      <c r="X1163" s="12">
        <v>8.7943649333561691E-3</v>
      </c>
      <c r="Y1163" s="12">
        <v>-2.9841472776750422E-3</v>
      </c>
      <c r="Z1163" s="12">
        <v>-3.4997993677144845E-2</v>
      </c>
      <c r="AA1163" s="12">
        <v>1.7210262609373528E-2</v>
      </c>
      <c r="AB1163" s="12">
        <v>-5.4251010281531897E-3</v>
      </c>
      <c r="AC1163" s="12">
        <v>6.5591374673543701E-3</v>
      </c>
    </row>
    <row r="1164" spans="12:29" x14ac:dyDescent="0.2">
      <c r="L1164" s="11">
        <v>45888</v>
      </c>
      <c r="M1164" s="10">
        <v>175.4063720703125</v>
      </c>
      <c r="N1164" s="10">
        <v>104.39436340332033</v>
      </c>
      <c r="O1164" s="10">
        <v>285.203857421875</v>
      </c>
      <c r="P1164" s="10">
        <v>229.71144104003903</v>
      </c>
      <c r="Q1164" s="10">
        <v>632.79840087890625</v>
      </c>
      <c r="R1164" s="10">
        <v>173.46577453613281</v>
      </c>
      <c r="S1164" s="10">
        <v>153.87503051757812</v>
      </c>
      <c r="V1164" s="11">
        <v>45889</v>
      </c>
      <c r="W1164" s="12">
        <v>-1.9734470438448559E-2</v>
      </c>
      <c r="X1164" s="12">
        <v>5.8491836872385239E-3</v>
      </c>
      <c r="Y1164" s="12">
        <v>5.4357363282671045E-3</v>
      </c>
      <c r="Z1164" s="12">
        <v>-1.3664558234958157E-3</v>
      </c>
      <c r="AA1164" s="12">
        <v>7.0076873540931839E-3</v>
      </c>
      <c r="AB1164" s="12">
        <v>-2.6570808049446448E-3</v>
      </c>
      <c r="AC1164" s="12">
        <v>1.0333345075244749E-2</v>
      </c>
    </row>
    <row r="1165" spans="12:29" x14ac:dyDescent="0.2">
      <c r="L1165" s="11">
        <v>45889</v>
      </c>
      <c r="M1165" s="10">
        <v>175.16668701171875</v>
      </c>
      <c r="N1165" s="10">
        <v>105.47310638427734</v>
      </c>
      <c r="O1165" s="10">
        <v>286.754150390625</v>
      </c>
      <c r="P1165" s="10">
        <v>225.17820739746097</v>
      </c>
      <c r="Q1165" s="10">
        <v>631.11700439453125</v>
      </c>
      <c r="R1165" s="10">
        <v>174.48040771484375</v>
      </c>
      <c r="S1165" s="10">
        <v>154.95333862304688</v>
      </c>
      <c r="V1165" s="11">
        <v>45890</v>
      </c>
      <c r="W1165" s="12">
        <v>-4.911339007685922E-3</v>
      </c>
      <c r="X1165" s="12">
        <v>5.0320304391493487E-4</v>
      </c>
      <c r="Y1165" s="12">
        <v>-2.6347436666964708E-3</v>
      </c>
      <c r="Z1165" s="12">
        <v>-2.3945697649176978E-3</v>
      </c>
      <c r="AA1165" s="12">
        <v>-4.8901912767889133E-3</v>
      </c>
      <c r="AB1165" s="12">
        <v>-4.0118098056124429E-3</v>
      </c>
      <c r="AC1165" s="12">
        <v>6.4498927308487275E-3</v>
      </c>
    </row>
    <row r="1166" spans="12:29" x14ac:dyDescent="0.2">
      <c r="L1166" s="11">
        <v>45890</v>
      </c>
      <c r="M1166" s="10">
        <v>174.74723815917969</v>
      </c>
      <c r="N1166" s="10">
        <v>106.15339660644533</v>
      </c>
      <c r="O1166" s="10">
        <v>285.99862670898438</v>
      </c>
      <c r="P1166" s="10">
        <v>224.07228088378903</v>
      </c>
      <c r="Q1166" s="10">
        <v>628.5850830078125</v>
      </c>
      <c r="R1166" s="10">
        <v>174.56820678710938</v>
      </c>
      <c r="S1166" s="10">
        <v>154.19558715820312</v>
      </c>
      <c r="V1166" s="11">
        <v>45891</v>
      </c>
      <c r="W1166" s="12">
        <v>1.2716821971234138E-2</v>
      </c>
      <c r="X1166" s="12">
        <v>2.01197464936409E-3</v>
      </c>
      <c r="Y1166" s="12">
        <v>1.6365289908247371E-2</v>
      </c>
      <c r="Z1166" s="12">
        <v>1.7202144384917073E-2</v>
      </c>
      <c r="AA1166" s="12">
        <v>-3.7791817848786824E-4</v>
      </c>
      <c r="AB1166" s="12">
        <v>1.5356930140372649E-2</v>
      </c>
      <c r="AC1166" s="12">
        <v>1.8767710014375494E-2</v>
      </c>
    </row>
    <row r="1167" spans="12:29" x14ac:dyDescent="0.2">
      <c r="L1167" s="11">
        <v>45891</v>
      </c>
      <c r="M1167" s="10">
        <v>177.75326538085938</v>
      </c>
      <c r="N1167" s="10">
        <v>108.14565277099609</v>
      </c>
      <c r="O1167" s="10">
        <v>290.6790771484375</v>
      </c>
      <c r="P1167" s="10">
        <v>226.92176818847656</v>
      </c>
      <c r="Q1167" s="10">
        <v>638.23822021484375</v>
      </c>
      <c r="R1167" s="10">
        <v>174.91943359375</v>
      </c>
      <c r="S1167" s="10">
        <v>154.13731384277344</v>
      </c>
      <c r="V1167" s="11">
        <v>45894</v>
      </c>
      <c r="W1167" s="12">
        <v>-2.6343597790277062E-3</v>
      </c>
      <c r="X1167" s="12">
        <v>-4.9081782907868243E-3</v>
      </c>
      <c r="Y1167" s="12">
        <v>-4.5232678899213008E-3</v>
      </c>
      <c r="Z1167" s="12">
        <v>1.0225218164484184E-2</v>
      </c>
      <c r="AA1167" s="12">
        <v>-1.5881930117012777E-2</v>
      </c>
      <c r="AB1167" s="12">
        <v>-4.4012108756948942E-3</v>
      </c>
      <c r="AC1167" s="12">
        <v>4.1336543051868624E-3</v>
      </c>
    </row>
    <row r="1168" spans="12:29" x14ac:dyDescent="0.2">
      <c r="L1168" s="11">
        <v>45894</v>
      </c>
      <c r="M1168" s="10">
        <v>179.57083129882812</v>
      </c>
      <c r="N1168" s="10">
        <v>108.59268951416016</v>
      </c>
      <c r="O1168" s="10">
        <v>289.3642578125</v>
      </c>
      <c r="P1168" s="10">
        <v>226.323974609375</v>
      </c>
      <c r="Q1168" s="10">
        <v>635.42919921875</v>
      </c>
      <c r="R1168" s="10">
        <v>174.06089782714844</v>
      </c>
      <c r="S1168" s="10">
        <v>151.68931579589844</v>
      </c>
      <c r="V1168" s="11">
        <v>45895</v>
      </c>
      <c r="W1168" s="12">
        <v>9.4646384178169729E-3</v>
      </c>
      <c r="X1168" s="12">
        <v>-3.5005792366349375E-3</v>
      </c>
      <c r="Y1168" s="12">
        <v>1.2444778930103428E-2</v>
      </c>
      <c r="Z1168" s="12">
        <v>1.0900419888796531E-2</v>
      </c>
      <c r="AA1168" s="12">
        <v>-1.1527886571229828E-3</v>
      </c>
      <c r="AB1168" s="12">
        <v>4.1870652141338116E-3</v>
      </c>
      <c r="AC1168" s="12">
        <v>-2.2373335620901047E-3</v>
      </c>
    </row>
    <row r="1169" spans="12:29" x14ac:dyDescent="0.2">
      <c r="L1169" s="11">
        <v>45895</v>
      </c>
      <c r="M1169" s="10">
        <v>181.5282287597656</v>
      </c>
      <c r="N1169" s="10">
        <v>108.3497314453125</v>
      </c>
      <c r="O1169" s="10">
        <v>292.96533203125</v>
      </c>
      <c r="P1169" s="10">
        <v>228.46604919433591</v>
      </c>
      <c r="Q1169" s="10">
        <v>638.08978271484375</v>
      </c>
      <c r="R1169" s="10">
        <v>173.45158386230469</v>
      </c>
      <c r="S1169" s="10">
        <v>151.51445007324219</v>
      </c>
      <c r="V1169" s="11">
        <v>45896</v>
      </c>
      <c r="W1169" s="12">
        <v>5.1459481293718579E-3</v>
      </c>
      <c r="X1169" s="12">
        <v>1.6997845490973607E-3</v>
      </c>
      <c r="Y1169" s="12">
        <v>2.3780485772333382E-3</v>
      </c>
      <c r="Z1169" s="12">
        <v>-9.3522251756239516E-4</v>
      </c>
      <c r="AA1169" s="12">
        <v>6.3474537020484778E-3</v>
      </c>
      <c r="AB1169" s="12">
        <v>2.2784527526664711E-3</v>
      </c>
      <c r="AC1169" s="12">
        <v>1.1301601169894981E-2</v>
      </c>
    </row>
    <row r="1170" spans="12:29" x14ac:dyDescent="0.2">
      <c r="L1170" s="11">
        <v>45896</v>
      </c>
      <c r="M1170" s="10">
        <v>181.35845947265625</v>
      </c>
      <c r="N1170" s="10">
        <v>109.57425689697266</v>
      </c>
      <c r="O1170" s="10">
        <v>293.66201782226562</v>
      </c>
      <c r="P1170" s="10">
        <v>229.6417236328125</v>
      </c>
      <c r="Q1170" s="10">
        <v>639.54364013671875</v>
      </c>
      <c r="R1170" s="10">
        <v>173.74641418457031</v>
      </c>
      <c r="S1170" s="10">
        <v>152.47618103027344</v>
      </c>
      <c r="V1170" s="11">
        <v>45897</v>
      </c>
      <c r="W1170" s="12">
        <v>8.9807837977915472E-3</v>
      </c>
      <c r="X1170" s="12">
        <v>-7.5796689894169766E-3</v>
      </c>
      <c r="Y1170" s="12">
        <v>5.9810550388210704E-3</v>
      </c>
      <c r="Z1170" s="12">
        <v>-7.8744635904498539E-3</v>
      </c>
      <c r="AA1170" s="12">
        <v>-8.3462102605317279E-3</v>
      </c>
      <c r="AB1170" s="12">
        <v>3.5414199062957508E-3</v>
      </c>
      <c r="AC1170" s="12">
        <v>5.3213603537693999E-3</v>
      </c>
    </row>
    <row r="1171" spans="12:29" x14ac:dyDescent="0.2">
      <c r="L1171" s="11">
        <v>45897</v>
      </c>
      <c r="M1171" s="10">
        <v>179.93035888671875</v>
      </c>
      <c r="N1171" s="10">
        <v>110.15734100341795</v>
      </c>
      <c r="O1171" s="10">
        <v>295.41842651367188</v>
      </c>
      <c r="P1171" s="10">
        <v>231.70408630371097</v>
      </c>
      <c r="Q1171" s="10">
        <v>641.80853271484375</v>
      </c>
      <c r="R1171" s="10">
        <v>172.42947387695312</v>
      </c>
      <c r="S1171" s="10">
        <v>151.20358276367188</v>
      </c>
      <c r="V1171" s="11">
        <v>45898</v>
      </c>
      <c r="W1171" s="12">
        <v>-1.8059976322623017E-3</v>
      </c>
      <c r="X1171" s="12">
        <v>9.8033350860833313E-3</v>
      </c>
      <c r="Y1171" s="12">
        <v>1.1625707586078171E-3</v>
      </c>
      <c r="Z1171" s="12">
        <v>-3.3246505487318556E-2</v>
      </c>
      <c r="AA1171" s="12">
        <v>8.9303176275810081E-3</v>
      </c>
      <c r="AB1171" s="12">
        <v>-5.963734491660877E-3</v>
      </c>
      <c r="AC1171" s="12">
        <v>8.2930112823713653E-3</v>
      </c>
    </row>
    <row r="1172" spans="12:29" x14ac:dyDescent="0.2">
      <c r="L1172" s="11">
        <v>45898</v>
      </c>
      <c r="M1172" s="10">
        <v>173.94830322265625</v>
      </c>
      <c r="N1172" s="10">
        <v>111.07087707519533</v>
      </c>
      <c r="O1172" s="10">
        <v>295.76187133789062</v>
      </c>
      <c r="P1172" s="10">
        <v>231.28562927246097</v>
      </c>
      <c r="Q1172" s="10">
        <v>637.98095703125</v>
      </c>
      <c r="R1172" s="10">
        <v>174.11985778808594</v>
      </c>
      <c r="S1172" s="10">
        <v>152.55387878417969</v>
      </c>
      <c r="V1172" s="11">
        <v>45902</v>
      </c>
      <c r="W1172" s="12">
        <v>-1.0424650182236261E-2</v>
      </c>
      <c r="X1172" s="12">
        <v>5.0234337228451942E-3</v>
      </c>
      <c r="Y1172" s="12">
        <v>-5.7063258878247147E-3</v>
      </c>
      <c r="Z1172" s="12">
        <v>-1.9519949164359285E-2</v>
      </c>
      <c r="AA1172" s="12">
        <v>6.0494484220532385E-3</v>
      </c>
      <c r="AB1172" s="12">
        <v>-7.4102526816088865E-3</v>
      </c>
      <c r="AC1172" s="12">
        <v>3.4997948246915378E-3</v>
      </c>
    </row>
    <row r="1173" spans="12:29" x14ac:dyDescent="0.2">
      <c r="L1173" s="11">
        <v>45902</v>
      </c>
      <c r="M1173" s="10">
        <v>170.55284118652344</v>
      </c>
      <c r="N1173" s="10">
        <v>111.45960235595705</v>
      </c>
      <c r="O1173" s="10">
        <v>294.07415771484375</v>
      </c>
      <c r="P1173" s="10">
        <v>228.87455749511719</v>
      </c>
      <c r="Q1173" s="10">
        <v>633.25335693359375</v>
      </c>
      <c r="R1173" s="10">
        <v>174.99453735351562</v>
      </c>
      <c r="S1173" s="10">
        <v>153.47674560546875</v>
      </c>
      <c r="V1173" s="11">
        <v>45903</v>
      </c>
      <c r="W1173" s="12">
        <v>3.8089811255997974E-2</v>
      </c>
      <c r="X1173" s="12">
        <v>-3.3692457964207279E-4</v>
      </c>
      <c r="Y1173" s="12">
        <v>-6.3396214823607799E-4</v>
      </c>
      <c r="Z1173" s="12">
        <v>-9.3680515177518853E-4</v>
      </c>
      <c r="AA1173" s="12">
        <v>1.1393629827529672E-3</v>
      </c>
      <c r="AB1173" s="12">
        <v>5.4195461630077713E-3</v>
      </c>
      <c r="AC1173" s="12">
        <v>-2.423919174949174E-2</v>
      </c>
    </row>
    <row r="1174" spans="12:29" x14ac:dyDescent="0.2">
      <c r="L1174" s="11">
        <v>45903</v>
      </c>
      <c r="M1174" s="10">
        <v>170.39306640625</v>
      </c>
      <c r="N1174" s="10">
        <v>108.75791168212891</v>
      </c>
      <c r="O1174" s="10">
        <v>293.88772583007812</v>
      </c>
      <c r="P1174" s="10">
        <v>237.59234619140625</v>
      </c>
      <c r="Q1174" s="10">
        <v>636.685302734375</v>
      </c>
      <c r="R1174" s="10">
        <v>174.93557739257812</v>
      </c>
      <c r="S1174" s="10">
        <v>153.651611328125</v>
      </c>
      <c r="V1174" s="11">
        <v>45904</v>
      </c>
      <c r="W1174" s="12">
        <v>5.493341019489506E-3</v>
      </c>
      <c r="X1174" s="12">
        <v>4.2696730747524558E-3</v>
      </c>
      <c r="Y1174" s="12">
        <v>1.439017382246699E-2</v>
      </c>
      <c r="Z1174" s="12">
        <v>6.0954357886893185E-3</v>
      </c>
      <c r="AA1174" s="12">
        <v>6.4487445122560771E-3</v>
      </c>
      <c r="AB1174" s="12">
        <v>8.3574175483911439E-3</v>
      </c>
      <c r="AC1174" s="12">
        <v>4.3784277603613475E-3</v>
      </c>
    </row>
    <row r="1175" spans="12:29" x14ac:dyDescent="0.2">
      <c r="L1175" s="11">
        <v>45904</v>
      </c>
      <c r="M1175" s="10">
        <v>171.43168640136719</v>
      </c>
      <c r="N1175" s="10">
        <v>109.23410034179688</v>
      </c>
      <c r="O1175" s="10">
        <v>298.1168212890625</v>
      </c>
      <c r="P1175" s="10">
        <v>238.89752197265625</v>
      </c>
      <c r="Q1175" s="10">
        <v>642.00634765625</v>
      </c>
      <c r="R1175" s="10">
        <v>175.6824951171875</v>
      </c>
      <c r="S1175" s="10">
        <v>154.64247131347656</v>
      </c>
      <c r="V1175" s="11">
        <v>45905</v>
      </c>
      <c r="W1175" s="12">
        <v>-3.7537393682385289E-4</v>
      </c>
      <c r="X1175" s="12">
        <v>-1.846089226516856E-3</v>
      </c>
      <c r="Y1175" s="12">
        <v>-3.1071099385670098E-2</v>
      </c>
      <c r="Z1175" s="12">
        <v>-2.7030123061550726E-2</v>
      </c>
      <c r="AA1175" s="12">
        <v>5.2138954195650733E-3</v>
      </c>
      <c r="AB1175" s="12">
        <v>-2.8961941058495144E-3</v>
      </c>
      <c r="AC1175" s="12">
        <v>-2.820276567218416E-2</v>
      </c>
    </row>
    <row r="1176" spans="12:29" x14ac:dyDescent="0.2">
      <c r="L1176" s="11">
        <v>45905</v>
      </c>
      <c r="M1176" s="10">
        <v>166.79786682128906</v>
      </c>
      <c r="N1176" s="10">
        <v>106.15339660644533</v>
      </c>
      <c r="O1176" s="10">
        <v>288.85400390625</v>
      </c>
      <c r="P1176" s="10">
        <v>238.80784606933591</v>
      </c>
      <c r="Q1176" s="10">
        <v>640.14697265625</v>
      </c>
      <c r="R1176" s="10">
        <v>175.35816955566406</v>
      </c>
      <c r="S1176" s="10">
        <v>155.44876098632812</v>
      </c>
      <c r="V1176" s="11">
        <v>45908</v>
      </c>
      <c r="W1176" s="12">
        <v>-7.5513828270525885E-3</v>
      </c>
      <c r="X1176" s="12">
        <v>-1.6813036028643369E-3</v>
      </c>
      <c r="Y1176" s="12">
        <v>-4.9935722218559242E-3</v>
      </c>
      <c r="Z1176" s="12">
        <v>7.7234428037378233E-3</v>
      </c>
      <c r="AA1176" s="12">
        <v>-6.311760796820387E-3</v>
      </c>
      <c r="AB1176" s="12">
        <v>2.4565777359784047E-3</v>
      </c>
      <c r="AC1176" s="12">
        <v>5.6760447839392381E-3</v>
      </c>
    </row>
    <row r="1177" spans="12:29" x14ac:dyDescent="0.2">
      <c r="L1177" s="11">
        <v>45908</v>
      </c>
      <c r="M1177" s="10">
        <v>168.08612060546875</v>
      </c>
      <c r="N1177" s="10">
        <v>106.75592803955078</v>
      </c>
      <c r="O1177" s="10">
        <v>287.41159057617188</v>
      </c>
      <c r="P1177" s="10">
        <v>237.0045166015625</v>
      </c>
      <c r="Q1177" s="10">
        <v>641.71954345703125</v>
      </c>
      <c r="R1177" s="10">
        <v>175.06333923339844</v>
      </c>
      <c r="S1177" s="10">
        <v>154.46760559082031</v>
      </c>
      <c r="V1177" s="11">
        <v>45909</v>
      </c>
      <c r="W1177" s="12">
        <v>-1.4839372436636689E-2</v>
      </c>
      <c r="X1177" s="12">
        <v>-6.5681444991789739E-3</v>
      </c>
      <c r="Y1177" s="12">
        <v>1.686543172084054E-2</v>
      </c>
      <c r="Z1177" s="12">
        <v>1.4556416428491259E-2</v>
      </c>
      <c r="AA1177" s="12">
        <v>2.8300370565046418E-3</v>
      </c>
      <c r="AB1177" s="12">
        <v>2.3118846201510834E-3</v>
      </c>
      <c r="AC1177" s="12">
        <v>7.2826477610168361E-3</v>
      </c>
    </row>
    <row r="1178" spans="12:29" x14ac:dyDescent="0.2">
      <c r="L1178" s="11">
        <v>45909</v>
      </c>
      <c r="M1178" s="10">
        <v>170.53285217285156</v>
      </c>
      <c r="N1178" s="10">
        <v>107.53339385986328</v>
      </c>
      <c r="O1178" s="10">
        <v>292.2589111328125</v>
      </c>
      <c r="P1178" s="10">
        <v>233.48751831054688</v>
      </c>
      <c r="Q1178" s="10">
        <v>643.203125</v>
      </c>
      <c r="R1178" s="10">
        <v>173.91349792480469</v>
      </c>
      <c r="S1178" s="10">
        <v>154.90475463867188</v>
      </c>
      <c r="V1178" s="11">
        <v>45910</v>
      </c>
      <c r="W1178" s="12">
        <v>-3.2259523333079354E-2</v>
      </c>
      <c r="X1178" s="12">
        <v>-6.6117457235496113E-3</v>
      </c>
      <c r="Y1178" s="12">
        <v>9.0312569830652834E-3</v>
      </c>
      <c r="Z1178" s="12">
        <v>3.8475163074294327E-2</v>
      </c>
      <c r="AA1178" s="12">
        <v>-1.3232185147162512E-2</v>
      </c>
      <c r="AB1178" s="12">
        <v>2.8909001882666541E-3</v>
      </c>
      <c r="AC1178" s="12">
        <v>1.6719432674190626E-2</v>
      </c>
    </row>
    <row r="1179" spans="12:29" x14ac:dyDescent="0.2">
      <c r="L1179" s="11">
        <v>45910</v>
      </c>
      <c r="M1179" s="10">
        <v>177.09413146972656</v>
      </c>
      <c r="N1179" s="10">
        <v>109.33129119873048</v>
      </c>
      <c r="O1179" s="10">
        <v>294.89837646484375</v>
      </c>
      <c r="P1179" s="10">
        <v>225.955322265625</v>
      </c>
      <c r="Q1179" s="10">
        <v>645.06256103515625</v>
      </c>
      <c r="R1179" s="10">
        <v>172.76362609863281</v>
      </c>
      <c r="S1179" s="10">
        <v>152.85502624511719</v>
      </c>
      <c r="V1179" s="11">
        <v>45911</v>
      </c>
      <c r="W1179" s="12">
        <v>1.4286401163462914E-2</v>
      </c>
      <c r="X1179" s="12">
        <v>1.5416211478350039E-2</v>
      </c>
      <c r="Y1179" s="12">
        <v>1.6703317627749792E-2</v>
      </c>
      <c r="Z1179" s="12">
        <v>-8.4585260382930016E-4</v>
      </c>
      <c r="AA1179" s="12">
        <v>8.1348583035678601E-3</v>
      </c>
      <c r="AB1179" s="12">
        <v>8.3101950522792567E-3</v>
      </c>
      <c r="AC1179" s="12">
        <v>-3.2000790494473019E-3</v>
      </c>
    </row>
    <row r="1180" spans="12:29" x14ac:dyDescent="0.2">
      <c r="L1180" s="11">
        <v>45911</v>
      </c>
      <c r="M1180" s="10">
        <v>176.9443359375</v>
      </c>
      <c r="N1180" s="10">
        <v>108.98142242431641</v>
      </c>
      <c r="O1180" s="10">
        <v>299.82415771484375</v>
      </c>
      <c r="P1180" s="10">
        <v>229.18341064453125</v>
      </c>
      <c r="Q1180" s="10">
        <v>650.42315673828125</v>
      </c>
      <c r="R1180" s="10">
        <v>175.42698669433594</v>
      </c>
      <c r="S1180" s="10">
        <v>154.09848022460938</v>
      </c>
      <c r="V1180" s="11">
        <v>45912</v>
      </c>
      <c r="W1180" s="12">
        <v>1.7562925755691072E-2</v>
      </c>
      <c r="X1180" s="12">
        <v>-2.4651243743576412E-3</v>
      </c>
      <c r="Y1180" s="12">
        <v>4.4180762690697595E-3</v>
      </c>
      <c r="Z1180" s="12">
        <v>3.6686942232229125E-3</v>
      </c>
      <c r="AA1180" s="12">
        <v>-4.6019416975823235E-3</v>
      </c>
      <c r="AB1180" s="12">
        <v>-3.3463040934611499E-4</v>
      </c>
      <c r="AC1180" s="12">
        <v>1.7844625466922892E-4</v>
      </c>
    </row>
    <row r="1181" spans="12:29" x14ac:dyDescent="0.2">
      <c r="L1181" s="11">
        <v>45912</v>
      </c>
      <c r="M1181" s="10">
        <v>177.59349060058594</v>
      </c>
      <c r="N1181" s="10">
        <v>109.00086975097656</v>
      </c>
      <c r="O1181" s="10">
        <v>301.1488037109375</v>
      </c>
      <c r="P1181" s="10">
        <v>233.20854187011719</v>
      </c>
      <c r="Q1181" s="10">
        <v>650.20550537109375</v>
      </c>
      <c r="R1181" s="10">
        <v>174.99453735351562</v>
      </c>
      <c r="S1181" s="10">
        <v>153.38932800292969</v>
      </c>
      <c r="V1181" s="11">
        <v>45915</v>
      </c>
      <c r="W1181" s="12">
        <v>1.1235933001189746E-2</v>
      </c>
      <c r="X1181" s="12">
        <v>-3.706606355074249E-3</v>
      </c>
      <c r="Y1181" s="12">
        <v>6.483858401928444E-3</v>
      </c>
      <c r="Z1181" s="12">
        <v>-3.935983940567267E-4</v>
      </c>
      <c r="AA1181" s="12">
        <v>-6.7765077483533664E-3</v>
      </c>
      <c r="AB1181" s="12">
        <v>5.3238689277832485E-3</v>
      </c>
      <c r="AC1181" s="12">
        <v>1.6939220528477961E-3</v>
      </c>
    </row>
    <row r="1182" spans="12:29" x14ac:dyDescent="0.2">
      <c r="L1182" s="11">
        <v>45915</v>
      </c>
      <c r="M1182" s="10">
        <v>177.52359008789062</v>
      </c>
      <c r="N1182" s="10">
        <v>109.18550872802734</v>
      </c>
      <c r="O1182" s="10">
        <v>303.10140991210938</v>
      </c>
      <c r="P1182" s="10">
        <v>235.828857421875</v>
      </c>
      <c r="Q1182" s="10">
        <v>653.6671142578125</v>
      </c>
      <c r="R1182" s="10">
        <v>174.34590148925781</v>
      </c>
      <c r="S1182" s="10">
        <v>152.34988403320312</v>
      </c>
      <c r="V1182" s="11">
        <v>45916</v>
      </c>
      <c r="W1182" s="12">
        <v>6.1258029618356247E-3</v>
      </c>
      <c r="X1182" s="12">
        <v>-5.2986482591836914E-3</v>
      </c>
      <c r="Y1182" s="12">
        <v>9.3888186167845333E-4</v>
      </c>
      <c r="Z1182" s="12">
        <v>-1.6146295065249894E-2</v>
      </c>
      <c r="AA1182" s="12">
        <v>7.7792340492699452E-3</v>
      </c>
      <c r="AB1182" s="12">
        <v>-1.3767915798059693E-3</v>
      </c>
      <c r="AC1182" s="12">
        <v>2.0738775737513482E-2</v>
      </c>
    </row>
    <row r="1183" spans="12:29" x14ac:dyDescent="0.2">
      <c r="L1183" s="11">
        <v>45916</v>
      </c>
      <c r="M1183" s="10">
        <v>174.65724182128906</v>
      </c>
      <c r="N1183" s="10">
        <v>111.44988250732422</v>
      </c>
      <c r="O1183" s="10">
        <v>303.385986328125</v>
      </c>
      <c r="P1183" s="10">
        <v>237.27349853515625</v>
      </c>
      <c r="Q1183" s="10">
        <v>652.76715087890625</v>
      </c>
      <c r="R1183" s="10">
        <v>173.42210388183594</v>
      </c>
      <c r="S1183" s="10">
        <v>153.53504943847656</v>
      </c>
      <c r="V1183" s="11">
        <v>45917</v>
      </c>
      <c r="W1183" s="12">
        <v>3.5273411706118196E-3</v>
      </c>
      <c r="X1183" s="12">
        <v>4.1935204868885911E-3</v>
      </c>
      <c r="Y1183" s="12">
        <v>8.2797591313534813E-3</v>
      </c>
      <c r="Z1183" s="12">
        <v>-2.6246649910796838E-2</v>
      </c>
      <c r="AA1183" s="12">
        <v>1.4425755010920804E-2</v>
      </c>
      <c r="AB1183" s="12">
        <v>-1.2423635595047999E-3</v>
      </c>
      <c r="AC1183" s="12">
        <v>5.3191551263254144E-3</v>
      </c>
    </row>
    <row r="1184" spans="12:29" x14ac:dyDescent="0.2">
      <c r="L1184" s="11">
        <v>45917</v>
      </c>
      <c r="M1184" s="10">
        <v>170.07307434082031</v>
      </c>
      <c r="N1184" s="10">
        <v>112.04270172119141</v>
      </c>
      <c r="O1184" s="10">
        <v>305.89794921875</v>
      </c>
      <c r="P1184" s="10">
        <v>238.1104431152344</v>
      </c>
      <c r="Q1184" s="10">
        <v>651.9561767578125</v>
      </c>
      <c r="R1184" s="10">
        <v>174.14935302734375</v>
      </c>
      <c r="S1184" s="10">
        <v>155.74990844726562</v>
      </c>
      <c r="V1184" s="11">
        <v>45918</v>
      </c>
      <c r="W1184" s="12">
        <v>-4.6445947485667105E-3</v>
      </c>
      <c r="X1184" s="12">
        <v>-1.7155796714148019E-2</v>
      </c>
      <c r="Y1184" s="12">
        <v>4.7474655974102387E-3</v>
      </c>
      <c r="Z1184" s="12">
        <v>3.494053288969079E-2</v>
      </c>
      <c r="AA1184" s="12">
        <v>-1.8773660933930514E-2</v>
      </c>
      <c r="AB1184" s="12">
        <v>4.6724054804268E-3</v>
      </c>
      <c r="AC1184" s="12">
        <v>-1.1796336576201938E-2</v>
      </c>
    </row>
    <row r="1185" spans="12:29" x14ac:dyDescent="0.2">
      <c r="L1185" s="11">
        <v>45918</v>
      </c>
      <c r="M1185" s="10">
        <v>176.01551818847656</v>
      </c>
      <c r="N1185" s="10">
        <v>110.72100830078124</v>
      </c>
      <c r="O1185" s="10">
        <v>307.35018920898438</v>
      </c>
      <c r="P1185" s="10">
        <v>237.0045166015625</v>
      </c>
      <c r="Q1185" s="10">
        <v>655.00238037109375</v>
      </c>
      <c r="R1185" s="10">
        <v>171.16168212890625</v>
      </c>
      <c r="S1185" s="10">
        <v>152.82591247558594</v>
      </c>
      <c r="V1185" s="11">
        <v>45919</v>
      </c>
      <c r="W1185" s="12">
        <v>3.2032931573425349E-2</v>
      </c>
      <c r="X1185" s="12">
        <v>1.165606335669378E-2</v>
      </c>
      <c r="Y1185" s="12">
        <v>4.948342564394359E-3</v>
      </c>
      <c r="Z1185" s="12">
        <v>2.4397172760990404E-3</v>
      </c>
      <c r="AA1185" s="12">
        <v>-8.1365078613869768E-3</v>
      </c>
      <c r="AB1185" s="12">
        <v>4.9528684508932663E-3</v>
      </c>
      <c r="AC1185" s="12">
        <v>-9.7427555865234883E-3</v>
      </c>
    </row>
    <row r="1186" spans="12:29" x14ac:dyDescent="0.2">
      <c r="L1186" s="11">
        <v>45919</v>
      </c>
      <c r="M1186" s="10">
        <v>176.4449462890625</v>
      </c>
      <c r="N1186" s="10">
        <v>109.64228057861328</v>
      </c>
      <c r="O1186" s="10">
        <v>308.87106323242188</v>
      </c>
      <c r="P1186" s="10">
        <v>244.59646606445312</v>
      </c>
      <c r="Q1186" s="10">
        <v>658.24652099609375</v>
      </c>
      <c r="R1186" s="10">
        <v>173.15675354003906</v>
      </c>
      <c r="S1186" s="10">
        <v>151.58244323730469</v>
      </c>
      <c r="V1186" s="11">
        <v>45922</v>
      </c>
      <c r="W1186" s="12">
        <v>4.3095660015793014E-2</v>
      </c>
      <c r="X1186" s="12">
        <v>-1.1237838276538792E-2</v>
      </c>
      <c r="Y1186" s="12">
        <v>-7.4337865092949373E-3</v>
      </c>
      <c r="Z1186" s="12">
        <v>3.9282324307458483E-2</v>
      </c>
      <c r="AA1186" s="12">
        <v>-1.9033517557239921E-2</v>
      </c>
      <c r="AB1186" s="12">
        <v>4.7310493531074194E-3</v>
      </c>
      <c r="AC1186" s="12">
        <v>-7.0910003477134831E-3</v>
      </c>
    </row>
    <row r="1187" spans="12:29" x14ac:dyDescent="0.2">
      <c r="L1187" s="11">
        <v>45922</v>
      </c>
      <c r="M1187" s="10">
        <v>183.37611389160156</v>
      </c>
      <c r="N1187" s="10">
        <v>108.86480712890624</v>
      </c>
      <c r="O1187" s="10">
        <v>306.57498168945312</v>
      </c>
      <c r="P1187" s="10">
        <v>255.13751220703125</v>
      </c>
      <c r="Q1187" s="10">
        <v>661.3607177734375</v>
      </c>
      <c r="R1187" s="10">
        <v>171.21084594726562</v>
      </c>
      <c r="S1187" s="10">
        <v>148.69729614257812</v>
      </c>
      <c r="V1187" s="11">
        <v>45923</v>
      </c>
      <c r="W1187" s="12">
        <v>-6.4432141923312924E-3</v>
      </c>
      <c r="X1187" s="12">
        <v>1.3604148986932296E-2</v>
      </c>
      <c r="Y1187" s="12">
        <v>9.6019759006926719E-4</v>
      </c>
      <c r="Z1187" s="12">
        <v>-2.8211967028401452E-2</v>
      </c>
      <c r="AA1187" s="12">
        <v>-3.7237458371071064E-3</v>
      </c>
      <c r="AB1187" s="12">
        <v>-5.4434706499808527E-3</v>
      </c>
      <c r="AC1187" s="12">
        <v>1.7229013573919927E-2</v>
      </c>
    </row>
    <row r="1188" spans="12:29" x14ac:dyDescent="0.2">
      <c r="L1188" s="11">
        <v>45923</v>
      </c>
      <c r="M1188" s="10">
        <v>178.20271301269531</v>
      </c>
      <c r="N1188" s="10">
        <v>110.74044036865234</v>
      </c>
      <c r="O1188" s="10">
        <v>306.86935424804688</v>
      </c>
      <c r="P1188" s="10">
        <v>253.49360656738281</v>
      </c>
      <c r="Q1188" s="10">
        <v>657.7606201171875</v>
      </c>
      <c r="R1188" s="10">
        <v>173.54002380371094</v>
      </c>
      <c r="S1188" s="10">
        <v>148.14358520507812</v>
      </c>
      <c r="V1188" s="11">
        <v>45924</v>
      </c>
      <c r="W1188" s="12">
        <v>-8.3324118638241629E-3</v>
      </c>
      <c r="X1188" s="12">
        <v>6.2296015719165432E-4</v>
      </c>
      <c r="Y1188" s="12">
        <v>2.1744329841544285E-3</v>
      </c>
      <c r="Z1188" s="12">
        <v>-8.1825080940135519E-3</v>
      </c>
      <c r="AA1188" s="12">
        <v>-5.2457899265589969E-4</v>
      </c>
      <c r="AB1188" s="12">
        <v>-3.1816642308674092E-3</v>
      </c>
      <c r="AC1188" s="12">
        <v>5.3532315014612752E-3</v>
      </c>
    </row>
    <row r="1189" spans="12:29" x14ac:dyDescent="0.2">
      <c r="L1189" s="11">
        <v>45924</v>
      </c>
      <c r="M1189" s="10">
        <v>176.74456787109375</v>
      </c>
      <c r="N1189" s="10">
        <v>111.33325958251952</v>
      </c>
      <c r="O1189" s="10">
        <v>307.53662109375</v>
      </c>
      <c r="P1189" s="10">
        <v>251.38139343261719</v>
      </c>
      <c r="Q1189" s="10">
        <v>655.6678466796875</v>
      </c>
      <c r="R1189" s="10">
        <v>173.64813232421875</v>
      </c>
      <c r="S1189" s="10">
        <v>148.06587219238281</v>
      </c>
      <c r="V1189" s="11">
        <v>45925</v>
      </c>
      <c r="W1189" s="12">
        <v>1.8072987935134455E-2</v>
      </c>
      <c r="X1189" s="12">
        <v>5.8860104792497481E-3</v>
      </c>
      <c r="Y1189" s="12">
        <v>9.575920677629135E-5</v>
      </c>
      <c r="Z1189" s="12">
        <v>4.068588702951903E-3</v>
      </c>
      <c r="AA1189" s="12">
        <v>-1.771396212454146E-3</v>
      </c>
      <c r="AB1189" s="12">
        <v>-4.6134675645117529E-3</v>
      </c>
      <c r="AC1189" s="12">
        <v>8.9908819309527654E-3</v>
      </c>
    </row>
    <row r="1190" spans="12:29" x14ac:dyDescent="0.2">
      <c r="L1190" s="11">
        <v>45925</v>
      </c>
      <c r="M1190" s="10">
        <v>177.46366882324219</v>
      </c>
      <c r="N1190" s="10">
        <v>112.33424377441406</v>
      </c>
      <c r="O1190" s="10">
        <v>307.56607055664062</v>
      </c>
      <c r="P1190" s="10">
        <v>255.92460632324219</v>
      </c>
      <c r="Q1190" s="10">
        <v>652.6429443359375</v>
      </c>
      <c r="R1190" s="10">
        <v>174.67022705078125</v>
      </c>
      <c r="S1190" s="10">
        <v>147.8035888671875</v>
      </c>
      <c r="V1190" s="11">
        <v>45926</v>
      </c>
      <c r="W1190" s="12">
        <v>-5.4891182025097462E-3</v>
      </c>
      <c r="X1190" s="12">
        <v>1.114055259684732E-2</v>
      </c>
      <c r="Y1190" s="12">
        <v>8.3264828232865185E-3</v>
      </c>
      <c r="Z1190" s="12">
        <v>2.8138668279011902E-3</v>
      </c>
      <c r="AA1190" s="12">
        <v>2.3003253202202867E-3</v>
      </c>
      <c r="AB1190" s="12">
        <v>5.7291276025910332E-3</v>
      </c>
      <c r="AC1190" s="12">
        <v>1.4101655583306449E-2</v>
      </c>
    </row>
    <row r="1191" spans="12:29" x14ac:dyDescent="0.2">
      <c r="L1191" s="11">
        <v>45926</v>
      </c>
      <c r="M1191" s="10">
        <v>177.96302795410156</v>
      </c>
      <c r="N1191" s="10">
        <v>113.91834259033205</v>
      </c>
      <c r="O1191" s="10">
        <v>310.12701416015625</v>
      </c>
      <c r="P1191" s="10">
        <v>254.51980590820312</v>
      </c>
      <c r="Q1191" s="10">
        <v>656.38201904296875</v>
      </c>
      <c r="R1191" s="10">
        <v>176.61614990234375</v>
      </c>
      <c r="S1191" s="10">
        <v>148.14358520507812</v>
      </c>
      <c r="V1191" s="11">
        <v>45929</v>
      </c>
      <c r="W1191" s="12">
        <v>-4.031903675073667E-3</v>
      </c>
      <c r="X1191" s="12">
        <v>1.062825213162899E-2</v>
      </c>
      <c r="Y1191" s="12">
        <v>-1.1705094210510136E-3</v>
      </c>
      <c r="Z1191" s="12">
        <v>2.0539938960737691E-2</v>
      </c>
      <c r="AA1191" s="12">
        <v>6.754121905442334E-3</v>
      </c>
      <c r="AB1191" s="12">
        <v>2.8103535347194786E-3</v>
      </c>
      <c r="AC1191" s="12">
        <v>-2.559286555507978E-2</v>
      </c>
    </row>
    <row r="1192" spans="12:29" x14ac:dyDescent="0.2">
      <c r="L1192" s="11">
        <v>45929</v>
      </c>
      <c r="M1192" s="10">
        <v>181.61837768554688</v>
      </c>
      <c r="N1192" s="10">
        <v>111.00284576416016</v>
      </c>
      <c r="O1192" s="10">
        <v>309.76400756835938</v>
      </c>
      <c r="P1192" s="10">
        <v>253.49360656738281</v>
      </c>
      <c r="Q1192" s="10">
        <v>658.2266845703125</v>
      </c>
      <c r="R1192" s="10">
        <v>178.49327087402344</v>
      </c>
      <c r="S1192" s="10">
        <v>149.1441650390625</v>
      </c>
      <c r="V1192" s="11">
        <v>45930</v>
      </c>
      <c r="W1192" s="12">
        <v>7.8601298974056988E-4</v>
      </c>
      <c r="X1192" s="12">
        <v>2.0922768382084289E-2</v>
      </c>
      <c r="Y1192" s="12">
        <v>-8.2371568183825516E-4</v>
      </c>
      <c r="Z1192" s="12">
        <v>2.6010326197546618E-2</v>
      </c>
      <c r="AA1192" s="12">
        <v>7.8164069245989509E-4</v>
      </c>
      <c r="AB1192" s="12">
        <v>3.7668347553583281E-3</v>
      </c>
      <c r="AC1192" s="12">
        <v>-1.2869840023946089E-2</v>
      </c>
    </row>
    <row r="1193" spans="12:29" x14ac:dyDescent="0.2">
      <c r="L1193" s="11">
        <v>45930</v>
      </c>
      <c r="M1193" s="10">
        <v>186.34233093261719</v>
      </c>
      <c r="N1193" s="10">
        <v>109.57425689697266</v>
      </c>
      <c r="O1193" s="10">
        <v>309.50885009765625</v>
      </c>
      <c r="P1193" s="10">
        <v>253.69285583496097</v>
      </c>
      <c r="Q1193" s="10">
        <v>660.70611572265625</v>
      </c>
      <c r="R1193" s="10">
        <v>182.22784423828125</v>
      </c>
      <c r="S1193" s="10">
        <v>149.2607421875</v>
      </c>
      <c r="V1193" s="11">
        <v>45931</v>
      </c>
      <c r="W1193" s="12">
        <v>3.2203748162140666E-3</v>
      </c>
      <c r="X1193" s="12">
        <v>3.3976181169679265E-3</v>
      </c>
      <c r="Y1193" s="12">
        <v>-1.4963637299440169E-2</v>
      </c>
      <c r="Z1193" s="12">
        <v>3.5373842616002182E-3</v>
      </c>
      <c r="AA1193" s="12">
        <v>-3.0590009028872434E-3</v>
      </c>
      <c r="AB1193" s="12">
        <v>3.4075722246513784E-3</v>
      </c>
      <c r="AC1193" s="12">
        <v>-6.7407193521680231E-3</v>
      </c>
    </row>
    <row r="1194" spans="12:29" x14ac:dyDescent="0.2">
      <c r="L1194" s="11">
        <v>45931</v>
      </c>
      <c r="M1194" s="10">
        <v>187.00149536132812</v>
      </c>
      <c r="N1194" s="10">
        <v>108.8356475830078</v>
      </c>
      <c r="O1194" s="10">
        <v>304.87747192382812</v>
      </c>
      <c r="P1194" s="10">
        <v>254.50984191894531</v>
      </c>
      <c r="Q1194" s="10">
        <v>662.95751953125</v>
      </c>
      <c r="R1194" s="10">
        <v>182.84698486328125</v>
      </c>
      <c r="S1194" s="10">
        <v>148.80415344238281</v>
      </c>
      <c r="V1194" s="11">
        <v>45932</v>
      </c>
      <c r="W1194" s="12">
        <v>6.5767334228361563E-3</v>
      </c>
      <c r="X1194" s="12">
        <v>-3.7619773246566623E-4</v>
      </c>
      <c r="Y1194" s="12">
        <v>-1.0170241410979219E-2</v>
      </c>
      <c r="Z1194" s="12">
        <v>8.8122474058227596E-3</v>
      </c>
      <c r="AA1194" s="12">
        <v>-7.3768238384033236E-3</v>
      </c>
      <c r="AB1194" s="12">
        <v>1.1517326256851312E-3</v>
      </c>
      <c r="AC1194" s="12">
        <v>-6.2504793097322153E-3</v>
      </c>
    </row>
    <row r="1195" spans="12:29" x14ac:dyDescent="0.2">
      <c r="L1195" s="11">
        <v>45932</v>
      </c>
      <c r="M1195" s="10">
        <v>188.64939880371097</v>
      </c>
      <c r="N1195" s="10">
        <v>108.15537261962891</v>
      </c>
      <c r="O1195" s="10">
        <v>301.77679443359375</v>
      </c>
      <c r="P1195" s="10">
        <v>256.18368530273438</v>
      </c>
      <c r="Q1195" s="10">
        <v>663.7210693359375</v>
      </c>
      <c r="R1195" s="10">
        <v>182.7781982421875</v>
      </c>
      <c r="S1195" s="10">
        <v>147.70645141601562</v>
      </c>
      <c r="V1195" s="11">
        <v>45933</v>
      </c>
      <c r="W1195" s="12">
        <v>3.4611424664847679E-3</v>
      </c>
      <c r="X1195" s="12">
        <v>1.430264693094796E-2</v>
      </c>
      <c r="Y1195" s="12">
        <v>8.0637120116433536E-3</v>
      </c>
      <c r="Z1195" s="12">
        <v>-6.7235138243937342E-3</v>
      </c>
      <c r="AA1195" s="12">
        <v>1.4468873739810206E-3</v>
      </c>
      <c r="AB1195" s="12">
        <v>-1.4805406382656372E-5</v>
      </c>
      <c r="AC1195" s="12">
        <v>1.770143228682608E-2</v>
      </c>
    </row>
    <row r="1196" spans="12:29" x14ac:dyDescent="0.2">
      <c r="L1196" s="11">
        <v>45933</v>
      </c>
      <c r="M1196" s="10">
        <v>187.38101196289065</v>
      </c>
      <c r="N1196" s="10">
        <v>110.06987762451172</v>
      </c>
      <c r="O1196" s="10">
        <v>304.21023559570312</v>
      </c>
      <c r="P1196" s="10">
        <v>257.07037353515625</v>
      </c>
      <c r="Q1196" s="10">
        <v>663.71124267578125</v>
      </c>
      <c r="R1196" s="10">
        <v>185.39241027832031</v>
      </c>
      <c r="S1196" s="10">
        <v>147.920166015625</v>
      </c>
      <c r="V1196" s="11">
        <v>45936</v>
      </c>
      <c r="W1196" s="12">
        <v>-5.1546342798789446E-3</v>
      </c>
      <c r="X1196" s="12">
        <v>-2.5445525086383869E-3</v>
      </c>
      <c r="Y1196" s="12">
        <v>2.1067655956681364E-3</v>
      </c>
      <c r="Z1196" s="12">
        <v>-1.1086299720477033E-2</v>
      </c>
      <c r="AA1196" s="12">
        <v>-1.2215269995263123E-2</v>
      </c>
      <c r="AB1196" s="12">
        <v>3.5862719664676579E-3</v>
      </c>
      <c r="AC1196" s="12">
        <v>8.2994624206327305E-3</v>
      </c>
    </row>
    <row r="1197" spans="12:29" x14ac:dyDescent="0.2">
      <c r="L1197" s="11">
        <v>45936</v>
      </c>
      <c r="M1197" s="10">
        <v>185.30364990234375</v>
      </c>
      <c r="N1197" s="10">
        <v>110.9833984375</v>
      </c>
      <c r="O1197" s="10">
        <v>304.85113525390625</v>
      </c>
      <c r="P1197" s="10">
        <v>255.74526977539065</v>
      </c>
      <c r="Q1197" s="10">
        <v>666.09149169921875</v>
      </c>
      <c r="R1197" s="10">
        <v>184.92066955566409</v>
      </c>
      <c r="S1197" s="10">
        <v>146.11328125</v>
      </c>
      <c r="V1197" s="11">
        <v>45937</v>
      </c>
      <c r="W1197" s="12">
        <v>-8.1799361618939415E-4</v>
      </c>
      <c r="X1197" s="12">
        <v>3.8797055292114635E-3</v>
      </c>
      <c r="Y1197" s="12">
        <v>-4.8192266933564376E-3</v>
      </c>
      <c r="Z1197" s="12">
        <v>-2.6948154076971154E-3</v>
      </c>
      <c r="AA1197" s="12">
        <v>1.4161291939580378E-2</v>
      </c>
      <c r="AB1197" s="12">
        <v>-3.7075138893177817E-3</v>
      </c>
      <c r="AC1197" s="12">
        <v>5.2540707189807634E-4</v>
      </c>
    </row>
    <row r="1198" spans="12:29" x14ac:dyDescent="0.2">
      <c r="L1198" s="11">
        <v>45937</v>
      </c>
      <c r="M1198" s="10">
        <v>184.8042907714844</v>
      </c>
      <c r="N1198" s="10">
        <v>111.04170989990234</v>
      </c>
      <c r="O1198" s="10">
        <v>303.38198852539062</v>
      </c>
      <c r="P1198" s="10">
        <v>255.53607177734375</v>
      </c>
      <c r="Q1198" s="10">
        <v>663.6219482421875</v>
      </c>
      <c r="R1198" s="10">
        <v>185.63810729980469</v>
      </c>
      <c r="S1198" s="10">
        <v>148.18243408203125</v>
      </c>
      <c r="V1198" s="11">
        <v>45938</v>
      </c>
      <c r="W1198" s="12">
        <v>6.1602172401529209E-3</v>
      </c>
      <c r="X1198" s="12">
        <v>4.2352530774545372E-3</v>
      </c>
      <c r="Y1198" s="12">
        <v>-1.189511831594936E-2</v>
      </c>
      <c r="Z1198" s="12">
        <v>2.1995264931179204E-2</v>
      </c>
      <c r="AA1198" s="12">
        <v>-1.2127953419959758E-2</v>
      </c>
      <c r="AB1198" s="12">
        <v>5.9630552695713046E-3</v>
      </c>
      <c r="AC1198" s="12">
        <v>-2.1004559496164976E-3</v>
      </c>
    </row>
    <row r="1199" spans="12:29" x14ac:dyDescent="0.2">
      <c r="L1199" s="11">
        <v>45938</v>
      </c>
      <c r="M1199" s="10">
        <v>188.86911010742188</v>
      </c>
      <c r="N1199" s="10">
        <v>110.8084716796875</v>
      </c>
      <c r="O1199" s="10">
        <v>299.77322387695312</v>
      </c>
      <c r="P1199" s="10">
        <v>257.1102294921875</v>
      </c>
      <c r="Q1199" s="10">
        <v>667.57916259765625</v>
      </c>
      <c r="R1199" s="10">
        <v>186.42433166503903</v>
      </c>
      <c r="S1199" s="10">
        <v>146.38528442382812</v>
      </c>
      <c r="V1199" s="11">
        <v>45939</v>
      </c>
      <c r="W1199" s="12">
        <v>-1.5577707647773553E-2</v>
      </c>
      <c r="X1199" s="12">
        <v>7.327682697899629E-3</v>
      </c>
      <c r="Y1199" s="12">
        <v>4.9337425375159949E-3</v>
      </c>
      <c r="Z1199" s="12">
        <v>1.8296252478039898E-2</v>
      </c>
      <c r="AA1199" s="12">
        <v>-7.2986872578184592E-4</v>
      </c>
      <c r="AB1199" s="12">
        <v>-2.8969747249332212E-3</v>
      </c>
      <c r="AC1199" s="12">
        <v>-9.7350654315154772E-3</v>
      </c>
    </row>
    <row r="1200" spans="12:29" x14ac:dyDescent="0.2">
      <c r="L1200" s="11">
        <v>45939</v>
      </c>
      <c r="M1200" s="10">
        <v>192.32470703125</v>
      </c>
      <c r="N1200" s="10">
        <v>109.72974395751952</v>
      </c>
      <c r="O1200" s="10">
        <v>301.25222778320312</v>
      </c>
      <c r="P1200" s="10">
        <v>253.10504150390625</v>
      </c>
      <c r="Q1200" s="10">
        <v>665.64520263671875</v>
      </c>
      <c r="R1200" s="10">
        <v>187.79039001464844</v>
      </c>
      <c r="S1200" s="10">
        <v>146.2784423828125</v>
      </c>
      <c r="V1200" s="11">
        <v>45940</v>
      </c>
      <c r="W1200" s="12">
        <v>-3.4522156815508964E-2</v>
      </c>
      <c r="X1200" s="12">
        <v>-1.8840449820919369E-3</v>
      </c>
      <c r="Y1200" s="12">
        <v>-1.5186650205699648E-2</v>
      </c>
      <c r="Z1200" s="12">
        <v>-4.8865329883898911E-2</v>
      </c>
      <c r="AA1200" s="12">
        <v>-5.9104966732398401E-3</v>
      </c>
      <c r="AB1200" s="12">
        <v>-2.7027862178845674E-2</v>
      </c>
      <c r="AC1200" s="12">
        <v>-1.9307426241771508E-2</v>
      </c>
    </row>
    <row r="1201" spans="12:29" x14ac:dyDescent="0.2">
      <c r="L1201" s="11">
        <v>45940</v>
      </c>
      <c r="M1201" s="10">
        <v>182.92669677734375</v>
      </c>
      <c r="N1201" s="10">
        <v>107.61114501953124</v>
      </c>
      <c r="O1201" s="10">
        <v>296.67721557617188</v>
      </c>
      <c r="P1201" s="10">
        <v>244.3673095703125</v>
      </c>
      <c r="Q1201" s="10">
        <v>647.65423583984375</v>
      </c>
      <c r="R1201" s="10">
        <v>187.43658447265625</v>
      </c>
      <c r="S1201" s="10">
        <v>145.41386413574219</v>
      </c>
      <c r="V1201" s="11">
        <v>45943</v>
      </c>
      <c r="W1201" s="12">
        <v>9.7443898340392465E-3</v>
      </c>
      <c r="X1201" s="12">
        <v>9.4384135780289924E-4</v>
      </c>
      <c r="Y1201" s="12">
        <v>2.353017054227835E-2</v>
      </c>
      <c r="Z1201" s="12">
        <v>2.8172088682583807E-2</v>
      </c>
      <c r="AA1201" s="12">
        <v>-1.4696989236863578E-2</v>
      </c>
      <c r="AB1201" s="12">
        <v>1.5344118135168339E-2</v>
      </c>
      <c r="AC1201" s="12">
        <v>1.3636697500597261E-2</v>
      </c>
    </row>
    <row r="1202" spans="12:29" x14ac:dyDescent="0.2">
      <c r="L1202" s="11">
        <v>45943</v>
      </c>
      <c r="M1202" s="10">
        <v>188.08012390136719</v>
      </c>
      <c r="N1202" s="10">
        <v>109.07860565185548</v>
      </c>
      <c r="O1202" s="10">
        <v>303.6580810546875</v>
      </c>
      <c r="P1202" s="10">
        <v>246.74851989746097</v>
      </c>
      <c r="Q1202" s="10">
        <v>657.5919189453125</v>
      </c>
      <c r="R1202" s="10">
        <v>187.61349487304688</v>
      </c>
      <c r="S1202" s="10">
        <v>143.27671813964844</v>
      </c>
      <c r="V1202" s="11">
        <v>45944</v>
      </c>
      <c r="W1202" s="12">
        <v>4.4419266174910987E-4</v>
      </c>
      <c r="X1202" s="12">
        <v>-2.6188574982055624E-4</v>
      </c>
      <c r="Y1202" s="12">
        <v>-1.9125314011642747E-2</v>
      </c>
      <c r="Z1202" s="12">
        <v>-4.4020944637518378E-2</v>
      </c>
      <c r="AA1202" s="12">
        <v>1.1322732378373335E-2</v>
      </c>
      <c r="AB1202" s="12">
        <v>-1.2216462876413203E-3</v>
      </c>
      <c r="AC1202" s="12">
        <v>4.4554331139101677E-4</v>
      </c>
    </row>
    <row r="1203" spans="12:29" x14ac:dyDescent="0.2">
      <c r="L1203" s="11">
        <v>45944</v>
      </c>
      <c r="M1203" s="10">
        <v>179.8006591796875</v>
      </c>
      <c r="N1203" s="10">
        <v>109.12720489501952</v>
      </c>
      <c r="O1203" s="10">
        <v>297.85052490234375</v>
      </c>
      <c r="P1203" s="10">
        <v>246.85812377929688</v>
      </c>
      <c r="Q1203" s="10">
        <v>656.78857421875</v>
      </c>
      <c r="R1203" s="10">
        <v>187.5643615722656</v>
      </c>
      <c r="S1203" s="10">
        <v>144.89900207519531</v>
      </c>
      <c r="V1203" s="11">
        <v>45945</v>
      </c>
      <c r="W1203" s="12">
        <v>6.3364077375245298E-3</v>
      </c>
      <c r="X1203" s="12">
        <v>1.676670556933102E-3</v>
      </c>
      <c r="Y1203" s="12">
        <v>1.1950553926109997E-2</v>
      </c>
      <c r="Z1203" s="12">
        <v>-1.1107984306079066E-3</v>
      </c>
      <c r="AA1203" s="12">
        <v>-1.1665419312620995E-2</v>
      </c>
      <c r="AB1203" s="12">
        <v>4.4396228392917791E-3</v>
      </c>
      <c r="AC1203" s="12">
        <v>-6.0557816498466588E-3</v>
      </c>
    </row>
    <row r="1204" spans="12:29" x14ac:dyDescent="0.2">
      <c r="L1204" s="11">
        <v>45945</v>
      </c>
      <c r="M1204" s="10">
        <v>179.60093688964844</v>
      </c>
      <c r="N1204" s="10">
        <v>108.4663543701172</v>
      </c>
      <c r="O1204" s="10">
        <v>301.41000366210938</v>
      </c>
      <c r="P1204" s="10">
        <v>248.42231750488281</v>
      </c>
      <c r="Q1204" s="10">
        <v>659.7044677734375</v>
      </c>
      <c r="R1204" s="10">
        <v>187.87884521484375</v>
      </c>
      <c r="S1204" s="10">
        <v>143.20869445800781</v>
      </c>
      <c r="V1204" s="11">
        <v>45946</v>
      </c>
      <c r="W1204" s="12">
        <v>-7.5799394432825018E-3</v>
      </c>
      <c r="X1204" s="12">
        <v>4.9693701560682424E-3</v>
      </c>
      <c r="Y1204" s="12">
        <v>-2.3389823403856536E-2</v>
      </c>
      <c r="Z1204" s="12">
        <v>1.101039928627312E-2</v>
      </c>
      <c r="AA1204" s="12">
        <v>1.4787660523210455E-2</v>
      </c>
      <c r="AB1204" s="12">
        <v>-6.8103189701383959E-3</v>
      </c>
      <c r="AC1204" s="12">
        <v>-8.6910636367896199E-3</v>
      </c>
    </row>
    <row r="1205" spans="12:29" x14ac:dyDescent="0.2">
      <c r="L1205" s="11">
        <v>45946</v>
      </c>
      <c r="M1205" s="10">
        <v>181.57841491699219</v>
      </c>
      <c r="N1205" s="10">
        <v>107.52366638183594</v>
      </c>
      <c r="O1205" s="10">
        <v>294.36007690429688</v>
      </c>
      <c r="P1205" s="10">
        <v>246.53929138183591</v>
      </c>
      <c r="Q1205" s="10">
        <v>655.211669921875</v>
      </c>
      <c r="R1205" s="10">
        <v>188.81248474121097</v>
      </c>
      <c r="S1205" s="10">
        <v>145.326416015625</v>
      </c>
      <c r="V1205" s="11">
        <v>45947</v>
      </c>
      <c r="W1205" s="12">
        <v>1.9559516473121485E-2</v>
      </c>
      <c r="X1205" s="12">
        <v>5.7256274539829732E-3</v>
      </c>
      <c r="Y1205" s="12">
        <v>-3.2825360312291885E-3</v>
      </c>
      <c r="Z1205" s="12">
        <v>7.7553442992865929E-3</v>
      </c>
      <c r="AA1205" s="12">
        <v>1.2032092860730703E-2</v>
      </c>
      <c r="AB1205" s="12">
        <v>5.6762988463516795E-3</v>
      </c>
      <c r="AC1205" s="12">
        <v>1.446136764438144E-2</v>
      </c>
    </row>
    <row r="1206" spans="12:29" x14ac:dyDescent="0.2">
      <c r="L1206" s="11">
        <v>45947</v>
      </c>
      <c r="M1206" s="10">
        <v>182.98661804199219</v>
      </c>
      <c r="N1206" s="10">
        <v>109.07860565185548</v>
      </c>
      <c r="O1206" s="10">
        <v>293.39382934570312</v>
      </c>
      <c r="P1206" s="10">
        <v>251.36148071289065</v>
      </c>
      <c r="Q1206" s="10">
        <v>658.93084716796875</v>
      </c>
      <c r="R1206" s="10">
        <v>189.8935546875</v>
      </c>
      <c r="S1206" s="10">
        <v>147.07499694824219</v>
      </c>
      <c r="V1206" s="11">
        <v>45950</v>
      </c>
      <c r="W1206" s="12">
        <v>3.9438662469633901E-2</v>
      </c>
      <c r="X1206" s="12">
        <v>2.5876538305280583E-3</v>
      </c>
      <c r="Y1206" s="12">
        <v>1.6131073986504374E-2</v>
      </c>
      <c r="Z1206" s="12">
        <v>-3.1656380962610253E-3</v>
      </c>
      <c r="AA1206" s="12">
        <v>3.6989401171754199E-3</v>
      </c>
      <c r="AB1206" s="12">
        <v>1.0400500262923273E-2</v>
      </c>
      <c r="AC1206" s="12">
        <v>4.0983689687545954E-3</v>
      </c>
    </row>
    <row r="1207" spans="12:29" x14ac:dyDescent="0.2">
      <c r="L1207" s="11">
        <v>45950</v>
      </c>
      <c r="M1207" s="10">
        <v>182.4073486328125</v>
      </c>
      <c r="N1207" s="10">
        <v>109.52565002441406</v>
      </c>
      <c r="O1207" s="10">
        <v>298.1265869140625</v>
      </c>
      <c r="P1207" s="10">
        <v>261.27484130859375</v>
      </c>
      <c r="Q1207" s="10">
        <v>665.7840576171875</v>
      </c>
      <c r="R1207" s="10">
        <v>190.38493347167969</v>
      </c>
      <c r="S1207" s="10">
        <v>147.6190185546875</v>
      </c>
      <c r="V1207" s="11">
        <v>45951</v>
      </c>
      <c r="W1207" s="12">
        <v>2.0209184094197585E-3</v>
      </c>
      <c r="X1207" s="12">
        <v>-9.4981456779866802E-3</v>
      </c>
      <c r="Y1207" s="12">
        <v>-1.7429500547240573E-2</v>
      </c>
      <c r="Z1207" s="12">
        <v>-8.1033955460854123E-3</v>
      </c>
      <c r="AA1207" s="12">
        <v>-2.2376674012544173E-3</v>
      </c>
      <c r="AB1207" s="12">
        <v>-1.5034552886095121E-5</v>
      </c>
      <c r="AC1207" s="12">
        <v>8.8744952717823011E-5</v>
      </c>
    </row>
    <row r="1208" spans="12:29" x14ac:dyDescent="0.2">
      <c r="L1208" s="11">
        <v>45951</v>
      </c>
      <c r="M1208" s="10">
        <v>180.92922973632812</v>
      </c>
      <c r="N1208" s="10">
        <v>109.53536987304688</v>
      </c>
      <c r="O1208" s="10">
        <v>292.93038940429688</v>
      </c>
      <c r="P1208" s="10">
        <v>261.8028564453125</v>
      </c>
      <c r="Q1208" s="10">
        <v>665.7740478515625</v>
      </c>
      <c r="R1208" s="10">
        <v>188.57662963867188</v>
      </c>
      <c r="S1208" s="10">
        <v>147.2886962890625</v>
      </c>
      <c r="V1208" s="11">
        <v>45952</v>
      </c>
      <c r="W1208" s="12">
        <v>-1.6440145867302913E-2</v>
      </c>
      <c r="X1208" s="12">
        <v>5.5242690935302097E-3</v>
      </c>
      <c r="Y1208" s="12">
        <v>-1.0030688393261489E-2</v>
      </c>
      <c r="Z1208" s="12">
        <v>-4.857566318624551E-3</v>
      </c>
      <c r="AA1208" s="12">
        <v>3.8254534062551748E-3</v>
      </c>
      <c r="AB1208" s="12">
        <v>-5.1988248670109538E-3</v>
      </c>
      <c r="AC1208" s="12">
        <v>1.774469910886789E-2</v>
      </c>
    </row>
    <row r="1209" spans="12:29" x14ac:dyDescent="0.2">
      <c r="L1209" s="11">
        <v>45952</v>
      </c>
      <c r="M1209" s="10">
        <v>180.05035400390625</v>
      </c>
      <c r="N1209" s="10">
        <v>111.47904205322266</v>
      </c>
      <c r="O1209" s="10">
        <v>289.99209594726562</v>
      </c>
      <c r="P1209" s="10">
        <v>257.498779296875</v>
      </c>
      <c r="Q1209" s="10">
        <v>662.31280517578125</v>
      </c>
      <c r="R1209" s="10">
        <v>189.61837768554688</v>
      </c>
      <c r="S1209" s="10">
        <v>147.85214233398438</v>
      </c>
      <c r="V1209" s="11">
        <v>45953</v>
      </c>
      <c r="W1209" s="12">
        <v>4.372152666834106E-3</v>
      </c>
      <c r="X1209" s="12">
        <v>-2.4359390126043046E-3</v>
      </c>
      <c r="Y1209" s="12">
        <v>1.4622527785170814E-3</v>
      </c>
      <c r="Z1209" s="12">
        <v>1.0428245272369407E-2</v>
      </c>
      <c r="AA1209" s="12">
        <v>6.5843533060716553E-5</v>
      </c>
      <c r="AB1209" s="12">
        <v>5.9299627059643534E-3</v>
      </c>
      <c r="AC1209" s="12">
        <v>1.1071340310945033E-2</v>
      </c>
    </row>
    <row r="1210" spans="12:29" x14ac:dyDescent="0.2">
      <c r="L1210" s="11">
        <v>45953</v>
      </c>
      <c r="M1210" s="10">
        <v>181.92796325683591</v>
      </c>
      <c r="N1210" s="10">
        <v>112.71326446533205</v>
      </c>
      <c r="O1210" s="10">
        <v>290.4161376953125</v>
      </c>
      <c r="P1210" s="10">
        <v>258.62460327148438</v>
      </c>
      <c r="Q1210" s="10">
        <v>666.24029541015625</v>
      </c>
      <c r="R1210" s="10">
        <v>189.15647888183591</v>
      </c>
      <c r="S1210" s="10">
        <v>147.86187744140625</v>
      </c>
      <c r="V1210" s="11">
        <v>45954</v>
      </c>
      <c r="W1210" s="12">
        <v>1.2481988848809689E-2</v>
      </c>
      <c r="X1210" s="12">
        <v>-1.07550006417102E-2</v>
      </c>
      <c r="Y1210" s="12">
        <v>2.0031196815251562E-2</v>
      </c>
      <c r="Z1210" s="12">
        <v>2.2507573914282819E-2</v>
      </c>
      <c r="AA1210" s="12">
        <v>8.8452588966505541E-3</v>
      </c>
      <c r="AB1210" s="12">
        <v>8.1725546944804162E-3</v>
      </c>
      <c r="AC1210" s="12">
        <v>-5.0870633489452644E-3</v>
      </c>
    </row>
    <row r="1211" spans="12:29" x14ac:dyDescent="0.2">
      <c r="L1211" s="11">
        <v>45954</v>
      </c>
      <c r="M1211" s="10">
        <v>186.02272033691409</v>
      </c>
      <c r="N1211" s="10">
        <v>112.13988494873048</v>
      </c>
      <c r="O1211" s="10">
        <v>296.2335205078125</v>
      </c>
      <c r="P1211" s="10">
        <v>261.85275268554688</v>
      </c>
      <c r="Q1211" s="10">
        <v>671.6851806640625</v>
      </c>
      <c r="R1211" s="10">
        <v>187.12210083007812</v>
      </c>
      <c r="S1211" s="10">
        <v>149.16975402832031</v>
      </c>
      <c r="V1211" s="11">
        <v>45957</v>
      </c>
      <c r="W1211" s="12">
        <v>2.2791269069206699E-2</v>
      </c>
      <c r="X1211" s="12">
        <v>-5.2514695552596802E-4</v>
      </c>
      <c r="Y1211" s="12">
        <v>1.2348433807425119E-2</v>
      </c>
      <c r="Z1211" s="12">
        <v>2.8079140789020851E-2</v>
      </c>
      <c r="AA1211" s="12">
        <v>-4.9182747648345293E-3</v>
      </c>
      <c r="AB1211" s="12">
        <v>1.1797664492784632E-2</v>
      </c>
      <c r="AC1211" s="12">
        <v>4.7665055221319808E-3</v>
      </c>
    </row>
    <row r="1212" spans="12:29" x14ac:dyDescent="0.2">
      <c r="L1212" s="11">
        <v>45957</v>
      </c>
      <c r="M1212" s="10">
        <v>191.24607849121097</v>
      </c>
      <c r="N1212" s="10">
        <v>112.67440032958984</v>
      </c>
      <c r="O1212" s="10">
        <v>299.89154052734375</v>
      </c>
      <c r="P1212" s="10">
        <v>267.82070922851562</v>
      </c>
      <c r="Q1212" s="10">
        <v>679.6094970703125</v>
      </c>
      <c r="R1212" s="10">
        <v>187.0238342285156</v>
      </c>
      <c r="S1212" s="10">
        <v>148.43609619140625</v>
      </c>
      <c r="V1212" s="11">
        <v>45958</v>
      </c>
      <c r="W1212" s="12">
        <v>7.0670419803042783E-4</v>
      </c>
      <c r="X1212" s="12">
        <v>-1.7708953907522473E-2</v>
      </c>
      <c r="Y1212" s="12">
        <v>3.9782856065924133E-3</v>
      </c>
      <c r="Z1212" s="12">
        <v>4.9819910682591839E-2</v>
      </c>
      <c r="AA1212" s="12">
        <v>-2.4384482254560247E-3</v>
      </c>
      <c r="AB1212" s="12">
        <v>2.6560160190798321E-3</v>
      </c>
      <c r="AC1212" s="12">
        <v>-7.8489570238844397E-3</v>
      </c>
    </row>
    <row r="1213" spans="12:29" x14ac:dyDescent="0.2">
      <c r="L1213" s="11">
        <v>45958</v>
      </c>
      <c r="M1213" s="10">
        <v>200.77394104003903</v>
      </c>
      <c r="N1213" s="10">
        <v>111.79002380371094</v>
      </c>
      <c r="O1213" s="10">
        <v>301.0845947265625</v>
      </c>
      <c r="P1213" s="10">
        <v>268.00997924804688</v>
      </c>
      <c r="Q1213" s="10">
        <v>681.41455078125</v>
      </c>
      <c r="R1213" s="10">
        <v>183.71183776855469</v>
      </c>
      <c r="S1213" s="10">
        <v>148.07414245605469</v>
      </c>
      <c r="V1213" s="11">
        <v>45959</v>
      </c>
      <c r="W1213" s="12">
        <v>2.6023237359502627E-3</v>
      </c>
      <c r="X1213" s="12">
        <v>-1.765320660190417E-3</v>
      </c>
      <c r="Y1213" s="12">
        <v>4.9128618256344403E-4</v>
      </c>
      <c r="Z1213" s="12">
        <v>2.9895984327615199E-2</v>
      </c>
      <c r="AA1213" s="12">
        <v>-1.7176503296978951E-2</v>
      </c>
      <c r="AB1213" s="12">
        <v>4.8028106743136512E-4</v>
      </c>
      <c r="AC1213" s="12">
        <v>1.2344547451220489E-2</v>
      </c>
    </row>
    <row r="1214" spans="12:29" x14ac:dyDescent="0.2">
      <c r="L1214" s="11">
        <v>45959</v>
      </c>
      <c r="M1214" s="10">
        <v>206.7762756347656</v>
      </c>
      <c r="N1214" s="10">
        <v>113.17002105712891</v>
      </c>
      <c r="O1214" s="10">
        <v>301.23251342773438</v>
      </c>
      <c r="P1214" s="10">
        <v>268.70742797851562</v>
      </c>
      <c r="Q1214" s="10">
        <v>681.7418212890625</v>
      </c>
      <c r="R1214" s="10">
        <v>183.38752746582031</v>
      </c>
      <c r="S1214" s="10">
        <v>145.53074645996094</v>
      </c>
      <c r="V1214" s="11">
        <v>45960</v>
      </c>
      <c r="W1214" s="12">
        <v>6.3032332179255857E-3</v>
      </c>
      <c r="X1214" s="12">
        <v>1.3129691471096328E-2</v>
      </c>
      <c r="Y1214" s="12">
        <v>1.2863817241725473E-2</v>
      </c>
      <c r="Z1214" s="12">
        <v>-2.0044438573744494E-2</v>
      </c>
      <c r="AA1214" s="12">
        <v>5.444716504938496E-3</v>
      </c>
      <c r="AB1214" s="12">
        <v>-1.0998098598900663E-2</v>
      </c>
      <c r="AC1214" s="12">
        <v>-1.5113708429093875E-2</v>
      </c>
    </row>
    <row r="1215" spans="12:29" x14ac:dyDescent="0.2">
      <c r="L1215" s="11">
        <v>45960</v>
      </c>
      <c r="M1215" s="10">
        <v>202.63156127929688</v>
      </c>
      <c r="N1215" s="10">
        <v>111.45960235595705</v>
      </c>
      <c r="O1215" s="10">
        <v>305.10751342773438</v>
      </c>
      <c r="P1215" s="10">
        <v>270.40115356445312</v>
      </c>
      <c r="Q1215" s="10">
        <v>674.24395751953125</v>
      </c>
      <c r="R1215" s="10">
        <v>185.79534912109375</v>
      </c>
      <c r="S1215" s="10">
        <v>146.3231201171875</v>
      </c>
      <c r="V1215" s="11">
        <v>45961</v>
      </c>
      <c r="W1215" s="12">
        <v>-3.7951561451632365E-3</v>
      </c>
      <c r="X1215" s="12">
        <v>-9.5217884208353976E-4</v>
      </c>
      <c r="Y1215" s="12">
        <v>5.4290144705371191E-3</v>
      </c>
      <c r="Z1215" s="12">
        <v>-1.9715110218919696E-3</v>
      </c>
      <c r="AA1215" s="12">
        <v>5.2814389840816212E-3</v>
      </c>
      <c r="AB1215" s="12">
        <v>3.2802220875831622E-3</v>
      </c>
      <c r="AC1215" s="12">
        <v>-2.877289998729049E-3</v>
      </c>
    </row>
    <row r="1216" spans="12:29" x14ac:dyDescent="0.2">
      <c r="L1216" s="11">
        <v>45961</v>
      </c>
      <c r="M1216" s="10">
        <v>202.23207092285156</v>
      </c>
      <c r="N1216" s="10">
        <v>111.13890075683594</v>
      </c>
      <c r="O1216" s="10">
        <v>306.76394653320312</v>
      </c>
      <c r="P1216" s="10">
        <v>269.37493896484375</v>
      </c>
      <c r="Q1216" s="10">
        <v>676.45562744140625</v>
      </c>
      <c r="R1216" s="10">
        <v>185.61843872070312</v>
      </c>
      <c r="S1216" s="10">
        <v>147.09591674804688</v>
      </c>
      <c r="V1216" s="11">
        <v>45964</v>
      </c>
      <c r="W1216" s="12">
        <v>-4.8823604449953484E-3</v>
      </c>
      <c r="X1216" s="12">
        <v>-1.3819012239522643E-2</v>
      </c>
      <c r="Y1216" s="12">
        <v>-5.6889939068095474E-3</v>
      </c>
      <c r="Z1216" s="12">
        <v>2.1680040134361755E-2</v>
      </c>
      <c r="AA1216" s="12">
        <v>-1.5628089316289784E-2</v>
      </c>
      <c r="AB1216" s="12">
        <v>1.8767398754619968E-3</v>
      </c>
      <c r="AC1216" s="12">
        <v>-5.2466507285751085E-3</v>
      </c>
    </row>
    <row r="1217" spans="12:29" x14ac:dyDescent="0.2">
      <c r="L1217" s="11">
        <v>45964</v>
      </c>
      <c r="M1217" s="10">
        <v>206.61647033691409</v>
      </c>
      <c r="N1217" s="10">
        <v>110.55579376220705</v>
      </c>
      <c r="O1217" s="10">
        <v>305.01876831054688</v>
      </c>
      <c r="P1217" s="10">
        <v>268.05975341796875</v>
      </c>
      <c r="Q1217" s="10">
        <v>677.72515869140625</v>
      </c>
      <c r="R1217" s="10">
        <v>183.05337524414065</v>
      </c>
      <c r="S1217" s="10">
        <v>144.79708862304688</v>
      </c>
      <c r="V1217" s="11">
        <v>45965</v>
      </c>
      <c r="W1217" s="12">
        <v>3.679849978061922E-3</v>
      </c>
      <c r="X1217" s="12">
        <v>3.2213331359438602E-3</v>
      </c>
      <c r="Y1217" s="12">
        <v>-3.2326632052193105E-4</v>
      </c>
      <c r="Z1217" s="12">
        <v>-3.9588157789888334E-2</v>
      </c>
      <c r="AA1217" s="12">
        <v>-5.742604765601067E-3</v>
      </c>
      <c r="AB1217" s="12">
        <v>-1.185354736001909E-2</v>
      </c>
      <c r="AC1217" s="12">
        <v>3.3403334219184178E-3</v>
      </c>
    </row>
    <row r="1218" spans="12:29" x14ac:dyDescent="0.2">
      <c r="L1218" s="11">
        <v>45965</v>
      </c>
      <c r="M1218" s="10">
        <v>198.43690490722656</v>
      </c>
      <c r="N1218" s="10">
        <v>110.92508697509766</v>
      </c>
      <c r="O1218" s="10">
        <v>304.920166015625</v>
      </c>
      <c r="P1218" s="10">
        <v>269.04617309570312</v>
      </c>
      <c r="Q1218" s="10">
        <v>669.69171142578125</v>
      </c>
      <c r="R1218" s="10">
        <v>183.64305114746097</v>
      </c>
      <c r="S1218" s="10">
        <v>143.965576171875</v>
      </c>
      <c r="V1218" s="11">
        <v>45966</v>
      </c>
      <c r="W1218" s="12">
        <v>3.7034495392229694E-4</v>
      </c>
      <c r="X1218" s="12">
        <v>-4.6024043909088652E-3</v>
      </c>
      <c r="Y1218" s="12">
        <v>7.8576815941031608E-3</v>
      </c>
      <c r="Z1218" s="12">
        <v>-1.7514662514751311E-2</v>
      </c>
      <c r="AA1218" s="12">
        <v>-9.376860109584273E-3</v>
      </c>
      <c r="AB1218" s="12">
        <v>3.4653852011290454E-3</v>
      </c>
      <c r="AC1218" s="12">
        <v>-4.0300779143352949E-3</v>
      </c>
    </row>
    <row r="1219" spans="12:29" x14ac:dyDescent="0.2">
      <c r="L1219" s="11">
        <v>45966</v>
      </c>
      <c r="M1219" s="10">
        <v>194.96134948730469</v>
      </c>
      <c r="N1219" s="10">
        <v>110.47805023193359</v>
      </c>
      <c r="O1219" s="10">
        <v>307.31613159179688</v>
      </c>
      <c r="P1219" s="10">
        <v>269.14581298828125</v>
      </c>
      <c r="Q1219" s="10">
        <v>672.012451171875</v>
      </c>
      <c r="R1219" s="10">
        <v>182.7978515625</v>
      </c>
      <c r="S1219" s="10">
        <v>142.61563110351562</v>
      </c>
      <c r="V1219" s="11">
        <v>45967</v>
      </c>
      <c r="W1219" s="12">
        <v>-1.3698257358518706E-3</v>
      </c>
      <c r="X1219" s="12">
        <v>5.2150946924165442E-3</v>
      </c>
      <c r="Y1219" s="12">
        <v>5.5827454150316758E-3</v>
      </c>
      <c r="Z1219" s="12">
        <v>-3.6524808235306017E-2</v>
      </c>
      <c r="AA1219" s="12">
        <v>2.3322203983584533E-3</v>
      </c>
      <c r="AB1219" s="12">
        <v>-1.0729363869237507E-2</v>
      </c>
      <c r="AC1219" s="12">
        <v>7.2132474813333403E-3</v>
      </c>
    </row>
    <row r="1220" spans="12:29" x14ac:dyDescent="0.2">
      <c r="L1220" s="11">
        <v>45967</v>
      </c>
      <c r="M1220" s="10">
        <v>187.8404235839844</v>
      </c>
      <c r="N1220" s="10">
        <v>111.27495574951172</v>
      </c>
      <c r="O1220" s="10">
        <v>309.03179931640625</v>
      </c>
      <c r="P1220" s="10">
        <v>268.77713012695312</v>
      </c>
      <c r="Q1220" s="10">
        <v>664.80218505859375</v>
      </c>
      <c r="R1220" s="10">
        <v>183.75115966796875</v>
      </c>
      <c r="S1220" s="10">
        <v>142.9482421875</v>
      </c>
      <c r="V1220" s="11">
        <v>45968</v>
      </c>
      <c r="W1220" s="12">
        <v>-4.8188494779721758E-3</v>
      </c>
      <c r="X1220" s="12">
        <v>-2.1394555665206205E-3</v>
      </c>
      <c r="Y1220" s="12">
        <v>2.5204530673132997E-3</v>
      </c>
      <c r="Z1220" s="12">
        <v>3.7220833593942793E-4</v>
      </c>
      <c r="AA1220" s="12">
        <v>5.8166642756132259E-3</v>
      </c>
      <c r="AB1220" s="12">
        <v>9.8456507865907206E-4</v>
      </c>
      <c r="AC1220" s="12">
        <v>2.3755451736784172E-2</v>
      </c>
    </row>
    <row r="1221" spans="12:29" x14ac:dyDescent="0.2">
      <c r="L1221" s="11">
        <v>45968</v>
      </c>
      <c r="M1221" s="10">
        <v>187.91033935546875</v>
      </c>
      <c r="N1221" s="10">
        <v>113.91834259033205</v>
      </c>
      <c r="O1221" s="10">
        <v>309.81069946289062</v>
      </c>
      <c r="P1221" s="10">
        <v>267.48193359375</v>
      </c>
      <c r="Q1221" s="10">
        <v>665.45672607421875</v>
      </c>
      <c r="R1221" s="10">
        <v>183.3580322265625</v>
      </c>
      <c r="S1221" s="10">
        <v>143.77972412109375</v>
      </c>
      <c r="V1221" s="11">
        <v>45971</v>
      </c>
      <c r="W1221" s="12">
        <v>4.5486242317036574E-3</v>
      </c>
      <c r="X1221" s="12">
        <v>9.8623132492581256E-3</v>
      </c>
      <c r="Y1221" s="12">
        <v>8.5293586594872295E-3</v>
      </c>
      <c r="Z1221" s="12">
        <v>5.7932542161149181E-2</v>
      </c>
      <c r="AA1221" s="12">
        <v>-1.0069461689944381E-2</v>
      </c>
      <c r="AB1221" s="12">
        <v>1.5604370346339991E-2</v>
      </c>
      <c r="AC1221" s="12">
        <v>8.5309551850263343E-3</v>
      </c>
    </row>
    <row r="1222" spans="12:29" x14ac:dyDescent="0.2">
      <c r="L1222" s="11">
        <v>45971</v>
      </c>
      <c r="M1222" s="10">
        <v>198.79646301269531</v>
      </c>
      <c r="N1222" s="10">
        <v>114.89017486572266</v>
      </c>
      <c r="O1222" s="10">
        <v>312.45318603515625</v>
      </c>
      <c r="P1222" s="10">
        <v>268.6986083984375</v>
      </c>
      <c r="Q1222" s="10">
        <v>675.84075927734375</v>
      </c>
      <c r="R1222" s="10">
        <v>185.16636657714844</v>
      </c>
      <c r="S1222" s="10">
        <v>142.33193969726562</v>
      </c>
      <c r="V1222" s="11">
        <v>45972</v>
      </c>
      <c r="W1222" s="12">
        <v>2.1601264595019209E-2</v>
      </c>
      <c r="X1222" s="12">
        <v>2.8766970554664706E-2</v>
      </c>
      <c r="Y1222" s="12">
        <v>-4.0078269537643374E-3</v>
      </c>
      <c r="Z1222" s="12">
        <v>-2.9590603550341266E-2</v>
      </c>
      <c r="AA1222" s="12">
        <v>2.0893524842659605E-2</v>
      </c>
      <c r="AB1222" s="12">
        <v>2.289177027853917E-3</v>
      </c>
      <c r="AC1222" s="12">
        <v>1.3195797696841538E-2</v>
      </c>
    </row>
    <row r="1223" spans="12:29" x14ac:dyDescent="0.2">
      <c r="L1223" s="11">
        <v>45972</v>
      </c>
      <c r="M1223" s="10">
        <v>192.91395568847656</v>
      </c>
      <c r="N1223" s="10">
        <v>116.40624237060548</v>
      </c>
      <c r="O1223" s="10">
        <v>311.200927734375</v>
      </c>
      <c r="P1223" s="10">
        <v>274.50283813476562</v>
      </c>
      <c r="Q1223" s="10">
        <v>677.38787841796875</v>
      </c>
      <c r="R1223" s="10">
        <v>190.4930419921875</v>
      </c>
      <c r="S1223" s="10">
        <v>145.30575561523438</v>
      </c>
      <c r="V1223" s="11">
        <v>45973</v>
      </c>
      <c r="W1223" s="12">
        <v>-6.466991494855634E-3</v>
      </c>
      <c r="X1223" s="12">
        <v>2.8891029202464669E-3</v>
      </c>
      <c r="Y1223" s="12">
        <v>1.5176566021720017E-2</v>
      </c>
      <c r="Z1223" s="12">
        <v>3.3133459502552309E-3</v>
      </c>
      <c r="AA1223" s="12">
        <v>-3.568083952149137E-3</v>
      </c>
      <c r="AB1223" s="12">
        <v>5.5639036636434547E-4</v>
      </c>
      <c r="AC1223" s="12">
        <v>-1.3858733605464524E-2</v>
      </c>
    </row>
    <row r="1224" spans="12:29" x14ac:dyDescent="0.2">
      <c r="L1224" s="11">
        <v>45973</v>
      </c>
      <c r="M1224" s="10">
        <v>193.55314636230469</v>
      </c>
      <c r="N1224" s="10">
        <v>114.79299926757812</v>
      </c>
      <c r="O1224" s="10">
        <v>315.92388916015625</v>
      </c>
      <c r="P1224" s="10">
        <v>272.72763061523438</v>
      </c>
      <c r="Q1224" s="10">
        <v>677.7647705078125</v>
      </c>
      <c r="R1224" s="10">
        <v>191.04339599609375</v>
      </c>
      <c r="S1224" s="10">
        <v>144.78729248046875</v>
      </c>
      <c r="V1224" s="11">
        <v>45974</v>
      </c>
      <c r="W1224" s="12">
        <v>-1.9013646924230798E-3</v>
      </c>
      <c r="X1224" s="12">
        <v>4.4242034085661963E-3</v>
      </c>
      <c r="Y1224" s="12">
        <v>-3.4112478958566617E-2</v>
      </c>
      <c r="Z1224" s="12">
        <v>-3.5810230893141393E-2</v>
      </c>
      <c r="AA1224" s="12">
        <v>-3.3776734206081294E-4</v>
      </c>
      <c r="AB1224" s="12">
        <v>-1.6593996414786205E-2</v>
      </c>
      <c r="AC1224" s="12">
        <v>5.6720829809728812E-3</v>
      </c>
    </row>
    <row r="1225" spans="12:29" x14ac:dyDescent="0.2">
      <c r="L1225" s="11">
        <v>45974</v>
      </c>
      <c r="M1225" s="10">
        <v>186.62196350097656</v>
      </c>
      <c r="N1225" s="10">
        <v>115.44411468505859</v>
      </c>
      <c r="O1225" s="10">
        <v>305.14694213867188</v>
      </c>
      <c r="P1225" s="10">
        <v>272.20907592773438</v>
      </c>
      <c r="Q1225" s="10">
        <v>666.5179443359375</v>
      </c>
      <c r="R1225" s="10">
        <v>191.88861083984375</v>
      </c>
      <c r="S1225" s="10">
        <v>144.73838806152344</v>
      </c>
      <c r="V1225" s="11">
        <v>45975</v>
      </c>
      <c r="W1225" s="12">
        <v>-1.9784193430598673E-3</v>
      </c>
      <c r="X1225" s="12">
        <v>3.4826933273706118E-3</v>
      </c>
      <c r="Y1225" s="12">
        <v>-1.8967492428034416E-2</v>
      </c>
      <c r="Z1225" s="12">
        <v>1.7713810694072851E-2</v>
      </c>
      <c r="AA1225" s="12">
        <v>-1.9600287805431327E-3</v>
      </c>
      <c r="AB1225" s="12">
        <v>-1.635496688257021E-4</v>
      </c>
      <c r="AC1225" s="12">
        <v>1.299257290639777E-2</v>
      </c>
    </row>
    <row r="1226" spans="12:29" x14ac:dyDescent="0.2">
      <c r="L1226" s="11">
        <v>45975</v>
      </c>
      <c r="M1226" s="10">
        <v>189.92774963378903</v>
      </c>
      <c r="N1226" s="10">
        <v>116.94403076171876</v>
      </c>
      <c r="O1226" s="10">
        <v>299.35906982421875</v>
      </c>
      <c r="P1226" s="10">
        <v>271.6705322265625</v>
      </c>
      <c r="Q1226" s="10">
        <v>666.408935546875</v>
      </c>
      <c r="R1226" s="10">
        <v>192.55690002441409</v>
      </c>
      <c r="S1226" s="10">
        <v>144.45469665527344</v>
      </c>
      <c r="V1226" s="11">
        <v>45978</v>
      </c>
      <c r="W1226" s="12">
        <v>-1.8171218027207114E-2</v>
      </c>
      <c r="X1226" s="12">
        <v>1.8629160842635217E-2</v>
      </c>
      <c r="Y1226" s="12">
        <v>-1.067150094225966E-2</v>
      </c>
      <c r="Z1226" s="12">
        <v>-1.8772638296214117E-2</v>
      </c>
      <c r="AA1226" s="12">
        <v>-1.2527856023402562E-2</v>
      </c>
      <c r="AB1226" s="12">
        <v>-9.316528985265693E-3</v>
      </c>
      <c r="AC1226" s="12">
        <v>-1.349653003036011E-2</v>
      </c>
    </row>
    <row r="1227" spans="12:29" x14ac:dyDescent="0.2">
      <c r="L1227" s="11">
        <v>45978</v>
      </c>
      <c r="M1227" s="10">
        <v>186.3623046875</v>
      </c>
      <c r="N1227" s="10">
        <v>115.36569213867188</v>
      </c>
      <c r="O1227" s="10">
        <v>296.16445922851562</v>
      </c>
      <c r="P1227" s="10">
        <v>266.73394775390625</v>
      </c>
      <c r="Q1227" s="10">
        <v>660.2003173828125</v>
      </c>
      <c r="R1227" s="10">
        <v>196.14407348632812</v>
      </c>
      <c r="S1227" s="10">
        <v>142.64498901367188</v>
      </c>
      <c r="V1227" s="11">
        <v>45979</v>
      </c>
      <c r="W1227" s="12">
        <v>-7.4711069526167684E-5</v>
      </c>
      <c r="X1227" s="12">
        <v>2.1043217712586326E-3</v>
      </c>
      <c r="Y1227" s="12">
        <v>-3.1959716084456469E-3</v>
      </c>
      <c r="Z1227" s="12">
        <v>-2.8081441428459142E-2</v>
      </c>
      <c r="AA1227" s="12">
        <v>8.0236344642312663E-3</v>
      </c>
      <c r="AB1227" s="12">
        <v>-8.3974608943448992E-3</v>
      </c>
      <c r="AC1227" s="12">
        <v>1.1471765623020103E-2</v>
      </c>
    </row>
    <row r="1228" spans="12:29" x14ac:dyDescent="0.2">
      <c r="L1228" s="11">
        <v>45979</v>
      </c>
      <c r="M1228" s="10">
        <v>181.12898254394531</v>
      </c>
      <c r="N1228" s="10">
        <v>116.68914031982422</v>
      </c>
      <c r="O1228" s="10">
        <v>295.21792602539062</v>
      </c>
      <c r="P1228" s="10">
        <v>266.71401977539062</v>
      </c>
      <c r="Q1228" s="10">
        <v>654.65631103515625</v>
      </c>
      <c r="R1228" s="10">
        <v>196.55682373046875</v>
      </c>
      <c r="S1228" s="10">
        <v>143.78952026367188</v>
      </c>
      <c r="V1228" s="11">
        <v>45980</v>
      </c>
      <c r="W1228" s="12">
        <v>4.187793953672303E-3</v>
      </c>
      <c r="X1228" s="12">
        <v>1.2549966820757819E-2</v>
      </c>
      <c r="Y1228" s="12">
        <v>1.2891963479127577E-2</v>
      </c>
      <c r="Z1228" s="12">
        <v>2.8451698075282472E-2</v>
      </c>
      <c r="AA1228" s="12">
        <v>0</v>
      </c>
      <c r="AB1228" s="12">
        <v>3.8631762831033978E-3</v>
      </c>
      <c r="AC1228" s="12">
        <v>-1.4114058882831126E-2</v>
      </c>
    </row>
    <row r="1229" spans="12:29" x14ac:dyDescent="0.2">
      <c r="L1229" s="11">
        <v>45980</v>
      </c>
      <c r="M1229" s="10">
        <v>186.28240966796875</v>
      </c>
      <c r="N1229" s="10">
        <v>115.04218292236328</v>
      </c>
      <c r="O1229" s="10">
        <v>299.02386474609375</v>
      </c>
      <c r="P1229" s="10">
        <v>267.83096313476562</v>
      </c>
      <c r="Q1229" s="10">
        <v>657.18536376953125</v>
      </c>
      <c r="R1229" s="10">
        <v>199.02360534667969</v>
      </c>
      <c r="S1229" s="10">
        <v>143.78952026367188</v>
      </c>
      <c r="V1229" s="11">
        <v>45981</v>
      </c>
      <c r="W1229" s="12">
        <v>-8.601361510023886E-3</v>
      </c>
      <c r="X1229" s="12">
        <v>2.7654233301908082E-3</v>
      </c>
      <c r="Y1229" s="12">
        <v>-1.6124140090426842E-2</v>
      </c>
      <c r="Z1229" s="12">
        <v>-3.1524784480993384E-2</v>
      </c>
      <c r="AA1229" s="12">
        <v>8.1637287642770673E-3</v>
      </c>
      <c r="AB1229" s="12">
        <v>-1.5242318774626007E-2</v>
      </c>
      <c r="AC1229" s="12">
        <v>-2.8121584403648647E-3</v>
      </c>
    </row>
    <row r="1230" spans="12:29" x14ac:dyDescent="0.2">
      <c r="L1230" s="11">
        <v>45981</v>
      </c>
      <c r="M1230" s="10">
        <v>180.40989685058591</v>
      </c>
      <c r="N1230" s="10">
        <v>114.71866607666016</v>
      </c>
      <c r="O1230" s="10">
        <v>294.20236206054688</v>
      </c>
      <c r="P1230" s="10">
        <v>265.52725219726562</v>
      </c>
      <c r="Q1230" s="10">
        <v>647.1683349609375</v>
      </c>
      <c r="R1230" s="10">
        <v>199.57398986816409</v>
      </c>
      <c r="S1230" s="10">
        <v>144.96337890625</v>
      </c>
      <c r="V1230" s="11">
        <v>45982</v>
      </c>
      <c r="W1230" s="12">
        <v>1.9680725800176768E-2</v>
      </c>
      <c r="X1230" s="12">
        <v>4.0871512738351878E-3</v>
      </c>
      <c r="Y1230" s="12">
        <v>-1.2065860595535938E-3</v>
      </c>
      <c r="Z1230" s="12">
        <v>-9.7430988849768196E-3</v>
      </c>
      <c r="AA1230" s="12">
        <v>1.8422326826885937E-2</v>
      </c>
      <c r="AB1230" s="12">
        <v>9.9612324800630869E-3</v>
      </c>
      <c r="AC1230" s="12">
        <v>5.1275554229879283E-4</v>
      </c>
    </row>
    <row r="1231" spans="12:29" x14ac:dyDescent="0.2">
      <c r="L1231" s="11">
        <v>45982</v>
      </c>
      <c r="M1231" s="10">
        <v>178.65214538574219</v>
      </c>
      <c r="N1231" s="10">
        <v>114.77748870849609</v>
      </c>
      <c r="O1231" s="10">
        <v>293.84738159179688</v>
      </c>
      <c r="P1231" s="10">
        <v>270.75302124023438</v>
      </c>
      <c r="Q1231" s="10">
        <v>653.61492919921875</v>
      </c>
      <c r="R1231" s="10">
        <v>200.38967895507812</v>
      </c>
      <c r="S1231" s="10">
        <v>147.63394165039062</v>
      </c>
      <c r="V1231" s="11">
        <v>45985</v>
      </c>
      <c r="W1231" s="12">
        <v>1.6317451407709793E-2</v>
      </c>
      <c r="X1231" s="12">
        <v>1.0544411987812197E-2</v>
      </c>
      <c r="Y1231" s="12">
        <v>-6.7090458189422719E-5</v>
      </c>
      <c r="Z1231" s="12">
        <v>2.0516568505674071E-2</v>
      </c>
      <c r="AA1231" s="12">
        <v>-2.6106581496170955E-2</v>
      </c>
      <c r="AB1231" s="12">
        <v>1.4718418739979588E-2</v>
      </c>
      <c r="AC1231" s="12">
        <v>-9.4806507395085449E-3</v>
      </c>
    </row>
    <row r="1232" spans="12:29" x14ac:dyDescent="0.2">
      <c r="L1232" s="11">
        <v>45985</v>
      </c>
      <c r="M1232" s="10">
        <v>182.3174743652344</v>
      </c>
      <c r="N1232" s="10">
        <v>113.68932342529295</v>
      </c>
      <c r="O1232" s="10">
        <v>293.82766723632812</v>
      </c>
      <c r="P1232" s="10">
        <v>275.1710205078125</v>
      </c>
      <c r="Q1232" s="10">
        <v>663.235107421875</v>
      </c>
      <c r="R1232" s="10">
        <v>202.50267028808591</v>
      </c>
      <c r="S1232" s="10">
        <v>143.77972412109375</v>
      </c>
      <c r="V1232" s="11">
        <v>45986</v>
      </c>
      <c r="W1232" s="12">
        <v>3.8053394528705375E-3</v>
      </c>
      <c r="X1232" s="12">
        <v>9.3773629618691956E-3</v>
      </c>
      <c r="Y1232" s="12">
        <v>1.6778413702743356E-2</v>
      </c>
      <c r="Z1232" s="12">
        <v>-2.5910756942502222E-2</v>
      </c>
      <c r="AA1232" s="12">
        <v>1.0273542282994264E-2</v>
      </c>
      <c r="AB1232" s="12">
        <v>9.4059289313044303E-3</v>
      </c>
      <c r="AC1232" s="12">
        <v>-1.2589548949040963E-2</v>
      </c>
    </row>
    <row r="1233" spans="12:29" x14ac:dyDescent="0.2">
      <c r="L1233" s="11">
        <v>45986</v>
      </c>
      <c r="M1233" s="10">
        <v>177.59349060058594</v>
      </c>
      <c r="N1233" s="10">
        <v>112.25802612304688</v>
      </c>
      <c r="O1233" s="10">
        <v>298.75762939453125</v>
      </c>
      <c r="P1233" s="10">
        <v>276.2181396484375</v>
      </c>
      <c r="Q1233" s="10">
        <v>669.47344970703125</v>
      </c>
      <c r="R1233" s="10">
        <v>204.401611328125</v>
      </c>
      <c r="S1233" s="10">
        <v>145.25685119628906</v>
      </c>
      <c r="V1233" s="11">
        <v>45987</v>
      </c>
      <c r="W1233" s="12">
        <v>2.0941064063260129E-3</v>
      </c>
      <c r="X1233" s="12">
        <v>4.3063188207768111E-3</v>
      </c>
      <c r="Y1233" s="12">
        <v>1.5313661617477159E-2</v>
      </c>
      <c r="Z1233" s="12">
        <v>1.3721728427074753E-2</v>
      </c>
      <c r="AA1233" s="12">
        <v>-1.6163574066975217E-3</v>
      </c>
      <c r="AB1233" s="12">
        <v>6.9035824180052607E-3</v>
      </c>
      <c r="AC1233" s="12">
        <v>2.2705765520512067E-3</v>
      </c>
    </row>
    <row r="1234" spans="12:29" x14ac:dyDescent="0.2">
      <c r="L1234" s="11">
        <v>45987</v>
      </c>
      <c r="M1234" s="10">
        <v>180.03038024902344</v>
      </c>
      <c r="N1234" s="10">
        <v>112.51291656494141</v>
      </c>
      <c r="O1234" s="10">
        <v>303.33270263671875</v>
      </c>
      <c r="P1234" s="10">
        <v>276.79656982421875</v>
      </c>
      <c r="Q1234" s="10">
        <v>674.09521484375</v>
      </c>
      <c r="R1234" s="10">
        <v>205.2818298339844</v>
      </c>
      <c r="S1234" s="10">
        <v>145.02206420898438</v>
      </c>
      <c r="V1234" s="11">
        <v>45989</v>
      </c>
      <c r="W1234" s="12">
        <v>4.6837565751973731E-3</v>
      </c>
      <c r="X1234" s="12">
        <v>-3.0833955854863149E-3</v>
      </c>
      <c r="Y1234" s="12">
        <v>1.7682894070448985E-2</v>
      </c>
      <c r="Z1234" s="12">
        <v>-1.8084970501686226E-2</v>
      </c>
      <c r="AA1234" s="12">
        <v>-6.0699697374810846E-4</v>
      </c>
      <c r="AB1234" s="12">
        <v>5.4584342293308996E-3</v>
      </c>
      <c r="AC1234" s="12">
        <v>1.002000841781614E-2</v>
      </c>
    </row>
    <row r="1235" spans="12:29" x14ac:dyDescent="0.2">
      <c r="L1235" s="11">
        <v>45989</v>
      </c>
      <c r="M1235" s="10">
        <v>176.7745361328125</v>
      </c>
      <c r="N1235" s="10">
        <v>113.64029693603516</v>
      </c>
      <c r="O1235" s="10">
        <v>308.69650268554688</v>
      </c>
      <c r="P1235" s="10">
        <v>278.093017578125</v>
      </c>
      <c r="Q1235" s="10">
        <v>677.77471923828125</v>
      </c>
      <c r="R1235" s="10">
        <v>204.64886474609375</v>
      </c>
      <c r="S1235" s="10">
        <v>144.93403625488281</v>
      </c>
      <c r="V1235" s="11">
        <v>45992</v>
      </c>
      <c r="W1235" s="12">
        <v>1.5241175029783172E-2</v>
      </c>
      <c r="X1235" s="12">
        <v>-7.6358490853025707E-3</v>
      </c>
      <c r="Y1235" s="12">
        <v>-1.3287209450729809E-2</v>
      </c>
      <c r="Z1235" s="12">
        <v>1.6497230579703537E-2</v>
      </c>
      <c r="AA1235" s="12">
        <v>-4.859556828378464E-3</v>
      </c>
      <c r="AB1235" s="12">
        <v>-4.5654703011644981E-3</v>
      </c>
      <c r="AC1235" s="12">
        <v>6.1249833082255289E-3</v>
      </c>
    </row>
    <row r="1236" spans="12:29" x14ac:dyDescent="0.2">
      <c r="L1236" s="11">
        <v>45992</v>
      </c>
      <c r="M1236" s="10">
        <v>179.69082641601562</v>
      </c>
      <c r="N1236" s="10">
        <v>114.33634185791016</v>
      </c>
      <c r="O1236" s="10">
        <v>304.59478759765625</v>
      </c>
      <c r="P1236" s="10">
        <v>282.33148193359375</v>
      </c>
      <c r="Q1236" s="10">
        <v>674.68035888671875</v>
      </c>
      <c r="R1236" s="10">
        <v>203.08619689941409</v>
      </c>
      <c r="S1236" s="10">
        <v>144.22972106933594</v>
      </c>
      <c r="V1236" s="11">
        <v>45993</v>
      </c>
      <c r="W1236" s="12">
        <v>1.0914951816139329E-2</v>
      </c>
      <c r="X1236" s="12">
        <v>3.8964775197047885E-4</v>
      </c>
      <c r="Y1236" s="12">
        <v>-3.3666093508821771E-3</v>
      </c>
      <c r="Z1236" s="12">
        <v>8.5592844833544124E-3</v>
      </c>
      <c r="AA1236" s="12">
        <v>-1.0716296953557802E-2</v>
      </c>
      <c r="AB1236" s="12">
        <v>1.8522768711999316E-3</v>
      </c>
      <c r="AC1236" s="12">
        <v>-1.0717660464799383E-2</v>
      </c>
    </row>
    <row r="1237" spans="12:29" x14ac:dyDescent="0.2">
      <c r="L1237" s="11">
        <v>45993</v>
      </c>
      <c r="M1237" s="10">
        <v>181.22885131835935</v>
      </c>
      <c r="N1237" s="10">
        <v>113.11092376708984</v>
      </c>
      <c r="O1237" s="10">
        <v>303.5693359375</v>
      </c>
      <c r="P1237" s="10">
        <v>285.41311645507812</v>
      </c>
      <c r="Q1237" s="10">
        <v>675.9300537109375</v>
      </c>
      <c r="R1237" s="10">
        <v>203.16532897949219</v>
      </c>
      <c r="S1237" s="10">
        <v>142.68411254882812</v>
      </c>
      <c r="V1237" s="11">
        <v>45994</v>
      </c>
      <c r="W1237" s="12">
        <v>-7.1281038901495064E-3</v>
      </c>
      <c r="X1237" s="12">
        <v>-4.3816420763220787E-4</v>
      </c>
      <c r="Y1237" s="12">
        <v>1.3804064596033561E-2</v>
      </c>
      <c r="Z1237" s="12">
        <v>-1.0305283802814258E-2</v>
      </c>
      <c r="AA1237" s="12">
        <v>5.8275387324449035E-3</v>
      </c>
      <c r="AB1237" s="12">
        <v>3.4627490803595951E-3</v>
      </c>
      <c r="AC1237" s="12">
        <v>2.0974154633768727E-2</v>
      </c>
    </row>
    <row r="1238" spans="12:29" x14ac:dyDescent="0.2">
      <c r="L1238" s="11">
        <v>45994</v>
      </c>
      <c r="M1238" s="10">
        <v>179.36123657226562</v>
      </c>
      <c r="N1238" s="10">
        <v>115.48332977294922</v>
      </c>
      <c r="O1238" s="10">
        <v>307.75982666015625</v>
      </c>
      <c r="P1238" s="10">
        <v>283.378662109375</v>
      </c>
      <c r="Q1238" s="10">
        <v>678.2706298828125</v>
      </c>
      <c r="R1238" s="10">
        <v>203.07630920410156</v>
      </c>
      <c r="S1238" s="10">
        <v>143.51560974121094</v>
      </c>
      <c r="V1238" s="11">
        <v>45995</v>
      </c>
      <c r="W1238" s="12">
        <v>-1.2141396841095942E-2</v>
      </c>
      <c r="X1238" s="12">
        <v>-1.3880054932037922E-2</v>
      </c>
      <c r="Y1238" s="12">
        <v>1.2719201433779581E-2</v>
      </c>
      <c r="Z1238" s="12">
        <v>2.1160534523537944E-2</v>
      </c>
      <c r="AA1238" s="12">
        <v>-9.2019096609951001E-3</v>
      </c>
      <c r="AB1238" s="12">
        <v>7.3104980155291877E-4</v>
      </c>
      <c r="AC1238" s="12">
        <v>-5.602765899492379E-3</v>
      </c>
    </row>
    <row r="1239" spans="12:29" x14ac:dyDescent="0.2">
      <c r="L1239" s="11">
        <v>45995</v>
      </c>
      <c r="M1239" s="10">
        <v>183.1566162109375</v>
      </c>
      <c r="N1239" s="10">
        <v>114.8363037109375</v>
      </c>
      <c r="O1239" s="10">
        <v>311.67428588867188</v>
      </c>
      <c r="P1239" s="10">
        <v>279.93804931640625</v>
      </c>
      <c r="Q1239" s="10">
        <v>678.7664794921875</v>
      </c>
      <c r="R1239" s="10">
        <v>200.25759887695312</v>
      </c>
      <c r="S1239" s="10">
        <v>142.19499206542969</v>
      </c>
      <c r="V1239" s="11">
        <v>45996</v>
      </c>
      <c r="W1239" s="12">
        <v>-6.8400666738617222E-3</v>
      </c>
      <c r="X1239" s="12">
        <v>-2.7163804676014758E-3</v>
      </c>
      <c r="Y1239" s="12">
        <v>-3.3533918675546781E-3</v>
      </c>
      <c r="Z1239" s="12">
        <v>-5.2896057701214971E-3</v>
      </c>
      <c r="AA1239" s="12">
        <v>-1.3139760943657319E-2</v>
      </c>
      <c r="AB1239" s="12">
        <v>1.8994848443159018E-3</v>
      </c>
      <c r="AC1239" s="12">
        <v>-5.1219705997094245E-3</v>
      </c>
    </row>
    <row r="1240" spans="12:29" x14ac:dyDescent="0.2">
      <c r="L1240" s="11">
        <v>45996</v>
      </c>
      <c r="M1240" s="10">
        <v>182.18778991699219</v>
      </c>
      <c r="N1240" s="10">
        <v>114.24811553955078</v>
      </c>
      <c r="O1240" s="10">
        <v>310.62911987304688</v>
      </c>
      <c r="P1240" s="10">
        <v>278.02325439453125</v>
      </c>
      <c r="Q1240" s="10">
        <v>680.0557861328125</v>
      </c>
      <c r="R1240" s="10">
        <v>199.713623046875</v>
      </c>
      <c r="S1240" s="10">
        <v>140.32658386230469</v>
      </c>
      <c r="V1240" s="11">
        <v>45999</v>
      </c>
      <c r="W1240" s="12">
        <v>-3.1925522262467032E-3</v>
      </c>
      <c r="X1240" s="12">
        <v>-1.5351724331837957E-3</v>
      </c>
      <c r="Y1240" s="12">
        <v>5.3946011743155609E-4</v>
      </c>
      <c r="Z1240" s="12">
        <v>1.7214022376646154E-2</v>
      </c>
      <c r="AA1240" s="12">
        <v>-3.56221421695323E-2</v>
      </c>
      <c r="AB1240" s="12">
        <v>-3.0042091058060105E-3</v>
      </c>
      <c r="AC1240" s="12">
        <v>-4.805295641744145E-3</v>
      </c>
    </row>
    <row r="1241" spans="12:29" x14ac:dyDescent="0.2">
      <c r="L1241" s="11">
        <v>45999</v>
      </c>
      <c r="M1241" s="10">
        <v>185.323974609375</v>
      </c>
      <c r="N1241" s="10">
        <v>113.69911956787109</v>
      </c>
      <c r="O1241" s="10">
        <v>310.79669189453125</v>
      </c>
      <c r="P1241" s="10">
        <v>277.13565063476562</v>
      </c>
      <c r="Q1241" s="10">
        <v>678.01275634765625</v>
      </c>
      <c r="R1241" s="10">
        <v>199.40702819824219</v>
      </c>
      <c r="S1241" s="10">
        <v>135.32785034179688</v>
      </c>
      <c r="V1241" s="11">
        <v>46000</v>
      </c>
      <c r="W1241" s="12">
        <v>-2.5549540307587826E-3</v>
      </c>
      <c r="X1241" s="12">
        <v>-8.2332574935498615E-3</v>
      </c>
      <c r="Y1241" s="12">
        <v>-4.663544047604784E-2</v>
      </c>
      <c r="Z1241" s="12">
        <v>-3.1258768757731481E-3</v>
      </c>
      <c r="AA1241" s="12">
        <v>9.3248884916932173E-3</v>
      </c>
      <c r="AB1241" s="12">
        <v>-8.6320811489448701E-4</v>
      </c>
      <c r="AC1241" s="12">
        <v>1.9572400327428907E-2</v>
      </c>
    </row>
    <row r="1242" spans="12:29" x14ac:dyDescent="0.2">
      <c r="L1242" s="11">
        <v>46000</v>
      </c>
      <c r="M1242" s="10">
        <v>184.74467468261719</v>
      </c>
      <c r="N1242" s="10">
        <v>115.92448425292967</v>
      </c>
      <c r="O1242" s="10">
        <v>296.30255126953125</v>
      </c>
      <c r="P1242" s="10">
        <v>276.42758178710938</v>
      </c>
      <c r="Q1242" s="10">
        <v>677.427490234375</v>
      </c>
      <c r="R1242" s="10">
        <v>197.7652587890625</v>
      </c>
      <c r="S1242" s="10">
        <v>136.58976745605469</v>
      </c>
      <c r="V1242" s="11">
        <v>46001</v>
      </c>
      <c r="W1242" s="12">
        <v>5.772479710981937E-3</v>
      </c>
      <c r="X1242" s="12">
        <v>3.2906521415745793E-2</v>
      </c>
      <c r="Y1242" s="12">
        <v>3.1945439201124026E-2</v>
      </c>
      <c r="Z1242" s="12">
        <v>-6.4334891302668673E-3</v>
      </c>
      <c r="AA1242" s="12">
        <v>1.3607703785725178E-3</v>
      </c>
      <c r="AB1242" s="12">
        <v>6.6323259487455211E-3</v>
      </c>
      <c r="AC1242" s="12">
        <v>1.090904615591981E-2</v>
      </c>
    </row>
    <row r="1243" spans="12:29" x14ac:dyDescent="0.2">
      <c r="L1243" s="11">
        <v>46001</v>
      </c>
      <c r="M1243" s="10">
        <v>183.55612182617188</v>
      </c>
      <c r="N1243" s="10">
        <v>117.18910980224609</v>
      </c>
      <c r="O1243" s="10">
        <v>305.76806640625</v>
      </c>
      <c r="P1243" s="10">
        <v>278.02325439453125</v>
      </c>
      <c r="Q1243" s="10">
        <v>681.92041015625</v>
      </c>
      <c r="R1243" s="10">
        <v>204.27302551269531</v>
      </c>
      <c r="S1243" s="10">
        <v>136.775634765625</v>
      </c>
      <c r="V1243" s="11">
        <v>46002</v>
      </c>
      <c r="W1243" s="12">
        <v>-2.690481265859801E-3</v>
      </c>
      <c r="X1243" s="12">
        <v>1.6800628837750464E-2</v>
      </c>
      <c r="Y1243" s="12">
        <v>2.3443401047247514E-2</v>
      </c>
      <c r="Z1243" s="12">
        <v>-1.5507749510496383E-2</v>
      </c>
      <c r="AA1243" s="12">
        <v>6.7228724477137458E-3</v>
      </c>
      <c r="AB1243" s="12">
        <v>2.3269460314641055E-3</v>
      </c>
      <c r="AC1243" s="12">
        <v>0</v>
      </c>
    </row>
    <row r="1244" spans="12:29" x14ac:dyDescent="0.2">
      <c r="L1244" s="11">
        <v>46002</v>
      </c>
      <c r="M1244" s="10">
        <v>180.70957946777344</v>
      </c>
      <c r="N1244" s="10">
        <v>117.18910980224609</v>
      </c>
      <c r="O1244" s="10">
        <v>312.93630981445312</v>
      </c>
      <c r="P1244" s="10">
        <v>277.27523803710938</v>
      </c>
      <c r="Q1244" s="10">
        <v>683.5072021484375</v>
      </c>
      <c r="R1244" s="10">
        <v>207.70494079589844</v>
      </c>
      <c r="S1244" s="10">
        <v>137.69515991210938</v>
      </c>
      <c r="V1244" s="11">
        <v>46003</v>
      </c>
      <c r="W1244" s="12">
        <v>8.9931986940006148E-4</v>
      </c>
      <c r="X1244" s="12">
        <v>7.4758941478094698E-3</v>
      </c>
      <c r="Y1244" s="12">
        <v>3.5919575959229011E-3</v>
      </c>
      <c r="Z1244" s="12">
        <v>-3.266449001911087E-2</v>
      </c>
      <c r="AA1244" s="12">
        <v>1.4776833750923979E-2</v>
      </c>
      <c r="AB1244" s="12">
        <v>-1.0752075575282682E-2</v>
      </c>
      <c r="AC1244" s="12">
        <v>-6.0230943442118878E-3</v>
      </c>
    </row>
    <row r="1245" spans="12:29" x14ac:dyDescent="0.2">
      <c r="L1245" s="11">
        <v>46003</v>
      </c>
      <c r="M1245" s="10">
        <v>174.80679321289062</v>
      </c>
      <c r="N1245" s="10">
        <v>116.48326873779295</v>
      </c>
      <c r="O1245" s="10">
        <v>314.06036376953125</v>
      </c>
      <c r="P1245" s="10">
        <v>277.52459716796875</v>
      </c>
      <c r="Q1245" s="10">
        <v>676.1580810546875</v>
      </c>
      <c r="R1245" s="10">
        <v>209.2577209472656</v>
      </c>
      <c r="S1245" s="10">
        <v>139.7298583984375</v>
      </c>
      <c r="V1245" s="11">
        <v>46006</v>
      </c>
      <c r="W1245" s="12">
        <v>-1.4985057058964357E-2</v>
      </c>
      <c r="X1245" s="12">
        <v>1.2241144286015082E-2</v>
      </c>
      <c r="Y1245" s="12">
        <v>4.7092010304019549E-3</v>
      </c>
      <c r="Z1245" s="12">
        <v>7.2562847968486999E-3</v>
      </c>
      <c r="AA1245" s="12">
        <v>1.6031955145033416E-2</v>
      </c>
      <c r="AB1245" s="12">
        <v>-1.5108085502177904E-3</v>
      </c>
      <c r="AC1245" s="12">
        <v>-8.9209929855160741E-3</v>
      </c>
    </row>
    <row r="1246" spans="12:29" x14ac:dyDescent="0.2">
      <c r="L1246" s="11">
        <v>46006</v>
      </c>
      <c r="M1246" s="10">
        <v>176.07524108886719</v>
      </c>
      <c r="N1246" s="10">
        <v>115.44412231445312</v>
      </c>
      <c r="O1246" s="10">
        <v>315.53933715820312</v>
      </c>
      <c r="P1246" s="10">
        <v>273.36587524414062</v>
      </c>
      <c r="Q1246" s="10">
        <v>675.13653564453125</v>
      </c>
      <c r="R1246" s="10">
        <v>211.81927490234375</v>
      </c>
      <c r="S1246" s="10">
        <v>141.97000122070312</v>
      </c>
      <c r="V1246" s="11">
        <v>46007</v>
      </c>
      <c r="W1246" s="12">
        <v>1.8241385327160131E-3</v>
      </c>
      <c r="X1246" s="12">
        <v>-2.2738929596101021E-2</v>
      </c>
      <c r="Y1246" s="12">
        <v>-1.3967764495178892E-2</v>
      </c>
      <c r="Z1246" s="12">
        <v>8.1116937496983343E-3</v>
      </c>
      <c r="AA1246" s="12">
        <v>5.5125962124846772E-4</v>
      </c>
      <c r="AB1246" s="12">
        <v>-2.7322851452302732E-3</v>
      </c>
      <c r="AC1246" s="12">
        <v>-2.6154922462371721E-2</v>
      </c>
    </row>
    <row r="1247" spans="12:29" x14ac:dyDescent="0.2">
      <c r="L1247" s="11">
        <v>46007</v>
      </c>
      <c r="M1247" s="10">
        <v>177.50350952148438</v>
      </c>
      <c r="N1247" s="10">
        <v>112.42469024658205</v>
      </c>
      <c r="O1247" s="10">
        <v>311.1319580078125</v>
      </c>
      <c r="P1247" s="10">
        <v>273.86453247070312</v>
      </c>
      <c r="Q1247" s="10">
        <v>673.2918701171875</v>
      </c>
      <c r="R1247" s="10">
        <v>207.00273132324219</v>
      </c>
      <c r="S1247" s="10">
        <v>142.04826354980469</v>
      </c>
      <c r="V1247" s="11">
        <v>46008</v>
      </c>
      <c r="W1247" s="12">
        <v>-1.0087037063657212E-2</v>
      </c>
      <c r="X1247" s="12">
        <v>4.92115253789005E-3</v>
      </c>
      <c r="Y1247" s="12">
        <v>-1.8063451994728696E-3</v>
      </c>
      <c r="Z1247" s="12">
        <v>-3.8149914853342293E-2</v>
      </c>
      <c r="AA1247" s="12">
        <v>1.7905153731090806E-2</v>
      </c>
      <c r="AB1247" s="12">
        <v>-1.1003593983400228E-2</v>
      </c>
      <c r="AC1247" s="12">
        <v>2.3805473078393424E-2</v>
      </c>
    </row>
    <row r="1248" spans="12:29" x14ac:dyDescent="0.2">
      <c r="L1248" s="11">
        <v>46008</v>
      </c>
      <c r="M1248" s="10">
        <v>170.73176574707031</v>
      </c>
      <c r="N1248" s="10">
        <v>115.10101318359376</v>
      </c>
      <c r="O1248" s="10">
        <v>310.5699462890625</v>
      </c>
      <c r="P1248" s="10">
        <v>271.10205078125</v>
      </c>
      <c r="Q1248" s="10">
        <v>665.88323974609375</v>
      </c>
      <c r="R1248" s="10">
        <v>208.02142333984375</v>
      </c>
      <c r="S1248" s="10">
        <v>144.59165954589844</v>
      </c>
      <c r="V1248" s="11">
        <v>46009</v>
      </c>
      <c r="W1248" s="12">
        <v>1.2875596388439714E-3</v>
      </c>
      <c r="X1248" s="12">
        <v>-9.6039783781752819E-3</v>
      </c>
      <c r="Y1248" s="12">
        <v>-6.2861878578989172E-3</v>
      </c>
      <c r="Z1248" s="12">
        <v>1.8719953397407174E-2</v>
      </c>
      <c r="AA1248" s="12">
        <v>-1.5492785479548798E-2</v>
      </c>
      <c r="AB1248" s="12">
        <v>7.55126270975226E-3</v>
      </c>
      <c r="AC1248" s="12">
        <v>-7.4099924966130049E-3</v>
      </c>
    </row>
    <row r="1249" spans="12:29" x14ac:dyDescent="0.2">
      <c r="L1249" s="11">
        <v>46009</v>
      </c>
      <c r="M1249" s="10">
        <v>173.9278564453125</v>
      </c>
      <c r="N1249" s="10">
        <v>114.24811553955078</v>
      </c>
      <c r="O1249" s="10">
        <v>308.61764526367188</v>
      </c>
      <c r="P1249" s="10">
        <v>271.45111083984375</v>
      </c>
      <c r="Q1249" s="10">
        <v>670.9114990234375</v>
      </c>
      <c r="R1249" s="10">
        <v>206.02359008789065</v>
      </c>
      <c r="S1249" s="10">
        <v>142.35153198242188</v>
      </c>
      <c r="V1249" s="11">
        <v>46010</v>
      </c>
      <c r="W1249" s="12">
        <v>5.4374917790060984E-3</v>
      </c>
      <c r="X1249" s="12">
        <v>-9.3129428152739502E-3</v>
      </c>
      <c r="Y1249" s="12">
        <v>1.3450402327430444E-2</v>
      </c>
      <c r="Z1249" s="12">
        <v>3.9336191946053534E-2</v>
      </c>
      <c r="AA1249" s="12">
        <v>-7.2842649115942848E-3</v>
      </c>
      <c r="AB1249" s="12">
        <v>9.0635062235870922E-3</v>
      </c>
      <c r="AC1249" s="12">
        <v>1.2871017565661003E-3</v>
      </c>
    </row>
    <row r="1250" spans="12:29" x14ac:dyDescent="0.2">
      <c r="L1250" s="11">
        <v>46010</v>
      </c>
      <c r="M1250" s="10">
        <v>180.76951599121097</v>
      </c>
      <c r="N1250" s="10">
        <v>114.39516448974609</v>
      </c>
      <c r="O1250" s="10">
        <v>312.7686767578125</v>
      </c>
      <c r="P1250" s="10">
        <v>272.9271240234375</v>
      </c>
      <c r="Q1250" s="10">
        <v>676.9923095703125</v>
      </c>
      <c r="R1250" s="10">
        <v>204.10490417480469</v>
      </c>
      <c r="S1250" s="10">
        <v>141.31460571289062</v>
      </c>
      <c r="V1250" s="11">
        <v>46013</v>
      </c>
      <c r="W1250" s="12">
        <v>-9.8658478168403008E-3</v>
      </c>
      <c r="X1250" s="12">
        <v>4.6033187704237477E-3</v>
      </c>
      <c r="Y1250" s="12">
        <v>1.8536699501717546E-2</v>
      </c>
      <c r="Z1250" s="12">
        <v>1.4917981573424388E-2</v>
      </c>
      <c r="AA1250" s="12">
        <v>-1.2252631788082669E-2</v>
      </c>
      <c r="AB1250" s="12">
        <v>6.22989400678442E-3</v>
      </c>
      <c r="AC1250" s="12">
        <v>1.251180221852688E-2</v>
      </c>
    </row>
    <row r="1251" spans="12:29" x14ac:dyDescent="0.2">
      <c r="L1251" s="11">
        <v>46013</v>
      </c>
      <c r="M1251" s="10">
        <v>183.46623229980469</v>
      </c>
      <c r="N1251" s="10">
        <v>115.82645416259766</v>
      </c>
      <c r="O1251" s="10">
        <v>318.56637573242188</v>
      </c>
      <c r="P1251" s="10">
        <v>270.23446655273438</v>
      </c>
      <c r="Q1251" s="10">
        <v>681.20989990234375</v>
      </c>
      <c r="R1251" s="10">
        <v>205.04446411132812</v>
      </c>
      <c r="S1251" s="10">
        <v>139.5831298828125</v>
      </c>
      <c r="V1251" s="11">
        <v>46014</v>
      </c>
      <c r="W1251" s="12">
        <v>5.129619359273585E-3</v>
      </c>
      <c r="X1251" s="12">
        <v>-7.4280793409989831E-3</v>
      </c>
      <c r="Y1251" s="12">
        <v>8.7901051300711686E-3</v>
      </c>
      <c r="Z1251" s="12">
        <v>3.0050626087284815E-2</v>
      </c>
      <c r="AA1251" s="12">
        <v>3.434079748833696E-3</v>
      </c>
      <c r="AB1251" s="12">
        <v>4.5704023396588855E-3</v>
      </c>
      <c r="AC1251" s="12">
        <v>1.0748995247867432E-2</v>
      </c>
    </row>
    <row r="1252" spans="12:29" x14ac:dyDescent="0.2">
      <c r="L1252" s="11">
        <v>46014</v>
      </c>
      <c r="M1252" s="10">
        <v>188.97950744628903</v>
      </c>
      <c r="N1252" s="10">
        <v>117.07147216796876</v>
      </c>
      <c r="O1252" s="10">
        <v>321.36660766601562</v>
      </c>
      <c r="P1252" s="10">
        <v>271.62066650390625</v>
      </c>
      <c r="Q1252" s="10">
        <v>684.32330322265625</v>
      </c>
      <c r="R1252" s="10">
        <v>203.52137756347656</v>
      </c>
      <c r="S1252" s="10">
        <v>140.06246948242188</v>
      </c>
      <c r="V1252" s="11">
        <v>46015</v>
      </c>
      <c r="W1252" s="12">
        <v>5.3238785474827299E-3</v>
      </c>
      <c r="X1252" s="12">
        <v>9.7190900839008165E-3</v>
      </c>
      <c r="Y1252" s="12">
        <v>9.9407998126592734E-3</v>
      </c>
      <c r="Z1252" s="12">
        <v>-3.1711040511147592E-3</v>
      </c>
      <c r="AA1252" s="12">
        <v>9.149446995762256E-3</v>
      </c>
      <c r="AB1252" s="12">
        <v>3.5176743962448409E-3</v>
      </c>
      <c r="AC1252" s="12">
        <v>-1.6747701760962963E-3</v>
      </c>
    </row>
    <row r="1253" spans="12:29" x14ac:dyDescent="0.2">
      <c r="L1253" s="11">
        <v>46015</v>
      </c>
      <c r="M1253" s="10">
        <v>188.38023376464844</v>
      </c>
      <c r="N1253" s="10">
        <v>116.87540435791016</v>
      </c>
      <c r="O1253" s="10">
        <v>324.56124877929688</v>
      </c>
      <c r="P1253" s="10">
        <v>273.06674194335938</v>
      </c>
      <c r="Q1253" s="10">
        <v>686.73052978515625</v>
      </c>
      <c r="R1253" s="10">
        <v>205.4994201660156</v>
      </c>
      <c r="S1253" s="10">
        <v>141.34396362304688</v>
      </c>
      <c r="V1253" s="11">
        <v>46017</v>
      </c>
      <c r="W1253" s="12">
        <v>-1.4975662871453688E-3</v>
      </c>
      <c r="X1253" s="12">
        <v>-7.2188012572371729E-4</v>
      </c>
      <c r="Y1253" s="12">
        <v>-3.8277523658882817E-3</v>
      </c>
      <c r="Z1253" s="12">
        <v>1.0179749413702144E-2</v>
      </c>
      <c r="AA1253" s="12">
        <v>1.7300869966245802E-3</v>
      </c>
      <c r="AB1253" s="12">
        <v>-1.0140966545213459E-4</v>
      </c>
      <c r="AC1253" s="12">
        <v>-9.2263948002657692E-4</v>
      </c>
    </row>
    <row r="1254" spans="12:29" x14ac:dyDescent="0.2">
      <c r="L1254" s="11">
        <v>46017</v>
      </c>
      <c r="M1254" s="10">
        <v>190.29789733886719</v>
      </c>
      <c r="N1254" s="10">
        <v>116.76757049560548</v>
      </c>
      <c r="O1254" s="10">
        <v>323.31890869140625</v>
      </c>
      <c r="P1254" s="10">
        <v>272.65780639648438</v>
      </c>
      <c r="Q1254" s="10">
        <v>686.660888671875</v>
      </c>
      <c r="R1254" s="10">
        <v>205.35107421875</v>
      </c>
      <c r="S1254" s="10">
        <v>141.5885009765625</v>
      </c>
      <c r="V1254" s="11">
        <v>46020</v>
      </c>
      <c r="W1254" s="12">
        <v>1.3169247892232949E-3</v>
      </c>
      <c r="X1254" s="12">
        <v>-3.3720001236436925E-4</v>
      </c>
      <c r="Y1254" s="12">
        <v>-1.2686471507801111E-2</v>
      </c>
      <c r="Z1254" s="12">
        <v>-1.2124095818556335E-2</v>
      </c>
      <c r="AA1254" s="12">
        <v>-1.1744617822505576E-3</v>
      </c>
      <c r="AB1254" s="12">
        <v>-3.5636535074947684E-3</v>
      </c>
      <c r="AC1254" s="12">
        <v>1.1921756863249255E-2</v>
      </c>
    </row>
    <row r="1255" spans="12:29" x14ac:dyDescent="0.2">
      <c r="L1255" s="11">
        <v>46020</v>
      </c>
      <c r="M1255" s="10">
        <v>187.99070739746097</v>
      </c>
      <c r="N1255" s="10">
        <v>118.15964508056641</v>
      </c>
      <c r="O1255" s="10">
        <v>319.21713256835938</v>
      </c>
      <c r="P1255" s="10">
        <v>273.01687622070312</v>
      </c>
      <c r="Q1255" s="10">
        <v>684.2138671875</v>
      </c>
      <c r="R1255" s="10">
        <v>205.2818298339844</v>
      </c>
      <c r="S1255" s="10">
        <v>141.42221069335938</v>
      </c>
      <c r="V1255" s="11">
        <v>46021</v>
      </c>
      <c r="W1255" s="12">
        <v>-2.4840667289872664E-3</v>
      </c>
      <c r="X1255" s="12">
        <v>-3.1316363582306606E-3</v>
      </c>
      <c r="Y1255" s="12">
        <v>-1.0192056352769097E-3</v>
      </c>
      <c r="Z1255" s="12">
        <v>-3.6127780493745432E-3</v>
      </c>
      <c r="AA1255" s="12">
        <v>-3.5969049591476621E-3</v>
      </c>
      <c r="AB1255" s="12">
        <v>-1.2211244085722495E-3</v>
      </c>
      <c r="AC1255" s="12">
        <v>3.8164520742349772E-3</v>
      </c>
    </row>
    <row r="1256" spans="12:29" x14ac:dyDescent="0.2">
      <c r="L1256" s="11">
        <v>46021</v>
      </c>
      <c r="M1256" s="10">
        <v>187.31153869628903</v>
      </c>
      <c r="N1256" s="10">
        <v>118.610595703125</v>
      </c>
      <c r="O1256" s="10">
        <v>318.89178466796875</v>
      </c>
      <c r="P1256" s="10">
        <v>272.33868408203125</v>
      </c>
      <c r="Q1256" s="10">
        <v>683.37835693359375</v>
      </c>
      <c r="R1256" s="10">
        <v>204.63896179199219</v>
      </c>
      <c r="S1256" s="10">
        <v>140.91352844238281</v>
      </c>
      <c r="V1256" s="11">
        <v>46022</v>
      </c>
      <c r="W1256" s="12">
        <v>-4.4675063654233682E-3</v>
      </c>
      <c r="X1256" s="12">
        <v>1.9334558625883069E-4</v>
      </c>
      <c r="Y1256" s="12">
        <v>-3.7104359408144383E-3</v>
      </c>
      <c r="Z1256" s="12">
        <v>-5.5454501835298098E-3</v>
      </c>
      <c r="AA1256" s="12">
        <v>-5.137137788796875E-3</v>
      </c>
      <c r="AB1256" s="12">
        <v>-7.4089416209803804E-3</v>
      </c>
      <c r="AC1256" s="12">
        <v>-5.3723249332583434E-3</v>
      </c>
    </row>
    <row r="1257" spans="12:29" x14ac:dyDescent="0.2">
      <c r="L1257" s="11">
        <v>46022</v>
      </c>
      <c r="M1257" s="10">
        <v>186.27281188964844</v>
      </c>
      <c r="N1257" s="10">
        <v>117.97338104248048</v>
      </c>
      <c r="O1257" s="10">
        <v>317.70855712890625</v>
      </c>
      <c r="P1257" s="10">
        <v>271.12200927734375</v>
      </c>
      <c r="Q1257" s="10">
        <v>678.31524658203125</v>
      </c>
      <c r="R1257" s="10">
        <v>204.67852783203125</v>
      </c>
      <c r="S1257" s="10">
        <v>140.18963623046875</v>
      </c>
      <c r="V1257" s="11">
        <v>46024</v>
      </c>
      <c r="W1257" s="12">
        <v>-3.1265878039100636E-3</v>
      </c>
      <c r="X1257" s="12">
        <v>1.9328584596236542E-3</v>
      </c>
      <c r="Y1257" s="12">
        <v>1.0117308447080475E-2</v>
      </c>
      <c r="Z1257" s="12">
        <v>1.2600536961681508E-2</v>
      </c>
      <c r="AA1257" s="12">
        <v>-1.0606404288972748E-2</v>
      </c>
      <c r="AB1257" s="12">
        <v>1.8329931020035772E-3</v>
      </c>
      <c r="AC1257" s="12">
        <v>1.9195684254685874E-2</v>
      </c>
    </row>
    <row r="1258" spans="12:29" x14ac:dyDescent="0.2">
      <c r="L1258" s="11">
        <v>46024</v>
      </c>
      <c r="M1258" s="10">
        <v>188.61994934082031</v>
      </c>
      <c r="N1258" s="10">
        <v>120.23796081542967</v>
      </c>
      <c r="O1258" s="10">
        <v>320.92291259765625</v>
      </c>
      <c r="P1258" s="10">
        <v>270.27432250976562</v>
      </c>
      <c r="Q1258" s="10">
        <v>679.55859375</v>
      </c>
      <c r="R1258" s="10">
        <v>205.07414245605469</v>
      </c>
      <c r="S1258" s="10">
        <v>138.70272827148438</v>
      </c>
      <c r="V1258" s="11">
        <v>46027</v>
      </c>
      <c r="W1258" s="12">
        <v>-1.3837078913669698E-2</v>
      </c>
      <c r="X1258" s="12">
        <v>-1.4661222215699321E-2</v>
      </c>
      <c r="Y1258" s="12">
        <v>2.6299633644040865E-2</v>
      </c>
      <c r="Z1258" s="12">
        <v>-3.8655016095672234E-3</v>
      </c>
      <c r="AA1258" s="12">
        <v>-1.0014827246842772E-2</v>
      </c>
      <c r="AB1258" s="12">
        <v>6.660117292359935E-3</v>
      </c>
      <c r="AC1258" s="12">
        <v>2.2095352551392056E-2</v>
      </c>
    </row>
    <row r="1259" spans="12:29" x14ac:dyDescent="0.2">
      <c r="L1259" s="11">
        <v>46027</v>
      </c>
      <c r="M1259" s="10">
        <v>187.89083862304688</v>
      </c>
      <c r="N1259" s="10">
        <v>122.89466094970705</v>
      </c>
      <c r="O1259" s="10">
        <v>329.36306762695312</v>
      </c>
      <c r="P1259" s="10">
        <v>266.53451538085938</v>
      </c>
      <c r="Q1259" s="10">
        <v>684.08453369140625</v>
      </c>
      <c r="R1259" s="10">
        <v>202.0675048828125</v>
      </c>
      <c r="S1259" s="10">
        <v>137.31364440917969</v>
      </c>
      <c r="V1259" s="11">
        <v>46028</v>
      </c>
      <c r="W1259" s="12">
        <v>-1.8334281183122636E-2</v>
      </c>
      <c r="X1259" s="12">
        <v>2.3493705511323792E-3</v>
      </c>
      <c r="Y1259" s="12">
        <v>6.2247459339848099E-3</v>
      </c>
      <c r="Z1259" s="12">
        <v>-4.6778305702940282E-3</v>
      </c>
      <c r="AA1259" s="12">
        <v>-3.2769243916009883E-3</v>
      </c>
      <c r="AB1259" s="12">
        <v>5.9472480516442605E-3</v>
      </c>
      <c r="AC1259" s="12">
        <v>-3.4381010388036537E-2</v>
      </c>
    </row>
    <row r="1260" spans="12:29" x14ac:dyDescent="0.2">
      <c r="L1260" s="11">
        <v>46028</v>
      </c>
      <c r="M1260" s="10">
        <v>187.01191711425781</v>
      </c>
      <c r="N1260" s="10">
        <v>118.66941833496094</v>
      </c>
      <c r="O1260" s="10">
        <v>331.41326904296875</v>
      </c>
      <c r="P1260" s="10">
        <v>261.64779663085938</v>
      </c>
      <c r="Q1260" s="10">
        <v>688.1529541015625</v>
      </c>
      <c r="R1260" s="10">
        <v>202.542236328125</v>
      </c>
      <c r="S1260" s="10">
        <v>136.86367797851562</v>
      </c>
      <c r="V1260" s="11">
        <v>46029</v>
      </c>
      <c r="W1260" s="12">
        <v>-7.7375221244099235E-3</v>
      </c>
      <c r="X1260" s="12">
        <v>1.3184234697382946E-2</v>
      </c>
      <c r="Y1260" s="12">
        <v>-2.2772715762333418E-2</v>
      </c>
      <c r="Z1260" s="12">
        <v>9.9870977617271262E-3</v>
      </c>
      <c r="AA1260" s="12">
        <v>-1.3365742430624272E-2</v>
      </c>
      <c r="AB1260" s="12">
        <v>-3.2234122811981569E-3</v>
      </c>
      <c r="AC1260" s="12">
        <v>-2.1148319834118467E-2</v>
      </c>
    </row>
    <row r="1261" spans="12:29" x14ac:dyDescent="0.2">
      <c r="L1261" s="11">
        <v>46029</v>
      </c>
      <c r="M1261" s="10">
        <v>188.87962341308591</v>
      </c>
      <c r="N1261" s="10">
        <v>116.15975952148438</v>
      </c>
      <c r="O1261" s="10">
        <v>323.8660888671875</v>
      </c>
      <c r="P1261" s="10">
        <v>259.623291015625</v>
      </c>
      <c r="Q1261" s="10">
        <v>685.93475341796875</v>
      </c>
      <c r="R1261" s="10">
        <v>205.21260070800781</v>
      </c>
      <c r="S1261" s="10">
        <v>135.03439331054688</v>
      </c>
      <c r="V1261" s="11">
        <v>46030</v>
      </c>
      <c r="W1261" s="12">
        <v>-4.9550176459469686E-3</v>
      </c>
      <c r="X1261" s="12">
        <v>-8.3859445439534719E-3</v>
      </c>
      <c r="Y1261" s="12">
        <v>8.562966268655936E-3</v>
      </c>
      <c r="Z1261" s="12">
        <v>-2.152181842344103E-2</v>
      </c>
      <c r="AA1261" s="12">
        <v>2.528234564806997E-2</v>
      </c>
      <c r="AB1261" s="12">
        <v>-1.0152731427326422E-4</v>
      </c>
      <c r="AC1261" s="12">
        <v>3.7302798527607761E-2</v>
      </c>
    </row>
    <row r="1262" spans="12:29" x14ac:dyDescent="0.2">
      <c r="L1262" s="11">
        <v>46030</v>
      </c>
      <c r="M1262" s="10">
        <v>184.81459045410156</v>
      </c>
      <c r="N1262" s="10">
        <v>120.49284362792967</v>
      </c>
      <c r="O1262" s="10">
        <v>326.63934326171875</v>
      </c>
      <c r="P1262" s="10">
        <v>258.33685302734375</v>
      </c>
      <c r="Q1262" s="10">
        <v>685.8651123046875</v>
      </c>
      <c r="R1262" s="10">
        <v>203.49169921875</v>
      </c>
      <c r="S1262" s="10">
        <v>138.44837951660156</v>
      </c>
      <c r="V1262" s="11">
        <v>46031</v>
      </c>
      <c r="W1262" s="12">
        <v>1.2738060445718347E-3</v>
      </c>
      <c r="X1262" s="12">
        <v>-6.6099121537799288E-3</v>
      </c>
      <c r="Y1262" s="12">
        <v>-1.8193423758875449E-3</v>
      </c>
      <c r="Z1262" s="12">
        <v>-9.7283613313037254E-4</v>
      </c>
      <c r="AA1262" s="12">
        <v>2.4024194804279642E-3</v>
      </c>
      <c r="AB1262" s="12">
        <v>6.6133829968886282E-3</v>
      </c>
      <c r="AC1262" s="12">
        <v>1.3831235874492753E-2</v>
      </c>
    </row>
    <row r="1263" spans="12:29" x14ac:dyDescent="0.2">
      <c r="L1263" s="11">
        <v>46031</v>
      </c>
      <c r="M1263" s="10">
        <v>184.63479614257812</v>
      </c>
      <c r="N1263" s="10">
        <v>122.15940856933594</v>
      </c>
      <c r="O1263" s="10">
        <v>326.04507446289062</v>
      </c>
      <c r="P1263" s="10">
        <v>258.66592407226562</v>
      </c>
      <c r="Q1263" s="10">
        <v>690.4010009765625</v>
      </c>
      <c r="R1263" s="10">
        <v>202.14663696289065</v>
      </c>
      <c r="S1263" s="10">
        <v>138.78099060058594</v>
      </c>
      <c r="V1263" s="11">
        <v>46034</v>
      </c>
      <c r="W1263" s="12">
        <v>3.3927700267757377E-3</v>
      </c>
      <c r="X1263" s="12">
        <v>2.6077602442412973E-2</v>
      </c>
      <c r="Y1263" s="12">
        <v>-1.4277537721672284E-2</v>
      </c>
      <c r="Z1263" s="12">
        <v>4.3280183361860125E-4</v>
      </c>
      <c r="AA1263" s="12">
        <v>1.120762041223955E-2</v>
      </c>
      <c r="AB1263" s="12">
        <v>1.5704330006638401E-3</v>
      </c>
      <c r="AC1263" s="12">
        <v>-4.6545402674221803E-3</v>
      </c>
    </row>
    <row r="1264" spans="12:29" x14ac:dyDescent="0.2">
      <c r="L1264" s="11">
        <v>46034</v>
      </c>
      <c r="M1264" s="10">
        <v>184.71470642089844</v>
      </c>
      <c r="N1264" s="10">
        <v>121.59081268310548</v>
      </c>
      <c r="O1264" s="10">
        <v>321.38995361328125</v>
      </c>
      <c r="P1264" s="10">
        <v>259.54351806640625</v>
      </c>
      <c r="Q1264" s="10">
        <v>691.4852294921875</v>
      </c>
      <c r="R1264" s="10">
        <v>207.41813659667969</v>
      </c>
      <c r="S1264" s="10">
        <v>140.33639526367188</v>
      </c>
      <c r="V1264" s="11">
        <v>46035</v>
      </c>
      <c r="W1264" s="12">
        <v>3.0739393950796057E-3</v>
      </c>
      <c r="X1264" s="12">
        <v>1.8739229572096061E-2</v>
      </c>
      <c r="Y1264" s="12">
        <v>-4.1881130412505296E-2</v>
      </c>
      <c r="Z1264" s="12">
        <v>4.7042397304424277E-3</v>
      </c>
      <c r="AA1264" s="12">
        <v>5.4368307526970749E-3</v>
      </c>
      <c r="AB1264" s="12">
        <v>-1.9995067653818532E-3</v>
      </c>
      <c r="AC1264" s="12">
        <v>2.0236992170055812E-2</v>
      </c>
    </row>
    <row r="1265" spans="12:29" x14ac:dyDescent="0.2">
      <c r="L1265" s="11">
        <v>46035</v>
      </c>
      <c r="M1265" s="10">
        <v>185.58364868164065</v>
      </c>
      <c r="N1265" s="10">
        <v>124.05144500732422</v>
      </c>
      <c r="O1265" s="10">
        <v>307.92977905273438</v>
      </c>
      <c r="P1265" s="10">
        <v>260.34133911132812</v>
      </c>
      <c r="Q1265" s="10">
        <v>690.10260009765625</v>
      </c>
      <c r="R1265" s="10">
        <v>211.30499267578125</v>
      </c>
      <c r="S1265" s="10">
        <v>141.09938049316406</v>
      </c>
      <c r="V1265" s="11">
        <v>46036</v>
      </c>
      <c r="W1265" s="12">
        <v>-4.1753093033355393E-3</v>
      </c>
      <c r="X1265" s="12">
        <v>2.2934652909384345E-2</v>
      </c>
      <c r="Y1265" s="12">
        <v>-9.7458505211420743E-3</v>
      </c>
      <c r="Z1265" s="12">
        <v>-1.4369602734984444E-2</v>
      </c>
      <c r="AA1265" s="12">
        <v>1.4628495518968165E-2</v>
      </c>
      <c r="AB1265" s="12">
        <v>-4.9151644595419874E-3</v>
      </c>
      <c r="AC1265" s="12">
        <v>2.8923586461251372E-2</v>
      </c>
    </row>
    <row r="1266" spans="12:29" x14ac:dyDescent="0.2">
      <c r="L1266" s="11">
        <v>46036</v>
      </c>
      <c r="M1266" s="10">
        <v>182.91688537597656</v>
      </c>
      <c r="N1266" s="10">
        <v>127.63945770263672</v>
      </c>
      <c r="O1266" s="10">
        <v>304.92874145507812</v>
      </c>
      <c r="P1266" s="10">
        <v>259.25433349609375</v>
      </c>
      <c r="Q1266" s="10">
        <v>686.71063232421875</v>
      </c>
      <c r="R1266" s="10">
        <v>216.15119934082031</v>
      </c>
      <c r="S1266" s="10">
        <v>143.1634521484375</v>
      </c>
      <c r="V1266" s="11">
        <v>46037</v>
      </c>
      <c r="W1266" s="12">
        <v>-6.7318827494813327E-3</v>
      </c>
      <c r="X1266" s="12">
        <v>4.6671939973252918E-3</v>
      </c>
      <c r="Y1266" s="12">
        <v>4.5149548559559882E-3</v>
      </c>
      <c r="Z1266" s="12">
        <v>2.1349905289956617E-2</v>
      </c>
      <c r="AA1266" s="12">
        <v>-1.1752586769213758E-2</v>
      </c>
      <c r="AB1266" s="12">
        <v>2.7232083854802358E-3</v>
      </c>
      <c r="AC1266" s="12">
        <v>-8.218011771576883E-3</v>
      </c>
    </row>
    <row r="1267" spans="12:29" x14ac:dyDescent="0.2">
      <c r="L1267" s="11">
        <v>46037</v>
      </c>
      <c r="M1267" s="10">
        <v>186.8221435546875</v>
      </c>
      <c r="N1267" s="10">
        <v>126.59051513671876</v>
      </c>
      <c r="O1267" s="10">
        <v>306.30548095703125</v>
      </c>
      <c r="P1267" s="10">
        <v>257.50906372070312</v>
      </c>
      <c r="Q1267" s="10">
        <v>688.5806884765625</v>
      </c>
      <c r="R1267" s="10">
        <v>217.16001892089844</v>
      </c>
      <c r="S1267" s="10">
        <v>141.48091125488281</v>
      </c>
      <c r="V1267" s="11">
        <v>46038</v>
      </c>
      <c r="W1267" s="12">
        <v>-1.0379107417738509E-2</v>
      </c>
      <c r="X1267" s="12">
        <v>-4.1445217150692937E-3</v>
      </c>
      <c r="Y1267" s="12">
        <v>1.0379576882297181E-2</v>
      </c>
      <c r="Z1267" s="12">
        <v>-4.3839316225913194E-3</v>
      </c>
      <c r="AA1267" s="12">
        <v>-6.9153749859929281E-4</v>
      </c>
      <c r="AB1267" s="12">
        <v>-8.3790518916204704E-4</v>
      </c>
      <c r="AC1267" s="12">
        <v>5.8855003642612758E-3</v>
      </c>
    </row>
    <row r="1268" spans="12:29" x14ac:dyDescent="0.2">
      <c r="L1268" s="11">
        <v>46038</v>
      </c>
      <c r="M1268" s="10">
        <v>186.00312805175781</v>
      </c>
      <c r="N1268" s="10">
        <v>127.33556365966795</v>
      </c>
      <c r="O1268" s="10">
        <v>309.48480224609375</v>
      </c>
      <c r="P1268" s="10">
        <v>254.83634948730469</v>
      </c>
      <c r="Q1268" s="10">
        <v>688.00372314453125</v>
      </c>
      <c r="R1268" s="10">
        <v>216.25999450683591</v>
      </c>
      <c r="S1268" s="10">
        <v>141.38307189941406</v>
      </c>
      <c r="V1268" s="11">
        <v>46042</v>
      </c>
      <c r="W1268" s="12">
        <v>-3.4555628705065122E-2</v>
      </c>
      <c r="X1268" s="12">
        <v>-2.0579539068278363E-3</v>
      </c>
      <c r="Y1268" s="12">
        <v>-3.113902321993911E-2</v>
      </c>
      <c r="Z1268" s="12">
        <v>-4.3816762744832816E-2</v>
      </c>
      <c r="AA1268" s="12">
        <v>1.7089947301229147E-2</v>
      </c>
      <c r="AB1268" s="12">
        <v>-2.0356800011497311E-2</v>
      </c>
      <c r="AC1268" s="12">
        <v>4.388462712117347E-3</v>
      </c>
    </row>
    <row r="1269" spans="12:29" x14ac:dyDescent="0.2">
      <c r="L1269" s="11">
        <v>46042</v>
      </c>
      <c r="M1269" s="10">
        <v>177.85307312011719</v>
      </c>
      <c r="N1269" s="10">
        <v>127.89437103271484</v>
      </c>
      <c r="O1269" s="10">
        <v>299.84774780273438</v>
      </c>
      <c r="P1269" s="10">
        <v>246.03031921386719</v>
      </c>
      <c r="Q1269" s="10">
        <v>673.9981689453125</v>
      </c>
      <c r="R1269" s="10">
        <v>215.81494140625</v>
      </c>
      <c r="S1269" s="10">
        <v>143.79930114746094</v>
      </c>
      <c r="V1269" s="11">
        <v>46043</v>
      </c>
      <c r="W1269" s="12">
        <v>3.8508809593345017E-3</v>
      </c>
      <c r="X1269" s="12">
        <v>-9.1652450626600324E-4</v>
      </c>
      <c r="Y1269" s="12">
        <v>-2.3120661313811297E-3</v>
      </c>
      <c r="Z1269" s="12">
        <v>2.9482885699874561E-2</v>
      </c>
      <c r="AA1269" s="12">
        <v>-6.3947158068559107E-3</v>
      </c>
      <c r="AB1269" s="12">
        <v>1.1541109281661299E-2</v>
      </c>
      <c r="AC1269" s="12">
        <v>2.4145322560718885E-2</v>
      </c>
    </row>
    <row r="1270" spans="12:29" x14ac:dyDescent="0.2">
      <c r="L1270" s="11">
        <v>46043</v>
      </c>
      <c r="M1270" s="10">
        <v>183.09669494628903</v>
      </c>
      <c r="N1270" s="10">
        <v>130.982421875</v>
      </c>
      <c r="O1270" s="10">
        <v>299.15447998046875</v>
      </c>
      <c r="P1270" s="10">
        <v>246.97775268554688</v>
      </c>
      <c r="Q1270" s="10">
        <v>681.77685546875</v>
      </c>
      <c r="R1270" s="10">
        <v>215.61714172363281</v>
      </c>
      <c r="S1270" s="10">
        <v>142.87974548339844</v>
      </c>
      <c r="V1270" s="11">
        <v>46044</v>
      </c>
      <c r="W1270" s="12">
        <v>2.8265282683099802E-3</v>
      </c>
      <c r="X1270" s="12">
        <v>2.2017333200761158E-3</v>
      </c>
      <c r="Y1270" s="12">
        <v>5.2640631238718427E-3</v>
      </c>
      <c r="Z1270" s="12">
        <v>8.2913972961204951E-3</v>
      </c>
      <c r="AA1270" s="12">
        <v>2.6495960439852917E-2</v>
      </c>
      <c r="AB1270" s="12">
        <v>5.2232576727144764E-3</v>
      </c>
      <c r="AC1270" s="12">
        <v>2.2448574474753791E-4</v>
      </c>
    </row>
    <row r="1271" spans="12:29" x14ac:dyDescent="0.2">
      <c r="L1271" s="11">
        <v>46044</v>
      </c>
      <c r="M1271" s="10">
        <v>184.61482238769531</v>
      </c>
      <c r="N1271" s="10">
        <v>131.01182556152344</v>
      </c>
      <c r="O1271" s="10">
        <v>300.729248046875</v>
      </c>
      <c r="P1271" s="10">
        <v>247.67584228515625</v>
      </c>
      <c r="Q1271" s="10">
        <v>685.33795166015625</v>
      </c>
      <c r="R1271" s="10">
        <v>216.09187316894531</v>
      </c>
      <c r="S1271" s="10">
        <v>146.66548156738281</v>
      </c>
      <c r="V1271" s="11">
        <v>46045</v>
      </c>
      <c r="W1271" s="12">
        <v>-1.2482377059581662E-3</v>
      </c>
      <c r="X1271" s="12">
        <v>7.5517958631945437E-3</v>
      </c>
      <c r="Y1271" s="12">
        <v>-1.9464505632873164E-2</v>
      </c>
      <c r="Z1271" s="12">
        <v>1.5310543910665775E-2</v>
      </c>
      <c r="AA1271" s="12">
        <v>8.5778322613427882E-3</v>
      </c>
      <c r="AB1271" s="12">
        <v>3.6273518897367296E-4</v>
      </c>
      <c r="AC1271" s="12">
        <v>9.9520253398821534E-3</v>
      </c>
    </row>
    <row r="1272" spans="12:29" x14ac:dyDescent="0.2">
      <c r="L1272" s="11">
        <v>46045</v>
      </c>
      <c r="M1272" s="10">
        <v>187.44137573242188</v>
      </c>
      <c r="N1272" s="10">
        <v>132.31565856933594</v>
      </c>
      <c r="O1272" s="10">
        <v>294.87570190429688</v>
      </c>
      <c r="P1272" s="10">
        <v>247.36668395996097</v>
      </c>
      <c r="Q1272" s="10">
        <v>685.5865478515625</v>
      </c>
      <c r="R1272" s="10">
        <v>217.7237548828125</v>
      </c>
      <c r="S1272" s="10">
        <v>147.92355346679688</v>
      </c>
      <c r="V1272" s="11">
        <v>46048</v>
      </c>
      <c r="W1272" s="12">
        <v>2.971293759961724E-2</v>
      </c>
      <c r="X1272" s="12">
        <v>6.1324949133574336E-3</v>
      </c>
      <c r="Y1272" s="12">
        <v>1.1151476840279395E-2</v>
      </c>
      <c r="Z1272" s="12">
        <v>-6.3941704429395507E-3</v>
      </c>
      <c r="AA1272" s="12">
        <v>-4.3954613413754728E-3</v>
      </c>
      <c r="AB1272" s="12">
        <v>5.0781427356856312E-3</v>
      </c>
      <c r="AC1272" s="12">
        <v>-9.6327725997957803E-4</v>
      </c>
    </row>
    <row r="1273" spans="12:29" x14ac:dyDescent="0.2">
      <c r="L1273" s="11">
        <v>46048</v>
      </c>
      <c r="M1273" s="10">
        <v>186.24284362792969</v>
      </c>
      <c r="N1273" s="10">
        <v>132.18820190429688</v>
      </c>
      <c r="O1273" s="10">
        <v>298.16400146484375</v>
      </c>
      <c r="P1273" s="10">
        <v>254.7166748046875</v>
      </c>
      <c r="Q1273" s="10">
        <v>689.06805419921875</v>
      </c>
      <c r="R1273" s="10">
        <v>219.05894470214844</v>
      </c>
      <c r="S1273" s="10">
        <v>147.27336120605469</v>
      </c>
      <c r="V1273" s="11">
        <v>46049</v>
      </c>
      <c r="W1273" s="12">
        <v>1.1197552619307993E-2</v>
      </c>
      <c r="X1273" s="12">
        <v>1.3318870872032207E-2</v>
      </c>
      <c r="Y1273" s="12">
        <v>-2.4249153398310241E-3</v>
      </c>
      <c r="Z1273" s="12">
        <v>1.0993714284356582E-2</v>
      </c>
      <c r="AA1273" s="12">
        <v>-7.6929397048626225E-3</v>
      </c>
      <c r="AB1273" s="12">
        <v>3.9842543077575066E-3</v>
      </c>
      <c r="AC1273" s="12">
        <v>1.4758366706737025E-2</v>
      </c>
    </row>
    <row r="1274" spans="12:29" x14ac:dyDescent="0.2">
      <c r="L1274" s="11">
        <v>46049</v>
      </c>
      <c r="M1274" s="10">
        <v>188.29034423828125</v>
      </c>
      <c r="N1274" s="10">
        <v>134.13908386230469</v>
      </c>
      <c r="O1274" s="10">
        <v>297.44097900390625</v>
      </c>
      <c r="P1274" s="10">
        <v>257.56887817382812</v>
      </c>
      <c r="Q1274" s="10">
        <v>691.8134765625</v>
      </c>
      <c r="R1274" s="10">
        <v>221.9765625</v>
      </c>
      <c r="S1274" s="10">
        <v>146.14039611816406</v>
      </c>
      <c r="V1274" s="11">
        <v>46050</v>
      </c>
      <c r="W1274" s="12">
        <v>-7.0854715103063626E-3</v>
      </c>
      <c r="X1274" s="12">
        <v>1.4614170340161214E-2</v>
      </c>
      <c r="Y1274" s="12">
        <v>1.5316195091061857E-3</v>
      </c>
      <c r="Z1274" s="12">
        <v>1.5913472151403374E-2</v>
      </c>
      <c r="AA1274" s="12">
        <v>-6.7412466586902475E-3</v>
      </c>
      <c r="AB1274" s="12">
        <v>-1.006645803248718E-4</v>
      </c>
      <c r="AC1274" s="12">
        <v>5.4812119615434973E-3</v>
      </c>
    </row>
    <row r="1275" spans="12:29" x14ac:dyDescent="0.2">
      <c r="L1275" s="11">
        <v>46050</v>
      </c>
      <c r="M1275" s="10">
        <v>191.28669738769531</v>
      </c>
      <c r="N1275" s="10">
        <v>134.87432861328125</v>
      </c>
      <c r="O1275" s="10">
        <v>297.89654541015625</v>
      </c>
      <c r="P1275" s="10">
        <v>255.74388122558591</v>
      </c>
      <c r="Q1275" s="10">
        <v>691.74383544921875</v>
      </c>
      <c r="R1275" s="10">
        <v>225.22056579589844</v>
      </c>
      <c r="S1275" s="10">
        <v>145.15522766113281</v>
      </c>
      <c r="V1275" s="11">
        <v>46051</v>
      </c>
      <c r="W1275" s="12">
        <v>7.1751734785341359E-3</v>
      </c>
      <c r="X1275" s="12">
        <v>-1.8883398469721202E-3</v>
      </c>
      <c r="Y1275" s="12">
        <v>1.8785277715230198E-2</v>
      </c>
      <c r="Z1275" s="12">
        <v>5.1691246884515429E-3</v>
      </c>
      <c r="AA1275" s="12">
        <v>1.7374735529980256E-2</v>
      </c>
      <c r="AB1275" s="12">
        <v>-1.9843771548337941E-3</v>
      </c>
      <c r="AC1275" s="12">
        <v>2.1296680530785705E-2</v>
      </c>
    </row>
    <row r="1276" spans="12:29" x14ac:dyDescent="0.2">
      <c r="L1276" s="11">
        <v>46051</v>
      </c>
      <c r="M1276" s="10">
        <v>192.2754821777344</v>
      </c>
      <c r="N1276" s="10">
        <v>137.7467041015625</v>
      </c>
      <c r="O1276" s="10">
        <v>303.49261474609375</v>
      </c>
      <c r="P1276" s="10">
        <v>257.57888793945312</v>
      </c>
      <c r="Q1276" s="10">
        <v>690.37115478515625</v>
      </c>
      <c r="R1276" s="10">
        <v>224.79527282714844</v>
      </c>
      <c r="S1276" s="10">
        <v>147.67726135253906</v>
      </c>
      <c r="V1276" s="11">
        <v>46052</v>
      </c>
      <c r="W1276" s="12">
        <v>4.6461370951069725E-3</v>
      </c>
      <c r="X1276" s="12">
        <v>-1.7600921737137565E-4</v>
      </c>
      <c r="Y1276" s="12">
        <v>-1.729639654550752E-3</v>
      </c>
      <c r="Z1276" s="12">
        <v>-7.1684186752033474E-3</v>
      </c>
      <c r="AA1276" s="12">
        <v>1.2475076659581585E-2</v>
      </c>
      <c r="AB1276" s="12">
        <v>-2.9825725147667459E-3</v>
      </c>
      <c r="AC1276" s="12">
        <v>6.3340721237907793E-3</v>
      </c>
    </row>
    <row r="1277" spans="12:29" x14ac:dyDescent="0.2">
      <c r="L1277" s="11">
        <v>46052</v>
      </c>
      <c r="M1277" s="10">
        <v>190.89717102050781</v>
      </c>
      <c r="N1277" s="10">
        <v>138.61920166015625</v>
      </c>
      <c r="O1277" s="10">
        <v>302.96768188476562</v>
      </c>
      <c r="P1277" s="10">
        <v>258.775634765625</v>
      </c>
      <c r="Q1277" s="10">
        <v>688.31207275390625</v>
      </c>
      <c r="R1277" s="10">
        <v>224.75570678710935</v>
      </c>
      <c r="S1277" s="10">
        <v>149.51954650878906</v>
      </c>
      <c r="V1277" s="11">
        <v>46055</v>
      </c>
      <c r="W1277" s="12">
        <v>4.0581232988504023E-2</v>
      </c>
      <c r="X1277" s="12">
        <v>1.540165069088828E-2</v>
      </c>
      <c r="Y1277" s="12">
        <v>7.3556216000874031E-3</v>
      </c>
      <c r="Z1277" s="12">
        <v>-2.8880863540361679E-2</v>
      </c>
      <c r="AA1277" s="12">
        <v>9.356241860704273E-3</v>
      </c>
      <c r="AB1277" s="12">
        <v>4.9714005252141646E-3</v>
      </c>
      <c r="AC1277" s="12">
        <v>-2.1216355508276274E-2</v>
      </c>
    </row>
    <row r="1278" spans="12:29" x14ac:dyDescent="0.2">
      <c r="L1278" s="11">
        <v>46055</v>
      </c>
      <c r="M1278" s="10">
        <v>185.38389587402344</v>
      </c>
      <c r="N1278" s="10">
        <v>135.67820739746094</v>
      </c>
      <c r="O1278" s="10">
        <v>305.19619750976562</v>
      </c>
      <c r="P1278" s="10">
        <v>269.27706909179688</v>
      </c>
      <c r="Q1278" s="10">
        <v>691.73394775390625</v>
      </c>
      <c r="R1278" s="10">
        <v>228.21731567382812</v>
      </c>
      <c r="S1278" s="10">
        <v>150.91848754882812</v>
      </c>
      <c r="V1278" s="11">
        <v>46056</v>
      </c>
      <c r="W1278" s="12">
        <v>-1.9629018353019001E-3</v>
      </c>
      <c r="X1278" s="12">
        <v>1.0184168034526708E-2</v>
      </c>
      <c r="Y1278" s="12">
        <v>2.177574320277964E-2</v>
      </c>
      <c r="Z1278" s="12">
        <v>-2.8392949431980563E-2</v>
      </c>
      <c r="AA1278" s="12">
        <v>1.3904321621128091E-2</v>
      </c>
      <c r="AB1278" s="12">
        <v>-8.4554733901278656E-3</v>
      </c>
      <c r="AC1278" s="12">
        <v>3.8511632112572913E-2</v>
      </c>
    </row>
    <row r="1279" spans="12:29" x14ac:dyDescent="0.2">
      <c r="L1279" s="11">
        <v>46056</v>
      </c>
      <c r="M1279" s="10">
        <v>180.12030029296875</v>
      </c>
      <c r="N1279" s="10">
        <v>140.90339660644531</v>
      </c>
      <c r="O1279" s="10">
        <v>311.84207153320312</v>
      </c>
      <c r="P1279" s="10">
        <v>268.74850463867188</v>
      </c>
      <c r="Q1279" s="10">
        <v>685.885009765625</v>
      </c>
      <c r="R1279" s="10">
        <v>230.54151916503903</v>
      </c>
      <c r="S1279" s="10">
        <v>153.01690673828125</v>
      </c>
      <c r="V1279" s="11">
        <v>46057</v>
      </c>
      <c r="W1279" s="12">
        <v>2.6012930894987019E-2</v>
      </c>
      <c r="X1279" s="12">
        <v>5.8772491656999826E-3</v>
      </c>
      <c r="Y1279" s="12">
        <v>7.6861039761348948E-3</v>
      </c>
      <c r="Z1279" s="12">
        <v>-3.410221846767858E-2</v>
      </c>
      <c r="AA1279" s="12">
        <v>9.9793420818028444E-3</v>
      </c>
      <c r="AB1279" s="12">
        <v>-4.8438537259933856E-3</v>
      </c>
      <c r="AC1279" s="12">
        <v>2.6855796007145161E-2</v>
      </c>
    </row>
    <row r="1280" spans="12:29" x14ac:dyDescent="0.2">
      <c r="L1280" s="11">
        <v>46057</v>
      </c>
      <c r="M1280" s="10">
        <v>173.97779846191406</v>
      </c>
      <c r="N1280" s="10">
        <v>144.68746948242188</v>
      </c>
      <c r="O1280" s="10">
        <v>314.23892211914062</v>
      </c>
      <c r="P1280" s="10">
        <v>275.73944091796875</v>
      </c>
      <c r="Q1280" s="10">
        <v>682.56268310546875</v>
      </c>
      <c r="R1280" s="10">
        <v>231.89646911621097</v>
      </c>
      <c r="S1280" s="10">
        <v>154.54391479492188</v>
      </c>
      <c r="V1280" s="11">
        <v>46058</v>
      </c>
      <c r="W1280" s="12">
        <v>-2.0977418894285726E-3</v>
      </c>
      <c r="X1280" s="12">
        <v>1.4159569094184477E-2</v>
      </c>
      <c r="Y1280" s="12">
        <v>-2.2409869455911391E-2</v>
      </c>
      <c r="Z1280" s="12">
        <v>-1.3261404396442744E-2</v>
      </c>
      <c r="AA1280" s="12">
        <v>1.1092011504523436E-2</v>
      </c>
      <c r="AB1280" s="12">
        <v>-1.2489284060324235E-2</v>
      </c>
      <c r="AC1280" s="12">
        <v>-1.0231023519974958E-2</v>
      </c>
    </row>
    <row r="1281" spans="12:29" x14ac:dyDescent="0.2">
      <c r="L1281" s="11">
        <v>46058</v>
      </c>
      <c r="M1281" s="10">
        <v>171.67060852050781</v>
      </c>
      <c r="N1281" s="10">
        <v>143.20716857910156</v>
      </c>
      <c r="O1281" s="10">
        <v>307.19686889648438</v>
      </c>
      <c r="P1281" s="10">
        <v>275.1610107421875</v>
      </c>
      <c r="Q1281" s="10">
        <v>674.0379638671875</v>
      </c>
      <c r="R1281" s="10">
        <v>235.18002319335935</v>
      </c>
      <c r="S1281" s="10">
        <v>156.25811767578125</v>
      </c>
      <c r="V1281" s="11">
        <v>46059</v>
      </c>
      <c r="W1281" s="12">
        <v>8.0098921130604683E-3</v>
      </c>
      <c r="X1281" s="12">
        <v>9.2518808119872453E-3</v>
      </c>
      <c r="Y1281" s="12">
        <v>3.9463544781972448E-2</v>
      </c>
      <c r="Z1281" s="12">
        <v>7.8717722291379078E-2</v>
      </c>
      <c r="AA1281" s="12">
        <v>3.53057829417458E-3</v>
      </c>
      <c r="AB1281" s="12">
        <v>1.9184786476819982E-2</v>
      </c>
      <c r="AC1281" s="12">
        <v>2.0331425192257058E-2</v>
      </c>
    </row>
    <row r="1282" spans="12:29" x14ac:dyDescent="0.2">
      <c r="L1282" s="11">
        <v>46059</v>
      </c>
      <c r="M1282" s="10">
        <v>185.18412780761719</v>
      </c>
      <c r="N1282" s="10">
        <v>146.1187744140625</v>
      </c>
      <c r="O1282" s="10">
        <v>319.3199462890625</v>
      </c>
      <c r="P1282" s="10">
        <v>277.36502075195312</v>
      </c>
      <c r="Q1282" s="10">
        <v>686.96923828125</v>
      </c>
      <c r="R1282" s="10">
        <v>237.35588073730469</v>
      </c>
      <c r="S1282" s="10">
        <v>156.80979919433594</v>
      </c>
      <c r="V1282" s="11">
        <v>46062</v>
      </c>
      <c r="W1282" s="12">
        <v>-1.1660527356121553E-2</v>
      </c>
      <c r="X1282" s="12">
        <v>-5.6252653828858801E-3</v>
      </c>
      <c r="Y1282" s="12">
        <v>-9.304747294303084E-4</v>
      </c>
      <c r="Z1282" s="12">
        <v>2.4971681890920472E-2</v>
      </c>
      <c r="AA1282" s="12">
        <v>-1.155985387119407E-2</v>
      </c>
      <c r="AB1282" s="12">
        <v>4.8218155635777471E-3</v>
      </c>
      <c r="AC1282" s="12">
        <v>1.4491794102781563E-2</v>
      </c>
    </row>
    <row r="1283" spans="12:29" x14ac:dyDescent="0.2">
      <c r="L1283" s="11">
        <v>46062</v>
      </c>
      <c r="M1283" s="10">
        <v>189.80848693847656</v>
      </c>
      <c r="N1283" s="10">
        <v>148.23629760742188</v>
      </c>
      <c r="O1283" s="10">
        <v>319.0228271484375</v>
      </c>
      <c r="P1283" s="10">
        <v>274.13079833984375</v>
      </c>
      <c r="Q1283" s="10">
        <v>690.28167724609375</v>
      </c>
      <c r="R1283" s="10">
        <v>236.02069091796875</v>
      </c>
      <c r="S1283" s="10">
        <v>154.99710083007812</v>
      </c>
      <c r="V1283" s="11">
        <v>46063</v>
      </c>
      <c r="W1283" s="12">
        <v>-3.423017398520134E-3</v>
      </c>
      <c r="X1283" s="12">
        <v>-1.2151008427028209E-3</v>
      </c>
      <c r="Y1283" s="12">
        <v>-1.1859774587850813E-2</v>
      </c>
      <c r="Z1283" s="12">
        <v>-7.8930556239988903E-3</v>
      </c>
      <c r="AA1283" s="12">
        <v>1.1123077725787578E-2</v>
      </c>
      <c r="AB1283" s="12">
        <v>-2.6371459581814305E-3</v>
      </c>
      <c r="AC1283" s="12">
        <v>2.5129662801572916E-3</v>
      </c>
    </row>
    <row r="1284" spans="12:29" x14ac:dyDescent="0.2">
      <c r="L1284" s="11">
        <v>46063</v>
      </c>
      <c r="M1284" s="10">
        <v>188.31031799316409</v>
      </c>
      <c r="N1284" s="10">
        <v>148.60881042480469</v>
      </c>
      <c r="O1284" s="10">
        <v>315.23928833007812</v>
      </c>
      <c r="P1284" s="10">
        <v>273.19244384765625</v>
      </c>
      <c r="Q1284" s="10">
        <v>688.4613037109375</v>
      </c>
      <c r="R1284" s="10">
        <v>235.73390197753903</v>
      </c>
      <c r="S1284" s="10">
        <v>156.72114562988281</v>
      </c>
      <c r="V1284" s="11">
        <v>46064</v>
      </c>
      <c r="W1284" s="12">
        <v>6.6501563343039916E-3</v>
      </c>
      <c r="X1284" s="12">
        <v>1.0530675108519683E-2</v>
      </c>
      <c r="Y1284" s="12">
        <v>-2.3438393201933749E-2</v>
      </c>
      <c r="Z1284" s="12">
        <v>8.0089262671372285E-3</v>
      </c>
      <c r="AA1284" s="12">
        <v>5.7832451892860792E-3</v>
      </c>
      <c r="AB1284" s="12">
        <v>-2.3112214366449724E-4</v>
      </c>
      <c r="AC1284" s="12">
        <v>2.6189142115693675E-2</v>
      </c>
    </row>
    <row r="1285" spans="12:29" x14ac:dyDescent="0.2">
      <c r="L1285" s="11">
        <v>46064</v>
      </c>
      <c r="M1285" s="10">
        <v>189.8184814453125</v>
      </c>
      <c r="N1285" s="10">
        <v>152.50074768066406</v>
      </c>
      <c r="O1285" s="10">
        <v>307.8505859375</v>
      </c>
      <c r="P1285" s="10">
        <v>275.00921630859375</v>
      </c>
      <c r="Q1285" s="10">
        <v>688.30218505859375</v>
      </c>
      <c r="R1285" s="10">
        <v>238.21633911132812</v>
      </c>
      <c r="S1285" s="10">
        <v>157.62750244140625</v>
      </c>
      <c r="V1285" s="11">
        <v>46065</v>
      </c>
      <c r="W1285" s="12">
        <v>-4.9981789939124499E-2</v>
      </c>
      <c r="X1285" s="12">
        <v>1.5320067339040788E-2</v>
      </c>
      <c r="Y1285" s="12">
        <v>-2.631753209469645E-2</v>
      </c>
      <c r="Z1285" s="12">
        <v>-1.6364060802846025E-2</v>
      </c>
      <c r="AA1285" s="12">
        <v>7.562527855015766E-3</v>
      </c>
      <c r="AB1285" s="12">
        <v>-1.544885969788623E-2</v>
      </c>
      <c r="AC1285" s="12">
        <v>-2.9767800390803179E-2</v>
      </c>
    </row>
    <row r="1286" spans="12:29" x14ac:dyDescent="0.2">
      <c r="L1286" s="11">
        <v>46065</v>
      </c>
      <c r="M1286" s="10">
        <v>186.7122802734375</v>
      </c>
      <c r="N1286" s="10">
        <v>147.96113586425781</v>
      </c>
      <c r="O1286" s="10">
        <v>299.74871826171875</v>
      </c>
      <c r="P1286" s="10">
        <v>261.26376342773438</v>
      </c>
      <c r="Q1286" s="10">
        <v>677.668701171875</v>
      </c>
      <c r="R1286" s="10">
        <v>241.86582946777344</v>
      </c>
      <c r="S1286" s="10">
        <v>158.81956481933594</v>
      </c>
      <c r="V1286" s="11">
        <v>46066</v>
      </c>
      <c r="W1286" s="12">
        <v>-2.2733375921363264E-2</v>
      </c>
      <c r="X1286" s="12">
        <v>-4.4980357290325124E-3</v>
      </c>
      <c r="Y1286" s="12">
        <v>-2.9749039061244265E-4</v>
      </c>
      <c r="Z1286" s="12">
        <v>-2.2092652268939861E-2</v>
      </c>
      <c r="AA1286" s="12">
        <v>-7.0714045455021468E-3</v>
      </c>
      <c r="AB1286" s="12">
        <v>7.0449910311909392E-4</v>
      </c>
      <c r="AC1286" s="12">
        <v>-9.8712139626542239E-3</v>
      </c>
    </row>
    <row r="1287" spans="12:29" x14ac:dyDescent="0.2">
      <c r="L1287" s="11">
        <v>46066</v>
      </c>
      <c r="M1287" s="10">
        <v>182.5873107910156</v>
      </c>
      <c r="N1287" s="10">
        <v>146.50057983398438</v>
      </c>
      <c r="O1287" s="10">
        <v>299.6595458984375</v>
      </c>
      <c r="P1287" s="10">
        <v>255.32435607910156</v>
      </c>
      <c r="Q1287" s="10">
        <v>678.1461181640625</v>
      </c>
      <c r="R1287" s="10">
        <v>240.77790832519531</v>
      </c>
      <c r="S1287" s="10">
        <v>157.69648742675781</v>
      </c>
      <c r="V1287" s="11">
        <v>46070</v>
      </c>
      <c r="W1287" s="12">
        <v>3.1667901456869263E-2</v>
      </c>
      <c r="X1287" s="12">
        <v>-4.9291424679975826E-4</v>
      </c>
      <c r="Y1287" s="12">
        <v>1.5138028956200644E-2</v>
      </c>
      <c r="Z1287" s="12">
        <v>1.1815519283653098E-2</v>
      </c>
      <c r="AA1287" s="12">
        <v>-3.2487333810233832E-3</v>
      </c>
      <c r="AB1287" s="12">
        <v>1.6134830190519533E-3</v>
      </c>
      <c r="AC1287" s="12">
        <v>-1.5223940851543327E-2</v>
      </c>
    </row>
    <row r="1288" spans="12:29" x14ac:dyDescent="0.2">
      <c r="L1288" s="11">
        <v>46070</v>
      </c>
      <c r="M1288" s="10">
        <v>184.74467468261719</v>
      </c>
      <c r="N1288" s="10">
        <v>144.270263671875</v>
      </c>
      <c r="O1288" s="10">
        <v>304.19580078125</v>
      </c>
      <c r="P1288" s="10">
        <v>263.40994262695312</v>
      </c>
      <c r="Q1288" s="10">
        <v>679.24029541015625</v>
      </c>
      <c r="R1288" s="10">
        <v>240.65922546386719</v>
      </c>
      <c r="S1288" s="10">
        <v>157.18417358398438</v>
      </c>
      <c r="V1288" s="11">
        <v>46071</v>
      </c>
      <c r="W1288" s="12">
        <v>1.7811675649548331E-3</v>
      </c>
      <c r="X1288" s="12">
        <v>6.8220308812354524E-3</v>
      </c>
      <c r="Y1288" s="12">
        <v>5.3723516957653317E-3</v>
      </c>
      <c r="Z1288" s="12">
        <v>1.6272821632539847E-2</v>
      </c>
      <c r="AA1288" s="12">
        <v>-1.6859844395160084E-2</v>
      </c>
      <c r="AB1288" s="12">
        <v>5.0377075505767532E-3</v>
      </c>
      <c r="AC1288" s="12">
        <v>3.0713399703180322E-2</v>
      </c>
    </row>
    <row r="1289" spans="12:29" x14ac:dyDescent="0.2">
      <c r="L1289" s="11">
        <v>46071</v>
      </c>
      <c r="M1289" s="10">
        <v>187.75099182128903</v>
      </c>
      <c r="N1289" s="10">
        <v>148.7012939453125</v>
      </c>
      <c r="O1289" s="10">
        <v>305.83004760742188</v>
      </c>
      <c r="P1289" s="10">
        <v>263.87911987304688</v>
      </c>
      <c r="Q1289" s="10">
        <v>682.662109375</v>
      </c>
      <c r="R1289" s="10">
        <v>242.30101013183591</v>
      </c>
      <c r="S1289" s="10">
        <v>154.53407287597656</v>
      </c>
      <c r="V1289" s="11">
        <v>46072</v>
      </c>
      <c r="W1289" s="12">
        <v>-1.426159138112626E-2</v>
      </c>
      <c r="X1289" s="12">
        <v>7.8370526817730379E-3</v>
      </c>
      <c r="Y1289" s="12">
        <v>-2.3641315383948758E-3</v>
      </c>
      <c r="Z1289" s="12">
        <v>-4.2553713701432017E-4</v>
      </c>
      <c r="AA1289" s="12">
        <v>1.0837572185559363E-2</v>
      </c>
      <c r="AB1289" s="12">
        <v>-2.6374337311135809E-3</v>
      </c>
      <c r="AC1289" s="12">
        <v>1.9246224431745951E-3</v>
      </c>
    </row>
    <row r="1290" spans="12:29" x14ac:dyDescent="0.2">
      <c r="L1290" s="11">
        <v>46072</v>
      </c>
      <c r="M1290" s="10">
        <v>187.67109680175781</v>
      </c>
      <c r="N1290" s="10">
        <v>148.98748779296875</v>
      </c>
      <c r="O1290" s="10">
        <v>305.10702514648438</v>
      </c>
      <c r="P1290" s="10">
        <v>260.11578369140625</v>
      </c>
      <c r="Q1290" s="10">
        <v>680.86163330078125</v>
      </c>
      <c r="R1290" s="10">
        <v>244.19993591308591</v>
      </c>
      <c r="S1290" s="10">
        <v>156.20884704589844</v>
      </c>
      <c r="V1290" s="11">
        <v>46073</v>
      </c>
      <c r="W1290" s="12">
        <v>1.5350431056632585E-2</v>
      </c>
      <c r="X1290" s="12">
        <v>-1.7901276108735265E-2</v>
      </c>
      <c r="Y1290" s="12">
        <v>8.8947039768059177E-3</v>
      </c>
      <c r="Z1290" s="12">
        <v>1.0218296081220712E-2</v>
      </c>
      <c r="AA1290" s="12">
        <v>1.4001050862712638E-2</v>
      </c>
      <c r="AB1290" s="12">
        <v>7.2319395813822407E-3</v>
      </c>
      <c r="AC1290" s="12">
        <v>-2.4441921810266276E-2</v>
      </c>
    </row>
    <row r="1291" spans="12:29" x14ac:dyDescent="0.2">
      <c r="L1291" s="11">
        <v>46073</v>
      </c>
      <c r="M1291" s="10">
        <v>189.5887756347656</v>
      </c>
      <c r="N1291" s="10">
        <v>145.345947265625</v>
      </c>
      <c r="O1291" s="10">
        <v>307.82086181640625</v>
      </c>
      <c r="P1291" s="10">
        <v>264.10867309570312</v>
      </c>
      <c r="Q1291" s="10">
        <v>685.78558349609375</v>
      </c>
      <c r="R1291" s="10">
        <v>239.82844543457031</v>
      </c>
      <c r="S1291" s="10">
        <v>158.39593505859375</v>
      </c>
      <c r="V1291" s="11">
        <v>46076</v>
      </c>
      <c r="W1291" s="12">
        <v>6.0472737697376822E-3</v>
      </c>
      <c r="X1291" s="12">
        <v>1.3815010208115153E-2</v>
      </c>
      <c r="Y1291" s="12">
        <v>-4.2214906519235207E-2</v>
      </c>
      <c r="Z1291" s="12">
        <v>9.1138835031943088E-3</v>
      </c>
      <c r="AA1291" s="12">
        <v>2.7304492711236472E-2</v>
      </c>
      <c r="AB1291" s="12">
        <v>-1.0211366038766267E-2</v>
      </c>
      <c r="AC1291" s="12">
        <v>2.3628423901084661E-2</v>
      </c>
    </row>
    <row r="1292" spans="12:29" x14ac:dyDescent="0.2">
      <c r="L1292" s="11">
        <v>46076</v>
      </c>
      <c r="M1292" s="10">
        <v>191.31666564941409</v>
      </c>
      <c r="N1292" s="10">
        <v>148.78024291992188</v>
      </c>
      <c r="O1292" s="10">
        <v>294.82623291015625</v>
      </c>
      <c r="P1292" s="10">
        <v>265.705810546875</v>
      </c>
      <c r="Q1292" s="10">
        <v>678.78277587890625</v>
      </c>
      <c r="R1292" s="10">
        <v>243.14167785644531</v>
      </c>
      <c r="S1292" s="10">
        <v>162.72085571289062</v>
      </c>
      <c r="V1292" s="11">
        <v>46077</v>
      </c>
      <c r="W1292" s="12">
        <v>2.2391051068103351E-2</v>
      </c>
      <c r="X1292" s="12">
        <v>7.1154266020849732E-3</v>
      </c>
      <c r="Y1292" s="12">
        <v>-1.2431597747034617E-3</v>
      </c>
      <c r="Z1292" s="12">
        <v>6.786738276500115E-3</v>
      </c>
      <c r="AA1292" s="12">
        <v>6.6597437339610543E-4</v>
      </c>
      <c r="AB1292" s="12">
        <v>7.2684752701983601E-3</v>
      </c>
      <c r="AC1292" s="12">
        <v>-9.9495798250380796E-3</v>
      </c>
    </row>
    <row r="1293" spans="12:29" x14ac:dyDescent="0.2">
      <c r="L1293" s="11">
        <v>46077</v>
      </c>
      <c r="M1293" s="10">
        <v>192.61508178710935</v>
      </c>
      <c r="N1293" s="10">
        <v>147.29994201660156</v>
      </c>
      <c r="O1293" s="10">
        <v>294.459716796875</v>
      </c>
      <c r="P1293" s="10">
        <v>271.65524291992188</v>
      </c>
      <c r="Q1293" s="10">
        <v>683.71649169921875</v>
      </c>
      <c r="R1293" s="10">
        <v>244.87173461914065</v>
      </c>
      <c r="S1293" s="10">
        <v>162.8292236328125</v>
      </c>
      <c r="V1293" s="11">
        <v>46078</v>
      </c>
      <c r="W1293" s="12">
        <v>7.6798561696611589E-3</v>
      </c>
      <c r="X1293" s="12">
        <v>-4.5070655288907968E-3</v>
      </c>
      <c r="Y1293" s="12">
        <v>2.0181563493122834E-2</v>
      </c>
      <c r="Z1293" s="12">
        <v>1.405227603538961E-2</v>
      </c>
      <c r="AA1293" s="12">
        <v>-1.1435197020459587E-2</v>
      </c>
      <c r="AB1293" s="12">
        <v>8.438306300538434E-3</v>
      </c>
      <c r="AC1293" s="12">
        <v>-1.3399356022909537E-3</v>
      </c>
    </row>
    <row r="1294" spans="12:29" x14ac:dyDescent="0.2">
      <c r="L1294" s="11">
        <v>46078</v>
      </c>
      <c r="M1294" s="10">
        <v>195.32176208496097</v>
      </c>
      <c r="N1294" s="10">
        <v>147.10256958007812</v>
      </c>
      <c r="O1294" s="10">
        <v>300.40237426757812</v>
      </c>
      <c r="P1294" s="10">
        <v>273.74151611328125</v>
      </c>
      <c r="Q1294" s="10">
        <v>689.48590087890625</v>
      </c>
      <c r="R1294" s="10">
        <v>243.76808166503903</v>
      </c>
      <c r="S1294" s="10">
        <v>160.96723937988281</v>
      </c>
      <c r="V1294" s="11">
        <v>46079</v>
      </c>
      <c r="W1294" s="12">
        <v>-4.6676897850849164E-3</v>
      </c>
      <c r="X1294" s="12">
        <v>-6.933955783152701E-3</v>
      </c>
      <c r="Y1294" s="12">
        <v>9.3308484662855129E-3</v>
      </c>
      <c r="Z1294" s="12">
        <v>-5.4561240728662419E-2</v>
      </c>
      <c r="AA1294" s="12">
        <v>2.2033056884493973E-3</v>
      </c>
      <c r="AB1294" s="12">
        <v>-5.5544455792071457E-3</v>
      </c>
      <c r="AC1294" s="12">
        <v>-3.4886106695141139E-3</v>
      </c>
    </row>
    <row r="1295" spans="12:29" x14ac:dyDescent="0.2">
      <c r="L1295" s="11">
        <v>46079</v>
      </c>
      <c r="M1295" s="10">
        <v>184.66476440429688</v>
      </c>
      <c r="N1295" s="10">
        <v>146.58938598632812</v>
      </c>
      <c r="O1295" s="10">
        <v>303.20538330078125</v>
      </c>
      <c r="P1295" s="10">
        <v>272.46377563476562</v>
      </c>
      <c r="Q1295" s="10">
        <v>685.65618896484375</v>
      </c>
      <c r="R1295" s="10">
        <v>242.07780456542969</v>
      </c>
      <c r="S1295" s="10">
        <v>161.3218994140625</v>
      </c>
      <c r="V1295" s="11">
        <v>46080</v>
      </c>
      <c r="W1295" s="12">
        <v>-3.2130377674157273E-2</v>
      </c>
      <c r="X1295" s="12">
        <v>2.0372067464276888E-2</v>
      </c>
      <c r="Y1295" s="12">
        <v>-1.9044261176713539E-2</v>
      </c>
      <c r="Z1295" s="12">
        <v>-4.1646346652961186E-2</v>
      </c>
      <c r="AA1295" s="12">
        <v>2.1068647473532875E-2</v>
      </c>
      <c r="AB1295" s="12">
        <v>-4.8019408586112977E-3</v>
      </c>
      <c r="AC1295" s="12">
        <v>2.6659638371742345E-2</v>
      </c>
    </row>
    <row r="1296" spans="12:29" x14ac:dyDescent="0.2">
      <c r="L1296" s="11">
        <v>46080</v>
      </c>
      <c r="M1296" s="10">
        <v>176.97415161132812</v>
      </c>
      <c r="N1296" s="10">
        <v>150.49740600585938</v>
      </c>
      <c r="O1296" s="10">
        <v>297.43106079101562</v>
      </c>
      <c r="P1296" s="10">
        <v>263.70941162109375</v>
      </c>
      <c r="Q1296" s="10">
        <v>682.36370849609375</v>
      </c>
      <c r="R1296" s="10">
        <v>247.00942993164065</v>
      </c>
      <c r="S1296" s="10">
        <v>164.72073364257812</v>
      </c>
      <c r="V1296" s="11">
        <v>46083</v>
      </c>
      <c r="W1296" s="12">
        <v>2.0439219879577752E-3</v>
      </c>
      <c r="X1296" s="12">
        <v>5.2328853268535092E-4</v>
      </c>
      <c r="Y1296" s="12">
        <v>-9.1241518122767706E-3</v>
      </c>
      <c r="Z1296" s="12">
        <v>2.9854947906472917E-2</v>
      </c>
      <c r="AA1296" s="12">
        <v>-2.2069287117959968E-2</v>
      </c>
      <c r="AB1296" s="12">
        <v>5.6861243271044692E-4</v>
      </c>
      <c r="AC1296" s="12">
        <v>1.1278619340691298E-2</v>
      </c>
    </row>
    <row r="1297" spans="12:29" x14ac:dyDescent="0.2">
      <c r="L1297" s="11">
        <v>46083</v>
      </c>
      <c r="M1297" s="10">
        <v>182.25770568847656</v>
      </c>
      <c r="N1297" s="10">
        <v>152.19480895996094</v>
      </c>
      <c r="O1297" s="10">
        <v>294.71725463867188</v>
      </c>
      <c r="P1297" s="10">
        <v>264.2484130859375</v>
      </c>
      <c r="Q1297" s="10">
        <v>682.751708984375</v>
      </c>
      <c r="R1297" s="10">
        <v>247.13868713378903</v>
      </c>
      <c r="S1297" s="10">
        <v>161.08546447753906</v>
      </c>
      <c r="V1297" s="11">
        <v>46084</v>
      </c>
      <c r="W1297" s="12">
        <v>-3.664094667077511E-3</v>
      </c>
      <c r="X1297" s="12">
        <v>-7.2819521722031766E-3</v>
      </c>
      <c r="Y1297" s="12">
        <v>9.0737623734182815E-3</v>
      </c>
      <c r="Z1297" s="12">
        <v>-1.3316571281988043E-2</v>
      </c>
      <c r="AA1297" s="12">
        <v>-2.3179064833160679E-2</v>
      </c>
      <c r="AB1297" s="12">
        <v>-8.814339520359149E-3</v>
      </c>
      <c r="AC1297" s="12">
        <v>-1.5497322652886059E-2</v>
      </c>
    </row>
    <row r="1298" spans="12:29" x14ac:dyDescent="0.2">
      <c r="L1298" s="11">
        <v>46084</v>
      </c>
      <c r="M1298" s="10">
        <v>179.83065795898438</v>
      </c>
      <c r="N1298" s="10">
        <v>149.83619689941406</v>
      </c>
      <c r="O1298" s="10">
        <v>297.39144897460938</v>
      </c>
      <c r="P1298" s="10">
        <v>263.28018188476562</v>
      </c>
      <c r="Q1298" s="10">
        <v>676.73370361328125</v>
      </c>
      <c r="R1298" s="10">
        <v>245.33903503417969</v>
      </c>
      <c r="S1298" s="10">
        <v>157.35165405273438</v>
      </c>
      <c r="V1298" s="11">
        <v>46085</v>
      </c>
      <c r="W1298" s="12">
        <v>-4.6636409527347489E-3</v>
      </c>
      <c r="X1298" s="12">
        <v>-5.8763423716545748E-3</v>
      </c>
      <c r="Y1298" s="12">
        <v>-2.8974061672935036E-3</v>
      </c>
      <c r="Z1298" s="12">
        <v>1.6606504566419655E-2</v>
      </c>
      <c r="AA1298" s="12">
        <v>-8.8904421734338213E-3</v>
      </c>
      <c r="AB1298" s="12">
        <v>7.0552657674944896E-3</v>
      </c>
      <c r="AC1298" s="12">
        <v>-1.3238435323404629E-2</v>
      </c>
    </row>
    <row r="1299" spans="12:29" x14ac:dyDescent="0.2">
      <c r="L1299" s="11">
        <v>46085</v>
      </c>
      <c r="M1299" s="10">
        <v>182.8170166015625</v>
      </c>
      <c r="N1299" s="10">
        <v>147.85260009765625</v>
      </c>
      <c r="O1299" s="10">
        <v>296.52978515625</v>
      </c>
      <c r="P1299" s="10">
        <v>262.05233764648438</v>
      </c>
      <c r="Q1299" s="10">
        <v>681.50823974609375</v>
      </c>
      <c r="R1299" s="10">
        <v>243.8973388671875</v>
      </c>
      <c r="S1299" s="10">
        <v>155.95272827148438</v>
      </c>
      <c r="V1299" s="11">
        <v>46086</v>
      </c>
      <c r="W1299" s="12">
        <v>-8.4945366394583166E-3</v>
      </c>
      <c r="X1299" s="12">
        <v>-2.3114533632765055E-2</v>
      </c>
      <c r="Y1299" s="12">
        <v>-1.9506440877797071E-2</v>
      </c>
      <c r="Z1299" s="12">
        <v>1.6389986358509301E-3</v>
      </c>
      <c r="AA1299" s="12">
        <v>-2.7226800050643263E-2</v>
      </c>
      <c r="AB1299" s="12">
        <v>-5.5754918733769143E-3</v>
      </c>
      <c r="AC1299" s="12">
        <v>6.2741055730701767E-3</v>
      </c>
    </row>
    <row r="1300" spans="12:29" x14ac:dyDescent="0.2">
      <c r="L1300" s="11">
        <v>46086</v>
      </c>
      <c r="M1300" s="10">
        <v>183.11665344238281</v>
      </c>
      <c r="N1300" s="10">
        <v>148.78024291992188</v>
      </c>
      <c r="O1300" s="10">
        <v>290.74554443359375</v>
      </c>
      <c r="P1300" s="10">
        <v>259.82632446289062</v>
      </c>
      <c r="Q1300" s="10">
        <v>677.70849609375</v>
      </c>
      <c r="R1300" s="10">
        <v>238.259765625</v>
      </c>
      <c r="S1300" s="10">
        <v>151.70663452148438</v>
      </c>
      <c r="V1300" s="11">
        <v>46087</v>
      </c>
      <c r="W1300" s="12">
        <v>-1.0872576884936036E-2</v>
      </c>
      <c r="X1300" s="12">
        <v>3.2132123593111572E-3</v>
      </c>
      <c r="Y1300" s="12">
        <v>-1.3864691959295294E-2</v>
      </c>
      <c r="Z1300" s="12">
        <v>-3.010799423668542E-2</v>
      </c>
      <c r="AA1300" s="12">
        <v>-2.3378017401701756E-3</v>
      </c>
      <c r="AB1300" s="12">
        <v>-1.3107128730419859E-2</v>
      </c>
      <c r="AC1300" s="12">
        <v>2.9849867626785542E-3</v>
      </c>
    </row>
    <row r="1301" spans="12:29" x14ac:dyDescent="0.2">
      <c r="L1301" s="11">
        <v>46087</v>
      </c>
      <c r="M1301" s="10">
        <v>177.60337829589844</v>
      </c>
      <c r="N1301" s="10">
        <v>149.22434997558594</v>
      </c>
      <c r="O1301" s="10">
        <v>286.71444702148438</v>
      </c>
      <c r="P1301" s="10">
        <v>257.0013427734375</v>
      </c>
      <c r="Q1301" s="10">
        <v>668.82568359375</v>
      </c>
      <c r="R1301" s="10">
        <v>239.02534484863281</v>
      </c>
      <c r="S1301" s="10">
        <v>151.35197448730469</v>
      </c>
      <c r="V1301" s="11">
        <v>46090</v>
      </c>
      <c r="W1301" s="12">
        <v>9.3996024423435021E-3</v>
      </c>
      <c r="X1301" s="12">
        <v>9.1098079032785328E-3</v>
      </c>
      <c r="Y1301" s="12">
        <v>1.5200543179132442E-3</v>
      </c>
      <c r="Z1301" s="12">
        <v>2.7162275767295796E-2</v>
      </c>
      <c r="AA1301" s="12">
        <v>1.034942725594501E-2</v>
      </c>
      <c r="AB1301" s="12">
        <v>8.7599607229029708E-3</v>
      </c>
      <c r="AC1301" s="12">
        <v>-5.0923522483152794E-3</v>
      </c>
    </row>
    <row r="1302" spans="12:29" x14ac:dyDescent="0.2">
      <c r="L1302" s="11">
        <v>46090</v>
      </c>
      <c r="M1302" s="10">
        <v>182.427490234375</v>
      </c>
      <c r="N1302" s="10">
        <v>148.46444702148438</v>
      </c>
      <c r="O1302" s="10">
        <v>287.1502685546875</v>
      </c>
      <c r="P1302" s="10">
        <v>259.41705322265625</v>
      </c>
      <c r="Q1302" s="10">
        <v>674.6845703125</v>
      </c>
      <c r="R1302" s="10">
        <v>241.20281982421875</v>
      </c>
      <c r="S1302" s="10">
        <v>152.91838073730469</v>
      </c>
      <c r="V1302" s="11">
        <v>46091</v>
      </c>
      <c r="W1302" s="12">
        <v>3.6555161307854078E-3</v>
      </c>
      <c r="X1302" s="12">
        <v>4.616931693298465E-3</v>
      </c>
      <c r="Y1302" s="12">
        <v>-4.1046449591576328E-3</v>
      </c>
      <c r="Z1302" s="12">
        <v>1.160697676597211E-2</v>
      </c>
      <c r="AA1302" s="12">
        <v>5.089576486288383E-3</v>
      </c>
      <c r="AB1302" s="12">
        <v>-1.6071058958396778E-3</v>
      </c>
      <c r="AC1302" s="12">
        <v>-1.5354839982790969E-2</v>
      </c>
    </row>
    <row r="1303" spans="12:29" x14ac:dyDescent="0.2">
      <c r="L1303" s="11">
        <v>46091</v>
      </c>
      <c r="M1303" s="10">
        <v>184.544921875</v>
      </c>
      <c r="N1303" s="10">
        <v>146.18479919433594</v>
      </c>
      <c r="O1303" s="10">
        <v>285.97161865234375</v>
      </c>
      <c r="P1303" s="10">
        <v>260.3653564453125</v>
      </c>
      <c r="Q1303" s="10">
        <v>673.60028076171875</v>
      </c>
      <c r="R1303" s="10">
        <v>242.31643676757812</v>
      </c>
      <c r="S1303" s="10">
        <v>153.69667053222656</v>
      </c>
      <c r="V1303" s="11">
        <v>46092</v>
      </c>
      <c r="W1303" s="12">
        <v>-7.6655728574070991E-5</v>
      </c>
      <c r="X1303" s="12">
        <v>-2.9543873127021447E-3</v>
      </c>
      <c r="Y1303" s="12">
        <v>-4.1908208101022471E-3</v>
      </c>
      <c r="Z1303" s="12">
        <v>6.8737134473524364E-3</v>
      </c>
      <c r="AA1303" s="12">
        <v>-1.7242408041963087E-2</v>
      </c>
      <c r="AB1303" s="12">
        <v>-1.2551345486657706E-3</v>
      </c>
      <c r="AC1303" s="12">
        <v>2.3290235123560432E-2</v>
      </c>
    </row>
    <row r="1304" spans="12:29" x14ac:dyDescent="0.2">
      <c r="L1304" s="11">
        <v>46092</v>
      </c>
      <c r="M1304" s="10">
        <v>185.81343078613281</v>
      </c>
      <c r="N1304" s="10">
        <v>149.5894775390625</v>
      </c>
      <c r="O1304" s="10">
        <v>284.77316284179688</v>
      </c>
      <c r="P1304" s="10">
        <v>260.34539794921875</v>
      </c>
      <c r="Q1304" s="10">
        <v>672.75482177734375</v>
      </c>
      <c r="R1304" s="10">
        <v>241.60054016113281</v>
      </c>
      <c r="S1304" s="10">
        <v>151.04656982421875</v>
      </c>
      <c r="V1304" s="11">
        <v>46093</v>
      </c>
      <c r="W1304" s="12">
        <v>-1.9362740443732429E-2</v>
      </c>
      <c r="X1304" s="12">
        <v>-3.9096770127046154E-3</v>
      </c>
      <c r="Y1304" s="12">
        <v>-1.610307597524796E-2</v>
      </c>
      <c r="Z1304" s="12">
        <v>-1.5535083686109119E-2</v>
      </c>
      <c r="AA1304" s="12">
        <v>-1.8392991283553428E-2</v>
      </c>
      <c r="AB1304" s="12">
        <v>-1.5184966271003186E-2</v>
      </c>
      <c r="AC1304" s="12">
        <v>1.286449242188703E-2</v>
      </c>
    </row>
    <row r="1305" spans="12:29" x14ac:dyDescent="0.2">
      <c r="L1305" s="11">
        <v>46093</v>
      </c>
      <c r="M1305" s="10">
        <v>182.92680358886719</v>
      </c>
      <c r="N1305" s="10">
        <v>151.51387023925781</v>
      </c>
      <c r="O1305" s="10">
        <v>280.18743896484375</v>
      </c>
      <c r="P1305" s="10">
        <v>255.30439758300781</v>
      </c>
      <c r="Q1305" s="10">
        <v>662.5390625</v>
      </c>
      <c r="R1305" s="10">
        <v>240.65596008300781</v>
      </c>
      <c r="S1305" s="10">
        <v>148.26837158203125</v>
      </c>
      <c r="V1305" s="11">
        <v>46094</v>
      </c>
      <c r="W1305" s="12">
        <v>-2.2051947243152514E-2</v>
      </c>
      <c r="X1305" s="12">
        <v>-2.1483513212237071E-3</v>
      </c>
      <c r="Y1305" s="12">
        <v>1.9440851951306737E-3</v>
      </c>
      <c r="Z1305" s="12">
        <v>-1.5780314308353027E-2</v>
      </c>
      <c r="AA1305" s="12">
        <v>9.9671541876045211E-4</v>
      </c>
      <c r="AB1305" s="12">
        <v>-5.6601357526089302E-3</v>
      </c>
      <c r="AC1305" s="12">
        <v>1.6869640337443093E-2</v>
      </c>
    </row>
    <row r="1306" spans="12:29" x14ac:dyDescent="0.2">
      <c r="L1306" s="11">
        <v>46094</v>
      </c>
      <c r="M1306" s="10">
        <v>180.0401611328125</v>
      </c>
      <c r="N1306" s="10">
        <v>154.06985473632812</v>
      </c>
      <c r="O1306" s="10">
        <v>280.73214721679688</v>
      </c>
      <c r="P1306" s="10">
        <v>249.6744384765625</v>
      </c>
      <c r="Q1306" s="10">
        <v>658.78900146484375</v>
      </c>
      <c r="R1306" s="10">
        <v>240.13894653320312</v>
      </c>
      <c r="S1306" s="10">
        <v>148.41615295410156</v>
      </c>
      <c r="V1306" s="11">
        <v>46097</v>
      </c>
      <c r="W1306" s="12">
        <v>1.0794880344667579E-2</v>
      </c>
      <c r="X1306" s="12">
        <v>6.9145225752149653E-3</v>
      </c>
      <c r="Y1306" s="12">
        <v>9.596336831564134E-3</v>
      </c>
      <c r="Z1306" s="12">
        <v>1.647717218041489E-2</v>
      </c>
      <c r="AA1306" s="12">
        <v>9.7576738266533791E-3</v>
      </c>
      <c r="AB1306" s="12">
        <v>1.0176865010456559E-2</v>
      </c>
      <c r="AC1306" s="12">
        <v>7.1099467749324852E-3</v>
      </c>
    </row>
    <row r="1307" spans="12:29" x14ac:dyDescent="0.2">
      <c r="L1307" s="11">
        <v>46097</v>
      </c>
      <c r="M1307" s="10">
        <v>183.0067138671875</v>
      </c>
      <c r="N1307" s="10">
        <v>155.165283203125</v>
      </c>
      <c r="O1307" s="10">
        <v>283.4261474609375</v>
      </c>
      <c r="P1307" s="10">
        <v>252.36964416503903</v>
      </c>
      <c r="Q1307" s="10">
        <v>665.493408203125</v>
      </c>
      <c r="R1307" s="10">
        <v>241.79939270019531</v>
      </c>
      <c r="S1307" s="10">
        <v>149.86434936523438</v>
      </c>
      <c r="V1307" s="11">
        <v>46098</v>
      </c>
      <c r="W1307" s="12">
        <v>5.5770205952527796E-3</v>
      </c>
      <c r="X1307" s="12">
        <v>-2.0889006544951627E-2</v>
      </c>
      <c r="Y1307" s="12">
        <v>2.5511159961530971E-3</v>
      </c>
      <c r="Z1307" s="12">
        <v>-7.0407973366969356E-3</v>
      </c>
      <c r="AA1307" s="12">
        <v>-4.2071942094443759E-3</v>
      </c>
      <c r="AB1307" s="12">
        <v>2.6305449911054879E-3</v>
      </c>
      <c r="AC1307" s="12">
        <v>1.0048960990123534E-2</v>
      </c>
    </row>
    <row r="1308" spans="12:29" x14ac:dyDescent="0.2">
      <c r="L1308" s="11">
        <v>46098</v>
      </c>
      <c r="M1308" s="10">
        <v>181.71820068359375</v>
      </c>
      <c r="N1308" s="10">
        <v>156.72453308105469</v>
      </c>
      <c r="O1308" s="10">
        <v>284.14920043945312</v>
      </c>
      <c r="P1308" s="10">
        <v>253.77711486816409</v>
      </c>
      <c r="Q1308" s="10">
        <v>667.2440185546875</v>
      </c>
      <c r="R1308" s="10">
        <v>236.7484436035156</v>
      </c>
      <c r="S1308" s="10">
        <v>149.23384094238281</v>
      </c>
      <c r="V1308" s="11">
        <v>46099</v>
      </c>
      <c r="W1308" s="12">
        <v>-1.6874447623211331E-2</v>
      </c>
      <c r="X1308" s="12">
        <v>-3.4857941834596229E-3</v>
      </c>
      <c r="Y1308" s="12">
        <v>2.9626245341398683E-3</v>
      </c>
      <c r="Z1308" s="12">
        <v>-8.4097987720970213E-3</v>
      </c>
      <c r="AA1308" s="12">
        <v>-3.1489268765664935E-2</v>
      </c>
      <c r="AB1308" s="12">
        <v>-1.3953644515257158E-2</v>
      </c>
      <c r="AC1308" s="12">
        <v>-7.6821380068481382E-3</v>
      </c>
    </row>
    <row r="1309" spans="12:29" x14ac:dyDescent="0.2">
      <c r="L1309" s="11">
        <v>46099</v>
      </c>
      <c r="M1309" s="10">
        <v>180.18998718261719</v>
      </c>
      <c r="N1309" s="10">
        <v>155.52055358886719</v>
      </c>
      <c r="O1309" s="10">
        <v>284.99102783203125</v>
      </c>
      <c r="P1309" s="10">
        <v>249.49476623535156</v>
      </c>
      <c r="Q1309" s="10">
        <v>657.93353271484375</v>
      </c>
      <c r="R1309" s="10">
        <v>235.92318725585935</v>
      </c>
      <c r="S1309" s="10">
        <v>144.53457641601562</v>
      </c>
      <c r="V1309" s="11">
        <v>46100</v>
      </c>
      <c r="W1309" s="12">
        <v>-3.920887726655109E-3</v>
      </c>
      <c r="X1309" s="12">
        <v>1.348643485331813E-3</v>
      </c>
      <c r="Y1309" s="12">
        <v>7.9947863627327642E-4</v>
      </c>
      <c r="Z1309" s="12">
        <v>-1.0199568445272478E-2</v>
      </c>
      <c r="AA1309" s="12">
        <v>-1.2746328262292939E-2</v>
      </c>
      <c r="AB1309" s="12">
        <v>-2.4642882753442841E-3</v>
      </c>
      <c r="AC1309" s="12">
        <v>3.6169833877786051E-3</v>
      </c>
    </row>
    <row r="1310" spans="12:29" x14ac:dyDescent="0.2">
      <c r="L1310" s="11">
        <v>46100</v>
      </c>
      <c r="M1310" s="10">
        <v>178.35212707519531</v>
      </c>
      <c r="N1310" s="10">
        <v>156.08306884765625</v>
      </c>
      <c r="O1310" s="10">
        <v>285.2188720703125</v>
      </c>
      <c r="P1310" s="10">
        <v>248.51652526855469</v>
      </c>
      <c r="Q1310" s="10">
        <v>656.31219482421875</v>
      </c>
      <c r="R1310" s="10">
        <v>236.24136352539065</v>
      </c>
      <c r="S1310" s="10">
        <v>142.69229125976562</v>
      </c>
      <c r="V1310" s="11">
        <v>46101</v>
      </c>
      <c r="W1310" s="12">
        <v>-3.8962891312026571E-3</v>
      </c>
      <c r="X1310" s="12">
        <v>-9.3855479226168104E-3</v>
      </c>
      <c r="Y1310" s="12">
        <v>-4.8963990356569731E-3</v>
      </c>
      <c r="Z1310" s="12">
        <v>-3.281811115811839E-2</v>
      </c>
      <c r="AA1310" s="12">
        <v>-3.8662321116589293E-3</v>
      </c>
      <c r="AB1310" s="12">
        <v>-1.4335787930812693E-2</v>
      </c>
      <c r="AC1310" s="12">
        <v>9.5473093324314195E-3</v>
      </c>
    </row>
    <row r="1311" spans="12:29" x14ac:dyDescent="0.2">
      <c r="L1311" s="11">
        <v>46101</v>
      </c>
      <c r="M1311" s="10">
        <v>172.49894714355469</v>
      </c>
      <c r="N1311" s="10">
        <v>157.5732421875</v>
      </c>
      <c r="O1311" s="10">
        <v>283.82232666015625</v>
      </c>
      <c r="P1311" s="10">
        <v>247.54823303222656</v>
      </c>
      <c r="Q1311" s="10">
        <v>646.9034423828125</v>
      </c>
      <c r="R1311" s="10">
        <v>234.02410888671875</v>
      </c>
      <c r="S1311" s="10">
        <v>142.14060974121094</v>
      </c>
      <c r="V1311" s="11">
        <v>46104</v>
      </c>
      <c r="W1311" s="12">
        <v>1.4113509804804858E-2</v>
      </c>
      <c r="X1311" s="12">
        <v>2.1242740759541689E-4</v>
      </c>
      <c r="Y1311" s="12">
        <v>1.169038814918677E-2</v>
      </c>
      <c r="Z1311" s="12">
        <v>1.7023782007274502E-2</v>
      </c>
      <c r="AA1311" s="12">
        <v>-2.0099133395961033E-3</v>
      </c>
      <c r="AB1311" s="12">
        <v>1.0499991225476402E-2</v>
      </c>
      <c r="AC1311" s="12">
        <v>9.1439489014903952E-3</v>
      </c>
    </row>
    <row r="1312" spans="12:29" x14ac:dyDescent="0.2">
      <c r="L1312" s="11">
        <v>46104</v>
      </c>
      <c r="M1312" s="10">
        <v>175.43553161621094</v>
      </c>
      <c r="N1312" s="10">
        <v>159.01408386230469</v>
      </c>
      <c r="O1312" s="10">
        <v>287.14031982421875</v>
      </c>
      <c r="P1312" s="10">
        <v>251.04200744628903</v>
      </c>
      <c r="Q1312" s="10">
        <v>653.6959228515625</v>
      </c>
      <c r="R1312" s="10">
        <v>234.0738220214844</v>
      </c>
      <c r="S1312" s="10">
        <v>141.85491943359375</v>
      </c>
      <c r="V1312" s="11">
        <v>46105</v>
      </c>
      <c r="W1312" s="12">
        <v>5.963911769359953E-4</v>
      </c>
      <c r="X1312" s="12">
        <v>-6.3714687532723246E-4</v>
      </c>
      <c r="Y1312" s="12">
        <v>8.5888914608904798E-3</v>
      </c>
      <c r="Z1312" s="12">
        <v>-2.50518750288653E-3</v>
      </c>
      <c r="AA1312" s="12">
        <v>-5.7643629867422108E-3</v>
      </c>
      <c r="AB1312" s="12">
        <v>-3.3568144771775055E-3</v>
      </c>
      <c r="AC1312" s="12">
        <v>2.6376175290493409E-2</v>
      </c>
    </row>
    <row r="1313" spans="12:29" x14ac:dyDescent="0.2">
      <c r="L1313" s="11">
        <v>46105</v>
      </c>
      <c r="M1313" s="10">
        <v>174.99603271484375</v>
      </c>
      <c r="N1313" s="10">
        <v>163.20826721191406</v>
      </c>
      <c r="O1313" s="10">
        <v>289.60653686523438</v>
      </c>
      <c r="P1313" s="10">
        <v>251.19172668457031</v>
      </c>
      <c r="Q1313" s="10">
        <v>651.5015869140625</v>
      </c>
      <c r="R1313" s="10">
        <v>233.9246826171875</v>
      </c>
      <c r="S1313" s="10">
        <v>141.03721618652344</v>
      </c>
      <c r="V1313" s="11">
        <v>46106</v>
      </c>
      <c r="W1313" s="12">
        <v>3.8944603729500482E-3</v>
      </c>
      <c r="X1313" s="12">
        <v>1.9807001577510031E-2</v>
      </c>
      <c r="Y1313" s="12">
        <v>1.0328428537211387E-2</v>
      </c>
      <c r="Z1313" s="12">
        <v>1.9863034004328428E-2</v>
      </c>
      <c r="AA1313" s="12">
        <v>5.3087655921795207E-3</v>
      </c>
      <c r="AB1313" s="12">
        <v>5.5726882440485515E-3</v>
      </c>
      <c r="AC1313" s="12">
        <v>-1.2818977381954477E-2</v>
      </c>
    </row>
    <row r="1314" spans="12:29" x14ac:dyDescent="0.2">
      <c r="L1314" s="11">
        <v>46106</v>
      </c>
      <c r="M1314" s="10">
        <v>178.47198486328125</v>
      </c>
      <c r="N1314" s="10">
        <v>161.11610412597656</v>
      </c>
      <c r="O1314" s="10">
        <v>292.59771728515625</v>
      </c>
      <c r="P1314" s="10">
        <v>252.16998291015625</v>
      </c>
      <c r="Q1314" s="10">
        <v>655.1322021484375</v>
      </c>
      <c r="R1314" s="10">
        <v>238.55802917480469</v>
      </c>
      <c r="S1314" s="10">
        <v>141.78594970703125</v>
      </c>
      <c r="V1314" s="11">
        <v>46107</v>
      </c>
      <c r="W1314" s="12">
        <v>1.0688474769657841E-3</v>
      </c>
      <c r="X1314" s="12">
        <v>-2.8757579806601985E-3</v>
      </c>
      <c r="Y1314" s="12">
        <v>-1.2727785877155617E-2</v>
      </c>
      <c r="Z1314" s="12">
        <v>-4.1638580957803928E-2</v>
      </c>
      <c r="AA1314" s="12">
        <v>-1.0422419771495828E-2</v>
      </c>
      <c r="AB1314" s="12">
        <v>-1.7858729983344035E-2</v>
      </c>
      <c r="AC1314" s="12">
        <v>1.3291624462953289E-2</v>
      </c>
    </row>
    <row r="1315" spans="12:29" x14ac:dyDescent="0.2">
      <c r="L1315" s="11">
        <v>46107</v>
      </c>
      <c r="M1315" s="10">
        <v>171.04066467285156</v>
      </c>
      <c r="N1315" s="10">
        <v>163.25759887695312</v>
      </c>
      <c r="O1315" s="10">
        <v>288.87359619140625</v>
      </c>
      <c r="P1315" s="10">
        <v>252.43951416015625</v>
      </c>
      <c r="Q1315" s="10">
        <v>643.432373046875</v>
      </c>
      <c r="R1315" s="10">
        <v>237.87199401855469</v>
      </c>
      <c r="S1315" s="10">
        <v>140.30819702148438</v>
      </c>
      <c r="V1315" s="11">
        <v>46108</v>
      </c>
      <c r="W1315" s="12">
        <v>-1.6173054004998577E-2</v>
      </c>
      <c r="X1315" s="12">
        <v>5.0576107952831073E-3</v>
      </c>
      <c r="Y1315" s="12">
        <v>-3.0240623887443308E-2</v>
      </c>
      <c r="Z1315" s="12">
        <v>-2.1723974181843797E-2</v>
      </c>
      <c r="AA1315" s="12">
        <v>2.0362713830790469E-3</v>
      </c>
      <c r="AB1315" s="12">
        <v>-1.7051894157425251E-2</v>
      </c>
      <c r="AC1315" s="12">
        <v>3.3609365142416525E-2</v>
      </c>
    </row>
    <row r="1316" spans="12:29" x14ac:dyDescent="0.2">
      <c r="L1316" s="11">
        <v>46108</v>
      </c>
      <c r="M1316" s="10">
        <v>167.32498168945312</v>
      </c>
      <c r="N1316" s="10">
        <v>168.74458312988281</v>
      </c>
      <c r="O1316" s="10">
        <v>280.13787841796875</v>
      </c>
      <c r="P1316" s="10">
        <v>248.35679626464844</v>
      </c>
      <c r="Q1316" s="10">
        <v>632.46063232421875</v>
      </c>
      <c r="R1316" s="10">
        <v>239.07505798339844</v>
      </c>
      <c r="S1316" s="10">
        <v>140.59390258789062</v>
      </c>
      <c r="V1316" s="11">
        <v>46111</v>
      </c>
      <c r="W1316" s="12">
        <v>-8.721878071757283E-3</v>
      </c>
      <c r="X1316" s="12">
        <v>8.4841591054596321E-3</v>
      </c>
      <c r="Y1316" s="12">
        <v>3.2880668110599753E-3</v>
      </c>
      <c r="Z1316" s="12">
        <v>-1.4028147487508913E-2</v>
      </c>
      <c r="AA1316" s="12">
        <v>1.4084386282469996E-2</v>
      </c>
      <c r="AB1316" s="12">
        <v>-3.3433906874337227E-3</v>
      </c>
      <c r="AC1316" s="12">
        <v>2.807164762685499E-3</v>
      </c>
    </row>
    <row r="1317" spans="12:29" x14ac:dyDescent="0.2">
      <c r="L1317" s="11">
        <v>46111</v>
      </c>
      <c r="M1317" s="10">
        <v>164.97772216796875</v>
      </c>
      <c r="N1317" s="10">
        <v>169.21827697753906</v>
      </c>
      <c r="O1317" s="10">
        <v>281.05899047851562</v>
      </c>
      <c r="P1317" s="10">
        <v>246.19065856933591</v>
      </c>
      <c r="Q1317" s="10">
        <v>630.3460693359375</v>
      </c>
      <c r="R1317" s="10">
        <v>241.10340881347656</v>
      </c>
      <c r="S1317" s="10">
        <v>142.57408142089844</v>
      </c>
      <c r="V1317" s="11">
        <v>46112</v>
      </c>
      <c r="W1317" s="12">
        <v>2.9031350563775371E-2</v>
      </c>
      <c r="X1317" s="12">
        <v>8.0415402792477497E-3</v>
      </c>
      <c r="Y1317" s="12">
        <v>3.6614167542822429E-2</v>
      </c>
      <c r="Z1317" s="12">
        <v>5.5881808882369377E-2</v>
      </c>
      <c r="AA1317" s="12">
        <v>-1.9347723367583169E-3</v>
      </c>
      <c r="AB1317" s="12">
        <v>2.9067865784757174E-2</v>
      </c>
      <c r="AC1317" s="12">
        <v>-1.0555741360441018E-2</v>
      </c>
    </row>
    <row r="1318" spans="12:29" x14ac:dyDescent="0.2">
      <c r="L1318" s="11">
        <v>46112</v>
      </c>
      <c r="M1318" s="10">
        <v>174.19697570800781</v>
      </c>
      <c r="N1318" s="10">
        <v>167.43205261230469</v>
      </c>
      <c r="O1318" s="10">
        <v>291.3497314453125</v>
      </c>
      <c r="P1318" s="10">
        <v>253.33790588378903</v>
      </c>
      <c r="Q1318" s="10">
        <v>648.66888427734375</v>
      </c>
      <c r="R1318" s="10">
        <v>243.04225158691409</v>
      </c>
      <c r="S1318" s="10">
        <v>142.29823303222656</v>
      </c>
      <c r="V1318" s="11">
        <v>46113</v>
      </c>
      <c r="W1318" s="12">
        <v>7.2501229163621783E-3</v>
      </c>
      <c r="X1318" s="12">
        <v>-1.3091397378595104E-3</v>
      </c>
      <c r="Y1318" s="12">
        <v>4.1473987288922487E-3</v>
      </c>
      <c r="Z1318" s="12">
        <v>7.7408602690236528E-3</v>
      </c>
      <c r="AA1318" s="12">
        <v>-2.4231000561140137E-3</v>
      </c>
      <c r="AB1318" s="12">
        <v>7.5344914103034899E-3</v>
      </c>
      <c r="AC1318" s="12">
        <v>-5.2339930265919654E-2</v>
      </c>
    </row>
    <row r="1319" spans="12:29" x14ac:dyDescent="0.2">
      <c r="L1319" s="11">
        <v>46113</v>
      </c>
      <c r="M1319" s="10">
        <v>175.54541015625</v>
      </c>
      <c r="N1319" s="10">
        <v>158.66867065429688</v>
      </c>
      <c r="O1319" s="10">
        <v>292.55807495117188</v>
      </c>
      <c r="P1319" s="10">
        <v>255.17463684082031</v>
      </c>
      <c r="Q1319" s="10">
        <v>653.5562744140625</v>
      </c>
      <c r="R1319" s="10">
        <v>242.72407531738281</v>
      </c>
      <c r="S1319" s="10">
        <v>141.95343017578125</v>
      </c>
      <c r="V1319" s="11">
        <v>46114</v>
      </c>
      <c r="W1319" s="12">
        <v>1.1344171618641319E-3</v>
      </c>
      <c r="X1319" s="12">
        <v>-4.4240441335712255E-3</v>
      </c>
      <c r="Y1319" s="12">
        <v>-2.6406807959866718E-3</v>
      </c>
      <c r="Z1319" s="12">
        <v>9.331356375359201E-3</v>
      </c>
      <c r="AA1319" s="12">
        <v>-6.7319785102966101E-3</v>
      </c>
      <c r="AB1319" s="12">
        <v>9.004595313388819E-4</v>
      </c>
      <c r="AC1319" s="12">
        <v>-5.5979173939346705E-4</v>
      </c>
    </row>
    <row r="1320" spans="12:29" x14ac:dyDescent="0.2">
      <c r="L1320" s="11">
        <v>46114</v>
      </c>
      <c r="M1320" s="10">
        <v>177.18348693847656</v>
      </c>
      <c r="N1320" s="10">
        <v>158.57984924316406</v>
      </c>
      <c r="O1320" s="10">
        <v>291.7855224609375</v>
      </c>
      <c r="P1320" s="10">
        <v>255.464111328125</v>
      </c>
      <c r="Q1320" s="10">
        <v>654.144775390625</v>
      </c>
      <c r="R1320" s="10">
        <v>241.65025329589844</v>
      </c>
      <c r="S1320" s="10">
        <v>140.997802734375</v>
      </c>
      <c r="V1320" s="11">
        <v>46118</v>
      </c>
      <c r="W1320" s="12">
        <v>1.1487928393195235E-2</v>
      </c>
      <c r="X1320" s="12">
        <v>-8.5171295119067514E-3</v>
      </c>
      <c r="Y1320" s="12">
        <v>8.0177985505627269E-3</v>
      </c>
      <c r="Z1320" s="12">
        <v>1.4093304479019242E-3</v>
      </c>
      <c r="AA1320" s="12">
        <v>-2.445448437908504E-3</v>
      </c>
      <c r="AB1320" s="12">
        <v>4.7268450837638643E-3</v>
      </c>
      <c r="AC1320" s="12">
        <v>1.6678070516687349E-2</v>
      </c>
    </row>
    <row r="1321" spans="12:29" x14ac:dyDescent="0.2">
      <c r="L1321" s="11">
        <v>46118</v>
      </c>
      <c r="M1321" s="10">
        <v>177.43319702148438</v>
      </c>
      <c r="N1321" s="10">
        <v>161.22465515136719</v>
      </c>
      <c r="O1321" s="10">
        <v>294.125</v>
      </c>
      <c r="P1321" s="10">
        <v>258.39886474609375</v>
      </c>
      <c r="Q1321" s="10">
        <v>657.23681640625</v>
      </c>
      <c r="R1321" s="10">
        <v>239.59208679199219</v>
      </c>
      <c r="S1321" s="10">
        <v>140.65299987792969</v>
      </c>
      <c r="V1321" s="11">
        <v>46119</v>
      </c>
      <c r="W1321" s="12">
        <v>-2.0706161436335524E-2</v>
      </c>
      <c r="X1321" s="12">
        <v>-1.0623677748186844E-2</v>
      </c>
      <c r="Y1321" s="12">
        <v>6.6000974487356867E-3</v>
      </c>
      <c r="Z1321" s="12">
        <v>2.58955293576979E-3</v>
      </c>
      <c r="AA1321" s="12">
        <v>-1.0296343989667833E-2</v>
      </c>
      <c r="AB1321" s="12">
        <v>4.4000056462722981E-4</v>
      </c>
      <c r="AC1321" s="12">
        <v>3.3054076469103411E-3</v>
      </c>
    </row>
    <row r="1322" spans="12:29" x14ac:dyDescent="0.2">
      <c r="L1322" s="11">
        <v>46119</v>
      </c>
      <c r="M1322" s="10">
        <v>177.89266967773438</v>
      </c>
      <c r="N1322" s="10">
        <v>161.757568359375</v>
      </c>
      <c r="O1322" s="10">
        <v>296.06625366210938</v>
      </c>
      <c r="P1322" s="10">
        <v>253.04841613769531</v>
      </c>
      <c r="Q1322" s="10">
        <v>657.5260009765625</v>
      </c>
      <c r="R1322" s="10">
        <v>237.04673767089844</v>
      </c>
      <c r="S1322" s="10">
        <v>139.20478820800781</v>
      </c>
      <c r="V1322" s="11">
        <v>46120</v>
      </c>
      <c r="W1322" s="12">
        <v>2.1301837017746461E-2</v>
      </c>
      <c r="X1322" s="12">
        <v>1.2121972862090713E-2</v>
      </c>
      <c r="Y1322" s="12">
        <v>3.5541311708633838E-2</v>
      </c>
      <c r="Z1322" s="12">
        <v>2.23470271240227E-2</v>
      </c>
      <c r="AA1322" s="12">
        <v>2.5477683966490972E-2</v>
      </c>
      <c r="AB1322" s="12">
        <v>2.5469636512190919E-2</v>
      </c>
      <c r="AC1322" s="12">
        <v>-4.6916010498687655E-2</v>
      </c>
    </row>
    <row r="1323" spans="12:29" x14ac:dyDescent="0.2">
      <c r="L1323" s="11">
        <v>46120</v>
      </c>
      <c r="M1323" s="10">
        <v>181.8680419921875</v>
      </c>
      <c r="N1323" s="10">
        <v>154.16854858398438</v>
      </c>
      <c r="O1323" s="10">
        <v>306.58883666992188</v>
      </c>
      <c r="P1323" s="10">
        <v>258.43881225585938</v>
      </c>
      <c r="Q1323" s="10">
        <v>674.27294921875</v>
      </c>
      <c r="R1323" s="10">
        <v>239.92021179199219</v>
      </c>
      <c r="S1323" s="10">
        <v>142.75140380859375</v>
      </c>
      <c r="V1323" s="11">
        <v>46121</v>
      </c>
      <c r="W1323" s="12">
        <v>6.1413306665165646E-3</v>
      </c>
      <c r="X1323" s="12">
        <v>4.1403229871672664E-5</v>
      </c>
      <c r="Y1323" s="12">
        <v>7.6630179280876565E-3</v>
      </c>
      <c r="Z1323" s="12">
        <v>1.0050504643715596E-2</v>
      </c>
      <c r="AA1323" s="12">
        <v>1.2146411103970856E-2</v>
      </c>
      <c r="AB1323" s="12">
        <v>5.7690176991855857E-3</v>
      </c>
      <c r="AC1323" s="12">
        <v>-7.553453772372043E-3</v>
      </c>
    </row>
    <row r="1324" spans="12:29" x14ac:dyDescent="0.2">
      <c r="L1324" s="11">
        <v>46121</v>
      </c>
      <c r="M1324" s="10">
        <v>183.69590759277344</v>
      </c>
      <c r="N1324" s="10">
        <v>153.00404357910156</v>
      </c>
      <c r="O1324" s="10">
        <v>308.938232421875</v>
      </c>
      <c r="P1324" s="10">
        <v>260.02597045898438</v>
      </c>
      <c r="Q1324" s="10">
        <v>678.162841796875</v>
      </c>
      <c r="R1324" s="10">
        <v>239.93014526367188</v>
      </c>
      <c r="S1324" s="10">
        <v>144.48532104492188</v>
      </c>
      <c r="V1324" s="11">
        <v>46122</v>
      </c>
      <c r="W1324" s="12">
        <v>-3.8377889828744571E-5</v>
      </c>
      <c r="X1324" s="12">
        <v>-1.1810497821745924E-2</v>
      </c>
      <c r="Y1324" s="12">
        <v>-1.4822259329182463E-3</v>
      </c>
      <c r="Z1324" s="12">
        <v>2.5664741901011867E-2</v>
      </c>
      <c r="AA1324" s="12">
        <v>-1.0227701159257752E-2</v>
      </c>
      <c r="AB1324" s="12">
        <v>-6.6177542655854182E-4</v>
      </c>
      <c r="AC1324" s="12">
        <v>-1.6318494569759867E-2</v>
      </c>
    </row>
    <row r="1325" spans="12:29" x14ac:dyDescent="0.2">
      <c r="L1325" s="11">
        <v>46122</v>
      </c>
      <c r="M1325" s="10">
        <v>188.41041564941409</v>
      </c>
      <c r="N1325" s="10">
        <v>150.50724792480469</v>
      </c>
      <c r="O1325" s="10">
        <v>308.48031616210938</v>
      </c>
      <c r="P1325" s="10">
        <v>260.0159912109375</v>
      </c>
      <c r="Q1325" s="10">
        <v>677.71405029296875</v>
      </c>
      <c r="R1325" s="10">
        <v>237.09645080566409</v>
      </c>
      <c r="S1325" s="10">
        <v>143.007568359375</v>
      </c>
      <c r="V1325" s="11">
        <v>46125</v>
      </c>
      <c r="W1325" s="12">
        <v>-4.9139668486810617E-3</v>
      </c>
      <c r="X1325" s="12">
        <v>-2.0968116762440925E-3</v>
      </c>
      <c r="Y1325" s="12">
        <v>1.229546105901469E-2</v>
      </c>
      <c r="Z1325" s="12">
        <v>3.6048920990325861E-3</v>
      </c>
      <c r="AA1325" s="12">
        <v>-1.0884702582461436E-2</v>
      </c>
      <c r="AB1325" s="12">
        <v>9.7724472464817413E-3</v>
      </c>
      <c r="AC1325" s="12">
        <v>8.5252477203412447E-4</v>
      </c>
    </row>
    <row r="1326" spans="12:29" x14ac:dyDescent="0.2">
      <c r="L1326" s="11">
        <v>46125</v>
      </c>
      <c r="M1326" s="10">
        <v>189.08961486816409</v>
      </c>
      <c r="N1326" s="10">
        <v>150.63555908203125</v>
      </c>
      <c r="O1326" s="10">
        <v>312.27322387695312</v>
      </c>
      <c r="P1326" s="10">
        <v>258.73828125</v>
      </c>
      <c r="Q1326" s="10">
        <v>684.33697509765625</v>
      </c>
      <c r="R1326" s="10">
        <v>236.59930419921875</v>
      </c>
      <c r="S1326" s="10">
        <v>141.45097351074219</v>
      </c>
      <c r="V1326" s="11">
        <v>46126</v>
      </c>
      <c r="W1326" s="12">
        <v>-1.4275206833038734E-3</v>
      </c>
      <c r="X1326" s="12">
        <v>8.993102697498534E-3</v>
      </c>
      <c r="Y1326" s="12">
        <v>-8.1611958834579834E-3</v>
      </c>
      <c r="Z1326" s="12">
        <v>3.8032865411783634E-2</v>
      </c>
      <c r="AA1326" s="12">
        <v>5.5719816688675206E-3</v>
      </c>
      <c r="AB1326" s="12">
        <v>1.2184877209840739E-2</v>
      </c>
      <c r="AC1326" s="12">
        <v>-2.2274599039794341E-2</v>
      </c>
    </row>
    <row r="1327" spans="12:29" x14ac:dyDescent="0.2">
      <c r="L1327" s="11">
        <v>46126</v>
      </c>
      <c r="M1327" s="10">
        <v>196.28123474121097</v>
      </c>
      <c r="N1327" s="10">
        <v>147.28021240234375</v>
      </c>
      <c r="O1327" s="10">
        <v>309.72470092773438</v>
      </c>
      <c r="P1327" s="10">
        <v>258.36892700195312</v>
      </c>
      <c r="Q1327" s="10">
        <v>692.675537109375</v>
      </c>
      <c r="R1327" s="10">
        <v>238.72706604003903</v>
      </c>
      <c r="S1327" s="10">
        <v>142.2391357421875</v>
      </c>
      <c r="V1327" s="11">
        <v>46127</v>
      </c>
      <c r="W1327" s="12">
        <v>2.9362881933440832E-2</v>
      </c>
      <c r="X1327" s="12">
        <v>-5.9558777612351843E-3</v>
      </c>
      <c r="Y1327" s="12">
        <v>-1.6681645066798811E-2</v>
      </c>
      <c r="Z1327" s="12">
        <v>1.2009574075831697E-2</v>
      </c>
      <c r="AA1327" s="12">
        <v>-6.9262493102179024E-3</v>
      </c>
      <c r="AB1327" s="12">
        <v>7.8909692270439091E-3</v>
      </c>
      <c r="AC1327" s="12">
        <v>-1.5412100674709883E-3</v>
      </c>
    </row>
    <row r="1328" spans="12:29" x14ac:dyDescent="0.2">
      <c r="L1328" s="11">
        <v>46127</v>
      </c>
      <c r="M1328" s="10">
        <v>198.63848876953125</v>
      </c>
      <c r="N1328" s="10">
        <v>147.05322265625</v>
      </c>
      <c r="O1328" s="10">
        <v>304.5579833984375</v>
      </c>
      <c r="P1328" s="10">
        <v>265.95538330078125</v>
      </c>
      <c r="Q1328" s="10">
        <v>698.14141845703125</v>
      </c>
      <c r="R1328" s="10">
        <v>237.30523681640625</v>
      </c>
      <c r="S1328" s="10">
        <v>141.25395202636719</v>
      </c>
      <c r="V1328" s="11">
        <v>46128</v>
      </c>
      <c r="W1328" s="12">
        <v>-1.1372573588962043E-2</v>
      </c>
      <c r="X1328" s="12">
        <v>-1.7304229491238332E-2</v>
      </c>
      <c r="Y1328" s="12">
        <v>1.3140301225801565E-2</v>
      </c>
      <c r="Z1328" s="12">
        <v>-2.6147697967087158E-3</v>
      </c>
      <c r="AA1328" s="12">
        <v>-1.8830709309134441E-3</v>
      </c>
      <c r="AB1328" s="12">
        <v>2.4573476469376132E-3</v>
      </c>
      <c r="AC1328" s="12">
        <v>1.9931557451895232E-2</v>
      </c>
    </row>
    <row r="1329" spans="12:29" x14ac:dyDescent="0.2">
      <c r="L1329" s="11">
        <v>46128</v>
      </c>
      <c r="M1329" s="10">
        <v>198.11909484863281</v>
      </c>
      <c r="N1329" s="10">
        <v>149.98422241210938</v>
      </c>
      <c r="O1329" s="10">
        <v>308.55996704101562</v>
      </c>
      <c r="P1329" s="10">
        <v>262.9307861328125</v>
      </c>
      <c r="Q1329" s="10">
        <v>699.85699462890625</v>
      </c>
      <c r="R1329" s="10">
        <v>233.1988525390625</v>
      </c>
      <c r="S1329" s="10">
        <v>140.98796081542969</v>
      </c>
      <c r="V1329" s="11">
        <v>46129</v>
      </c>
      <c r="W1329" s="12">
        <v>2.5930172257302875E-2</v>
      </c>
      <c r="X1329" s="12">
        <v>-1.5349161024200697E-3</v>
      </c>
      <c r="Y1329" s="12">
        <v>1.0969357503831656E-3</v>
      </c>
      <c r="Z1329" s="12">
        <v>1.6788441530004805E-2</v>
      </c>
      <c r="AA1329" s="12">
        <v>2.6692714886176416E-2</v>
      </c>
      <c r="AB1329" s="12">
        <v>1.2085686101644066E-2</v>
      </c>
      <c r="AC1329" s="12">
        <v>-3.645219844291081E-2</v>
      </c>
    </row>
    <row r="1330" spans="12:29" x14ac:dyDescent="0.2">
      <c r="L1330" s="11">
        <v>46129</v>
      </c>
      <c r="M1330" s="10">
        <v>201.44520568847656</v>
      </c>
      <c r="N1330" s="10">
        <v>144.5169677734375</v>
      </c>
      <c r="O1330" s="10">
        <v>308.8984375</v>
      </c>
      <c r="P1330" s="10">
        <v>269.74862670898438</v>
      </c>
      <c r="Q1330" s="10">
        <v>708.31524658203125</v>
      </c>
      <c r="R1330" s="10">
        <v>232.8409118652344</v>
      </c>
      <c r="S1330" s="10">
        <v>144.75131225585938</v>
      </c>
      <c r="V1330" s="11">
        <v>46132</v>
      </c>
      <c r="W1330" s="12">
        <v>1.0435424419368289E-2</v>
      </c>
      <c r="X1330" s="12">
        <v>-1.4903015584691093E-2</v>
      </c>
      <c r="Y1330" s="12">
        <v>2.159270356483467E-2</v>
      </c>
      <c r="Z1330" s="12">
        <v>1.8841966312004299E-3</v>
      </c>
      <c r="AA1330" s="12">
        <v>-1.6606471860518113E-2</v>
      </c>
      <c r="AB1330" s="12">
        <v>-1.9997351150194964E-3</v>
      </c>
      <c r="AC1330" s="12">
        <v>8.4675808335790137E-3</v>
      </c>
    </row>
    <row r="1331" spans="12:29" x14ac:dyDescent="0.2">
      <c r="L1331" s="11">
        <v>46132</v>
      </c>
      <c r="M1331" s="10">
        <v>201.82476806640625</v>
      </c>
      <c r="N1331" s="10">
        <v>145.74067687988281</v>
      </c>
      <c r="O1331" s="10">
        <v>315.56838989257812</v>
      </c>
      <c r="P1331" s="10">
        <v>272.56356811523438</v>
      </c>
      <c r="Q1331" s="10">
        <v>706.8988037109375</v>
      </c>
      <c r="R1331" s="10">
        <v>229.37088012695312</v>
      </c>
      <c r="S1331" s="10">
        <v>142.34750366210938</v>
      </c>
      <c r="V1331" s="11">
        <v>46133</v>
      </c>
      <c r="W1331" s="12">
        <v>-2.5196714096157535E-2</v>
      </c>
      <c r="X1331" s="12">
        <v>-1.9636776088424401E-2</v>
      </c>
      <c r="Y1331" s="12">
        <v>-1.2587150870674635E-2</v>
      </c>
      <c r="Z1331" s="12">
        <v>-1.0788787118989118E-2</v>
      </c>
      <c r="AA1331" s="12">
        <v>-1.5018299076652863E-2</v>
      </c>
      <c r="AB1331" s="12">
        <v>-6.5468928485394873E-3</v>
      </c>
      <c r="AC1331" s="12">
        <v>4.6046275983873119E-3</v>
      </c>
    </row>
    <row r="1332" spans="12:29" x14ac:dyDescent="0.2">
      <c r="L1332" s="11">
        <v>46133</v>
      </c>
      <c r="M1332" s="10">
        <v>199.64732360839844</v>
      </c>
      <c r="N1332" s="10">
        <v>146.41175842285156</v>
      </c>
      <c r="O1332" s="10">
        <v>311.59628295898438</v>
      </c>
      <c r="P1332" s="10">
        <v>265.69586181640625</v>
      </c>
      <c r="Q1332" s="10">
        <v>702.27081298828125</v>
      </c>
      <c r="R1332" s="10">
        <v>224.86677551269531</v>
      </c>
      <c r="S1332" s="10">
        <v>140.20968627929688</v>
      </c>
      <c r="V1332" s="11">
        <v>46134</v>
      </c>
      <c r="W1332" s="12">
        <v>2.6299050276339386E-2</v>
      </c>
      <c r="X1332" s="12">
        <v>-2.6525308734171027E-4</v>
      </c>
      <c r="Y1332" s="12">
        <v>6.3856541382856236E-5</v>
      </c>
      <c r="Z1332" s="12">
        <v>1.3107830909409257E-2</v>
      </c>
      <c r="AA1332" s="12">
        <v>3.7238885414845324E-3</v>
      </c>
      <c r="AB1332" s="12">
        <v>1.012671209511895E-2</v>
      </c>
      <c r="AC1332" s="12">
        <v>7.6840175249375253E-3</v>
      </c>
    </row>
    <row r="1333" spans="12:29" x14ac:dyDescent="0.2">
      <c r="L1333" s="11">
        <v>46134</v>
      </c>
      <c r="M1333" s="10">
        <v>202.26426696777344</v>
      </c>
      <c r="N1333" s="10">
        <v>147.53678894042969</v>
      </c>
      <c r="O1333" s="10">
        <v>311.61618041992188</v>
      </c>
      <c r="P1333" s="10">
        <v>272.68341064453125</v>
      </c>
      <c r="Q1333" s="10">
        <v>709.38250732421875</v>
      </c>
      <c r="R1333" s="10">
        <v>224.80712890625</v>
      </c>
      <c r="S1333" s="10">
        <v>140.7318115234375</v>
      </c>
      <c r="V1333" s="11">
        <v>46135</v>
      </c>
      <c r="W1333" s="12">
        <v>9.5161992503878245E-4</v>
      </c>
      <c r="X1333" s="12">
        <v>2.0123790467088787E-2</v>
      </c>
      <c r="Y1333" s="12">
        <v>-4.2488330521507356E-3</v>
      </c>
      <c r="Z1333" s="12">
        <v>-1.4123474389033275E-2</v>
      </c>
      <c r="AA1333" s="12">
        <v>2.0021034370595325E-2</v>
      </c>
      <c r="AB1333" s="12">
        <v>-3.8807408683984024E-3</v>
      </c>
      <c r="AC1333" s="12">
        <v>6.8896679905234848E-3</v>
      </c>
    </row>
    <row r="1334" spans="12:29" x14ac:dyDescent="0.2">
      <c r="L1334" s="11">
        <v>46135</v>
      </c>
      <c r="M1334" s="10">
        <v>199.4075927734375</v>
      </c>
      <c r="N1334" s="10">
        <v>148.55326843261719</v>
      </c>
      <c r="O1334" s="10">
        <v>310.29217529296875</v>
      </c>
      <c r="P1334" s="10">
        <v>272.94290161132812</v>
      </c>
      <c r="Q1334" s="10">
        <v>706.62957763671875</v>
      </c>
      <c r="R1334" s="10">
        <v>229.33110046386719</v>
      </c>
      <c r="S1334" s="10">
        <v>143.54940795898438</v>
      </c>
      <c r="V1334" s="11">
        <v>46136</v>
      </c>
      <c r="W1334" s="12">
        <v>-8.6676871881985473E-3</v>
      </c>
      <c r="X1334" s="12">
        <v>-1.3657059679457184E-2</v>
      </c>
      <c r="Y1334" s="12">
        <v>-1.0940380150622708E-2</v>
      </c>
      <c r="Z1334" s="12">
        <v>4.3227788976992976E-2</v>
      </c>
      <c r="AA1334" s="12">
        <v>2.4609110836771864E-2</v>
      </c>
      <c r="AB1334" s="12">
        <v>7.7493092372316053E-3</v>
      </c>
      <c r="AC1334" s="12">
        <v>-1.0761960218731548E-2</v>
      </c>
    </row>
    <row r="1335" spans="12:29" x14ac:dyDescent="0.2">
      <c r="L1335" s="11">
        <v>46136</v>
      </c>
      <c r="M1335" s="10">
        <v>208.02754211425781</v>
      </c>
      <c r="N1335" s="10">
        <v>146.95454406738281</v>
      </c>
      <c r="O1335" s="10">
        <v>306.8974609375</v>
      </c>
      <c r="P1335" s="10">
        <v>270.57711791992188</v>
      </c>
      <c r="Q1335" s="10">
        <v>712.10546875</v>
      </c>
      <c r="R1335" s="10">
        <v>226.19911193847656</v>
      </c>
      <c r="S1335" s="10">
        <v>147.08203125</v>
      </c>
      <c r="V1335" s="11">
        <v>46139</v>
      </c>
      <c r="W1335" s="12">
        <v>-1.2727786010601316E-2</v>
      </c>
      <c r="X1335" s="12">
        <v>-9.494484857008989E-3</v>
      </c>
      <c r="Y1335" s="12">
        <v>1.086669445655386E-2</v>
      </c>
      <c r="Z1335" s="12">
        <v>4.0044177147810167E-2</v>
      </c>
      <c r="AA1335" s="12">
        <v>1.4846717061056669E-3</v>
      </c>
      <c r="AB1335" s="12">
        <v>1.722787837563633E-3</v>
      </c>
      <c r="AC1335" s="12">
        <v>-4.8351058212842135E-3</v>
      </c>
    </row>
    <row r="1336" spans="12:29" x14ac:dyDescent="0.2">
      <c r="L1336" s="11">
        <v>46139</v>
      </c>
      <c r="M1336" s="10">
        <v>216.35783386230469</v>
      </c>
      <c r="N1336" s="10">
        <v>146.24400329589844</v>
      </c>
      <c r="O1336" s="10">
        <v>310.232421875</v>
      </c>
      <c r="P1336" s="10">
        <v>267.13327026367188</v>
      </c>
      <c r="Q1336" s="10">
        <v>713.332275390625</v>
      </c>
      <c r="R1336" s="10">
        <v>224.05146789550781</v>
      </c>
      <c r="S1336" s="10">
        <v>147.30039978027344</v>
      </c>
      <c r="V1336" s="11">
        <v>46140</v>
      </c>
      <c r="W1336" s="12">
        <v>1.1584039752220443E-2</v>
      </c>
      <c r="X1336" s="12">
        <v>1.0872454453272784E-2</v>
      </c>
      <c r="Y1336" s="12">
        <v>-5.7753054980203E-4</v>
      </c>
      <c r="Z1336" s="12">
        <v>-1.588104908680843E-2</v>
      </c>
      <c r="AA1336" s="12">
        <v>5.1886993279832705E-3</v>
      </c>
      <c r="AB1336" s="12">
        <v>-4.8659922671194789E-3</v>
      </c>
      <c r="AC1336" s="12">
        <v>1.5992910032473162E-2</v>
      </c>
    </row>
    <row r="1337" spans="12:29" x14ac:dyDescent="0.2">
      <c r="L1337" s="11">
        <v>46140</v>
      </c>
      <c r="M1337" s="10">
        <v>212.92184448242188</v>
      </c>
      <c r="N1337" s="10">
        <v>148.58287048339844</v>
      </c>
      <c r="O1337" s="10">
        <v>310.05325317382812</v>
      </c>
      <c r="P1337" s="10">
        <v>270.22775268554688</v>
      </c>
      <c r="Q1337" s="10">
        <v>709.8612060546875</v>
      </c>
      <c r="R1337" s="10">
        <v>226.48745727539065</v>
      </c>
      <c r="S1337" s="10">
        <v>148.064697265625</v>
      </c>
      <c r="V1337" s="11">
        <v>46141</v>
      </c>
      <c r="W1337" s="12">
        <v>-1.9947321363735782E-3</v>
      </c>
      <c r="X1337" s="12">
        <v>-1.931606926378393E-3</v>
      </c>
      <c r="Y1337" s="12">
        <v>-7.0638027721934282E-3</v>
      </c>
      <c r="Z1337" s="12">
        <v>-1.8389075111261644E-2</v>
      </c>
      <c r="AA1337" s="12">
        <v>-1.816713192508157E-2</v>
      </c>
      <c r="AB1337" s="12">
        <v>-1.5450932498595193E-4</v>
      </c>
      <c r="AC1337" s="12">
        <v>2.7298101458409274E-2</v>
      </c>
    </row>
    <row r="1338" spans="12:29" x14ac:dyDescent="0.2">
      <c r="L1338" s="11">
        <v>46141</v>
      </c>
      <c r="M1338" s="10">
        <v>209.00640869140625</v>
      </c>
      <c r="N1338" s="10">
        <v>152.63890075683594</v>
      </c>
      <c r="O1338" s="10">
        <v>307.86309814453125</v>
      </c>
      <c r="P1338" s="10">
        <v>269.688720703125</v>
      </c>
      <c r="Q1338" s="10">
        <v>709.75152587890625</v>
      </c>
      <c r="R1338" s="10">
        <v>226.04997253417969</v>
      </c>
      <c r="S1338" s="10">
        <v>145.37478637695312</v>
      </c>
      <c r="V1338" s="11">
        <v>46142</v>
      </c>
      <c r="W1338" s="12">
        <v>4.3676927881808325E-3</v>
      </c>
      <c r="X1338" s="12">
        <v>1.0996319732185178E-2</v>
      </c>
      <c r="Y1338" s="12">
        <v>1.2869870494400359E-2</v>
      </c>
      <c r="Z1338" s="12">
        <v>-4.6260455600329542E-2</v>
      </c>
      <c r="AA1338" s="12">
        <v>4.3014366531819448E-3</v>
      </c>
      <c r="AB1338" s="12">
        <v>9.9496335275648384E-3</v>
      </c>
      <c r="AC1338" s="12">
        <v>-2.198265119970344E-3</v>
      </c>
    </row>
    <row r="1339" spans="12:29" x14ac:dyDescent="0.2">
      <c r="L1339" s="11">
        <v>46142</v>
      </c>
      <c r="M1339" s="10">
        <v>199.33767700195312</v>
      </c>
      <c r="N1339" s="10">
        <v>152.30335998535156</v>
      </c>
      <c r="O1339" s="10">
        <v>311.82525634765625</v>
      </c>
      <c r="P1339" s="10">
        <v>270.86663818359375</v>
      </c>
      <c r="Q1339" s="10">
        <v>716.81329345703125</v>
      </c>
      <c r="R1339" s="10">
        <v>228.53569030761719</v>
      </c>
      <c r="S1339" s="10">
        <v>146.00010681152344</v>
      </c>
      <c r="V1339" s="11">
        <v>46143</v>
      </c>
      <c r="W1339" s="12">
        <v>3.2393627676644554E-2</v>
      </c>
      <c r="X1339" s="12">
        <v>-1.1572835317945729E-2</v>
      </c>
      <c r="Y1339" s="12">
        <v>-2.4263326381473993E-3</v>
      </c>
      <c r="Z1339" s="12">
        <v>-5.6120756343832623E-3</v>
      </c>
      <c r="AA1339" s="12">
        <v>1.1556956576130872E-3</v>
      </c>
      <c r="AB1339" s="12">
        <v>2.7690952923506984E-3</v>
      </c>
      <c r="AC1339" s="12">
        <v>-1.0237790407773395E-2</v>
      </c>
    </row>
    <row r="1340" spans="12:29" x14ac:dyDescent="0.2">
      <c r="L1340" s="11">
        <v>46143</v>
      </c>
      <c r="M1340" s="10">
        <v>198.21897888183591</v>
      </c>
      <c r="N1340" s="10">
        <v>150.74411010742188</v>
      </c>
      <c r="O1340" s="10">
        <v>311.06866455078125</v>
      </c>
      <c r="P1340" s="10">
        <v>279.6409912109375</v>
      </c>
      <c r="Q1340" s="10">
        <v>718.7982177734375</v>
      </c>
      <c r="R1340" s="10">
        <v>225.89088439941409</v>
      </c>
      <c r="S1340" s="10">
        <v>146.16883850097656</v>
      </c>
      <c r="V1340" s="11">
        <v>46146</v>
      </c>
      <c r="W1340" s="12">
        <v>-1.1815752357562936E-2</v>
      </c>
      <c r="X1340" s="12">
        <v>-1.3160780695198215E-2</v>
      </c>
      <c r="Y1340" s="12">
        <v>-1.542553598523233E-2</v>
      </c>
      <c r="Z1340" s="12">
        <v>1.5111067113071641E-4</v>
      </c>
      <c r="AA1340" s="12">
        <v>-2.6076274090825469E-2</v>
      </c>
      <c r="AB1340" s="12">
        <v>-3.6633921467564834E-3</v>
      </c>
      <c r="AC1340" s="12">
        <v>6.1538595464434298E-3</v>
      </c>
    </row>
    <row r="1341" spans="12:29" x14ac:dyDescent="0.2">
      <c r="L1341" s="11">
        <v>46146</v>
      </c>
      <c r="M1341" s="10">
        <v>198.2489318847656</v>
      </c>
      <c r="N1341" s="10">
        <v>151.67176818847656</v>
      </c>
      <c r="O1341" s="10">
        <v>306.270263671875</v>
      </c>
      <c r="P1341" s="10">
        <v>276.33682250976562</v>
      </c>
      <c r="Q1341" s="10">
        <v>716.16497802734375</v>
      </c>
      <c r="R1341" s="10">
        <v>222.91798400878903</v>
      </c>
      <c r="S1341" s="10">
        <v>142.3572998046875</v>
      </c>
      <c r="V1341" s="11">
        <v>46147</v>
      </c>
      <c r="W1341" s="12">
        <v>2.6550730783693632E-2</v>
      </c>
      <c r="X1341" s="12">
        <v>6.0214305374171051E-3</v>
      </c>
      <c r="Y1341" s="12">
        <v>5.6882994827351929E-3</v>
      </c>
      <c r="Z1341" s="12">
        <v>-9.9757997765160811E-3</v>
      </c>
      <c r="AA1341" s="12">
        <v>1.0319278745934524E-2</v>
      </c>
      <c r="AB1341" s="12">
        <v>8.0222287239424261E-3</v>
      </c>
      <c r="AC1341" s="12">
        <v>7.7428875223957139E-3</v>
      </c>
    </row>
    <row r="1342" spans="12:29" x14ac:dyDescent="0.2">
      <c r="L1342" s="11">
        <v>46147</v>
      </c>
      <c r="M1342" s="10">
        <v>196.271240234375</v>
      </c>
      <c r="N1342" s="10">
        <v>152.84614562988281</v>
      </c>
      <c r="O1342" s="10">
        <v>308.01242065429688</v>
      </c>
      <c r="P1342" s="10">
        <v>283.67376708984375</v>
      </c>
      <c r="Q1342" s="10">
        <v>721.91021728515625</v>
      </c>
      <c r="R1342" s="10">
        <v>224.26026916503903</v>
      </c>
      <c r="S1342" s="10">
        <v>143.82632446289062</v>
      </c>
      <c r="V1342" s="11">
        <v>46148</v>
      </c>
      <c r="W1342" s="12">
        <v>1.1718026357490752E-2</v>
      </c>
      <c r="X1342" s="12">
        <v>-4.1232565207838245E-3</v>
      </c>
      <c r="Y1342" s="12">
        <v>1.7776366892101159E-2</v>
      </c>
      <c r="Z1342" s="12">
        <v>5.7659075388685865E-2</v>
      </c>
      <c r="AA1342" s="12">
        <v>2.0704020729482853E-2</v>
      </c>
      <c r="AB1342" s="12">
        <v>1.3899399692774095E-2</v>
      </c>
      <c r="AC1342" s="12">
        <v>-3.9966456771913572E-2</v>
      </c>
    </row>
    <row r="1343" spans="12:29" x14ac:dyDescent="0.2">
      <c r="L1343" s="11">
        <v>46148</v>
      </c>
      <c r="M1343" s="10">
        <v>207.58805847167969</v>
      </c>
      <c r="N1343" s="10">
        <v>146.7374267578125</v>
      </c>
      <c r="O1343" s="10">
        <v>313.48776245117188</v>
      </c>
      <c r="P1343" s="10">
        <v>286.99786376953125</v>
      </c>
      <c r="Q1343" s="10">
        <v>731.9443359375</v>
      </c>
      <c r="R1343" s="10">
        <v>223.33558654785156</v>
      </c>
      <c r="S1343" s="10">
        <v>146.80410766601562</v>
      </c>
      <c r="V1343" s="11">
        <v>46149</v>
      </c>
      <c r="W1343" s="12">
        <v>-2.435044393305219E-4</v>
      </c>
      <c r="X1343" s="12">
        <v>-9.393694034258715E-3</v>
      </c>
      <c r="Y1343" s="12">
        <v>-2.7405562904829983E-2</v>
      </c>
      <c r="Z1343" s="12">
        <v>1.7658654042992161E-2</v>
      </c>
      <c r="AA1343" s="12">
        <v>-1.2440866051329214E-2</v>
      </c>
      <c r="AB1343" s="12">
        <v>-3.0660824190705815E-3</v>
      </c>
      <c r="AC1343" s="12">
        <v>-1.4190589922575381E-2</v>
      </c>
    </row>
    <row r="1344" spans="12:29" x14ac:dyDescent="0.2">
      <c r="L1344" s="11">
        <v>46149</v>
      </c>
      <c r="M1344" s="10">
        <v>211.2537841796875</v>
      </c>
      <c r="N1344" s="10">
        <v>144.65513610839844</v>
      </c>
      <c r="O1344" s="10">
        <v>304.89645385742188</v>
      </c>
      <c r="P1344" s="10">
        <v>286.927978515625</v>
      </c>
      <c r="Q1344" s="10">
        <v>729.70013427734375</v>
      </c>
      <c r="R1344" s="10">
        <v>221.23764038085935</v>
      </c>
      <c r="S1344" s="10">
        <v>144.97773742675781</v>
      </c>
      <c r="V1344" s="11">
        <v>46150</v>
      </c>
      <c r="W1344" s="12">
        <v>2.0456376775462637E-2</v>
      </c>
      <c r="X1344" s="12">
        <v>-5.3480129360374828E-3</v>
      </c>
      <c r="Y1344" s="12">
        <v>-1.3615362140967591E-2</v>
      </c>
      <c r="Z1344" s="12">
        <v>1.7494095947569566E-2</v>
      </c>
      <c r="AA1344" s="12">
        <v>2.4647254717031775E-3</v>
      </c>
      <c r="AB1344" s="12">
        <v>8.2560970111682508E-3</v>
      </c>
      <c r="AC1344" s="12">
        <v>-1.371259158244742E-2</v>
      </c>
    </row>
    <row r="1345" spans="12:29" x14ac:dyDescent="0.2">
      <c r="L1345" s="11">
        <v>46150</v>
      </c>
      <c r="M1345" s="10">
        <v>214.94947814941409</v>
      </c>
      <c r="N1345" s="10">
        <v>142.67153930664062</v>
      </c>
      <c r="O1345" s="10">
        <v>300.74517822265625</v>
      </c>
      <c r="P1345" s="10">
        <v>292.7974853515625</v>
      </c>
      <c r="Q1345" s="10">
        <v>735.724609375</v>
      </c>
      <c r="R1345" s="10">
        <v>220.05445861816409</v>
      </c>
      <c r="S1345" s="10">
        <v>145.33506774902344</v>
      </c>
      <c r="V1345" s="11">
        <v>46153</v>
      </c>
      <c r="W1345" s="12">
        <v>-1.2626131025762488E-3</v>
      </c>
      <c r="X1345" s="12">
        <v>4.9696671404730886E-4</v>
      </c>
      <c r="Y1345" s="12">
        <v>-6.9514221368675022E-3</v>
      </c>
      <c r="Z1345" s="12">
        <v>1.9702590962160649E-2</v>
      </c>
      <c r="AA1345" s="12">
        <v>-2.0898762047518837E-2</v>
      </c>
      <c r="AB1345" s="12">
        <v>2.2775630423874649E-3</v>
      </c>
      <c r="AC1345" s="12">
        <v>3.5346169814682638E-2</v>
      </c>
    </row>
    <row r="1346" spans="12:29" x14ac:dyDescent="0.2">
      <c r="L1346" s="11">
        <v>46153</v>
      </c>
      <c r="M1346" s="10">
        <v>219.18453979492188</v>
      </c>
      <c r="N1346" s="10">
        <v>147.71443176269531</v>
      </c>
      <c r="O1346" s="10">
        <v>298.65457153320312</v>
      </c>
      <c r="P1346" s="10">
        <v>292.42779541015625</v>
      </c>
      <c r="Q1346" s="10">
        <v>737.4002685546875</v>
      </c>
      <c r="R1346" s="10">
        <v>220.163818359375</v>
      </c>
      <c r="S1346" s="10">
        <v>142.29774475097656</v>
      </c>
      <c r="V1346" s="11">
        <v>46154</v>
      </c>
      <c r="W1346" s="12">
        <v>7.2433745893720758E-3</v>
      </c>
      <c r="X1346" s="12">
        <v>1.2780538949712428E-2</v>
      </c>
      <c r="Y1346" s="12">
        <v>1.6266698193691642E-2</v>
      </c>
      <c r="Z1346" s="12">
        <v>6.1064523193952169E-3</v>
      </c>
      <c r="AA1346" s="12">
        <v>3.8365257020307464E-3</v>
      </c>
      <c r="AB1346" s="12">
        <v>-1.5149526145865622E-3</v>
      </c>
      <c r="AC1346" s="12">
        <v>6.3469121221972902E-3</v>
      </c>
    </row>
    <row r="1347" spans="12:29" x14ac:dyDescent="0.2">
      <c r="L1347" s="11">
        <v>46154</v>
      </c>
      <c r="M1347" s="10">
        <v>220.52297973632812</v>
      </c>
      <c r="N1347" s="10">
        <v>148.65196228027344</v>
      </c>
      <c r="O1347" s="10">
        <v>303.5126953125</v>
      </c>
      <c r="P1347" s="10">
        <v>294.54595947265625</v>
      </c>
      <c r="Q1347" s="10">
        <v>736.28314208984375</v>
      </c>
      <c r="R1347" s="10">
        <v>222.9776306152344</v>
      </c>
      <c r="S1347" s="10">
        <v>142.84367370605469</v>
      </c>
      <c r="V1347" s="11">
        <v>46155</v>
      </c>
      <c r="W1347" s="12">
        <v>1.3805987391627639E-2</v>
      </c>
      <c r="X1347" s="12">
        <v>2.7468165125146049E-2</v>
      </c>
      <c r="Y1347" s="12">
        <v>-1.518625903724935E-2</v>
      </c>
      <c r="Z1347" s="12">
        <v>2.2873482047085725E-2</v>
      </c>
      <c r="AA1347" s="12">
        <v>-1.1604457152416203E-2</v>
      </c>
      <c r="AB1347" s="12">
        <v>5.59483781461112E-3</v>
      </c>
      <c r="AC1347" s="12">
        <v>6.2404697982099133E-3</v>
      </c>
    </row>
    <row r="1348" spans="12:29" x14ac:dyDescent="0.2">
      <c r="L1348" s="11">
        <v>46155</v>
      </c>
      <c r="M1348" s="10">
        <v>225.56710815429688</v>
      </c>
      <c r="N1348" s="10">
        <v>149.57962036132812</v>
      </c>
      <c r="O1348" s="10">
        <v>298.90347290039062</v>
      </c>
      <c r="P1348" s="10">
        <v>298.61245727539062</v>
      </c>
      <c r="Q1348" s="10">
        <v>740.40252685546875</v>
      </c>
      <c r="R1348" s="10">
        <v>229.1024169921875</v>
      </c>
      <c r="S1348" s="10">
        <v>141.18605041503906</v>
      </c>
      <c r="V1348" s="11">
        <v>46156</v>
      </c>
      <c r="W1348" s="12">
        <v>-2.2082930971525361E-3</v>
      </c>
      <c r="X1348" s="12">
        <v>1.6492106007703899E-3</v>
      </c>
      <c r="Y1348" s="12">
        <v>-1.1323737917798837E-3</v>
      </c>
      <c r="Z1348" s="12">
        <v>4.3882585978834987E-2</v>
      </c>
      <c r="AA1348" s="12">
        <v>3.3043081481878289E-3</v>
      </c>
      <c r="AB1348" s="12">
        <v>7.8943149045545002E-3</v>
      </c>
      <c r="AC1348" s="12">
        <v>7.9829845402101807E-3</v>
      </c>
    </row>
    <row r="1349" spans="12:29" x14ac:dyDescent="0.2">
      <c r="L1349" s="11">
        <v>46156</v>
      </c>
      <c r="M1349" s="10">
        <v>235.465576171875</v>
      </c>
      <c r="N1349" s="10">
        <v>150.77371215820312</v>
      </c>
      <c r="O1349" s="10">
        <v>298.56500244140625</v>
      </c>
      <c r="P1349" s="10">
        <v>297.95303344726562</v>
      </c>
      <c r="Q1349" s="10">
        <v>746.24749755859375</v>
      </c>
      <c r="R1349" s="10">
        <v>229.48025512695312</v>
      </c>
      <c r="S1349" s="10">
        <v>141.65257263183594</v>
      </c>
      <c r="V1349" s="11">
        <v>46157</v>
      </c>
      <c r="W1349" s="12">
        <v>6.7738193699380389E-3</v>
      </c>
      <c r="X1349" s="12">
        <v>-1.7721001185035057E-2</v>
      </c>
      <c r="Y1349" s="12">
        <v>-7.0021826816872856E-3</v>
      </c>
      <c r="Z1349" s="12">
        <v>-4.4201227206322136E-2</v>
      </c>
      <c r="AA1349" s="12">
        <v>-7.9882861163268482E-3</v>
      </c>
      <c r="AB1349" s="12">
        <v>-1.2029343756796207E-2</v>
      </c>
      <c r="AC1349" s="12">
        <v>4.0659011248336041E-2</v>
      </c>
    </row>
    <row r="1350" spans="12:29" x14ac:dyDescent="0.2">
      <c r="L1350" s="11">
        <v>46157</v>
      </c>
      <c r="M1350" s="10">
        <v>225.0577087402344</v>
      </c>
      <c r="N1350" s="10">
        <v>156.90402221679688</v>
      </c>
      <c r="O1350" s="10">
        <v>296.47439575195312</v>
      </c>
      <c r="P1350" s="10">
        <v>299.9713134765625</v>
      </c>
      <c r="Q1350" s="10">
        <v>737.2706298828125</v>
      </c>
      <c r="R1350" s="10">
        <v>225.41363525390625</v>
      </c>
      <c r="S1350" s="10">
        <v>140.52101135253906</v>
      </c>
      <c r="V1350" s="11">
        <v>46160</v>
      </c>
      <c r="W1350" s="12">
        <v>-7.9606611146492146E-3</v>
      </c>
      <c r="X1350" s="12">
        <v>9.7481111790744812E-3</v>
      </c>
      <c r="Y1350" s="12">
        <v>9.8049660556551732E-3</v>
      </c>
      <c r="Z1350" s="12">
        <v>-1.3314388358780183E-2</v>
      </c>
      <c r="AA1350" s="12">
        <v>5.792152074260537E-3</v>
      </c>
      <c r="AB1350" s="12">
        <v>-7.0350931773177638E-4</v>
      </c>
      <c r="AC1350" s="12">
        <v>1.6274068445146783E-2</v>
      </c>
    </row>
    <row r="1351" spans="12:29" x14ac:dyDescent="0.2">
      <c r="L1351" s="11">
        <v>46160</v>
      </c>
      <c r="M1351" s="10">
        <v>222.06120300292969</v>
      </c>
      <c r="N1351" s="10">
        <v>159.45748901367188</v>
      </c>
      <c r="O1351" s="10">
        <v>299.38131713867188</v>
      </c>
      <c r="P1351" s="10">
        <v>297.58334350585938</v>
      </c>
      <c r="Q1351" s="10">
        <v>736.751953125</v>
      </c>
      <c r="R1351" s="10">
        <v>227.61099243164065</v>
      </c>
      <c r="S1351" s="10">
        <v>141.33493041992188</v>
      </c>
      <c r="V1351" s="11">
        <v>46161</v>
      </c>
      <c r="W1351" s="12">
        <v>3.7939903054091673E-3</v>
      </c>
      <c r="X1351" s="12">
        <v>4.7177950854322415E-3</v>
      </c>
      <c r="Y1351" s="12">
        <v>-1.6725981223280839E-2</v>
      </c>
      <c r="Z1351" s="12">
        <v>-7.6916771060926425E-3</v>
      </c>
      <c r="AA1351" s="12">
        <v>-7.6550392409154844E-3</v>
      </c>
      <c r="AB1351" s="12">
        <v>-6.6607880874933745E-3</v>
      </c>
      <c r="AC1351" s="12">
        <v>1.2835727831585375E-2</v>
      </c>
    </row>
    <row r="1352" spans="12:29" x14ac:dyDescent="0.2">
      <c r="L1352" s="11">
        <v>46161</v>
      </c>
      <c r="M1352" s="10">
        <v>220.35317993164065</v>
      </c>
      <c r="N1352" s="10">
        <v>161.50424194335938</v>
      </c>
      <c r="O1352" s="10">
        <v>294.37387084960938</v>
      </c>
      <c r="P1352" s="10">
        <v>298.71237182617188</v>
      </c>
      <c r="Q1352" s="10">
        <v>731.8446044921875</v>
      </c>
      <c r="R1352" s="10">
        <v>228.684814453125</v>
      </c>
      <c r="S1352" s="10">
        <v>140.25300598144531</v>
      </c>
      <c r="V1352" s="11">
        <v>46162</v>
      </c>
      <c r="W1352" s="12">
        <v>1.0971059357449242E-2</v>
      </c>
      <c r="X1352" s="12">
        <v>-2.9564782698280334E-3</v>
      </c>
      <c r="Y1352" s="12">
        <v>2.1237827780780094E-2</v>
      </c>
      <c r="Z1352" s="12">
        <v>1.2964070657941695E-2</v>
      </c>
      <c r="AA1352" s="12">
        <v>8.0680001927841971E-3</v>
      </c>
      <c r="AB1352" s="12">
        <v>1.0248994582563453E-2</v>
      </c>
      <c r="AC1352" s="12">
        <v>-3.8572827673179821E-2</v>
      </c>
    </row>
    <row r="1353" spans="12:29" x14ac:dyDescent="0.2">
      <c r="L1353" s="11">
        <v>46162</v>
      </c>
      <c r="M1353" s="10">
        <v>223.20985412597656</v>
      </c>
      <c r="N1353" s="10">
        <v>155.27456665039062</v>
      </c>
      <c r="O1353" s="10">
        <v>300.625732421875</v>
      </c>
      <c r="P1353" s="10">
        <v>301.98956298828125</v>
      </c>
      <c r="Q1353" s="10">
        <v>739.34527587890625</v>
      </c>
      <c r="R1353" s="10">
        <v>228.00871276855469</v>
      </c>
      <c r="S1353" s="10">
        <v>141.38456726074219</v>
      </c>
      <c r="V1353" s="11">
        <v>46163</v>
      </c>
      <c r="W1353" s="12">
        <v>9.0652466137959298E-3</v>
      </c>
      <c r="X1353" s="12">
        <v>1.0509290139404381E-2</v>
      </c>
      <c r="Y1353" s="12">
        <v>3.3776595528693942E-3</v>
      </c>
      <c r="Z1353" s="12">
        <v>-1.7720537361840427E-2</v>
      </c>
      <c r="AA1353" s="12">
        <v>6.7396384049307478E-3</v>
      </c>
      <c r="AB1353" s="12">
        <v>1.9830877010671433E-3</v>
      </c>
      <c r="AC1353" s="12">
        <v>-6.3347613234731037E-3</v>
      </c>
    </row>
    <row r="1354" spans="12:29" x14ac:dyDescent="0.2">
      <c r="L1354" s="11">
        <v>46163</v>
      </c>
      <c r="M1354" s="10">
        <v>219.25445556640625</v>
      </c>
      <c r="N1354" s="10">
        <v>154.29093933105469</v>
      </c>
      <c r="O1354" s="10">
        <v>301.64114379882812</v>
      </c>
      <c r="P1354" s="10">
        <v>304.7271728515625</v>
      </c>
      <c r="Q1354" s="10">
        <v>740.81146240234375</v>
      </c>
      <c r="R1354" s="10">
        <v>230.40492248535156</v>
      </c>
      <c r="S1354" s="10">
        <v>142.33744812011719</v>
      </c>
      <c r="V1354" s="11">
        <v>46164</v>
      </c>
      <c r="W1354" s="12">
        <v>1.2557860054279724E-2</v>
      </c>
      <c r="X1354" s="12">
        <v>1.1263116632473036E-2</v>
      </c>
      <c r="Y1354" s="12">
        <v>1.1155101734823258E-2</v>
      </c>
      <c r="Z1354" s="12">
        <v>-1.9042372987516321E-2</v>
      </c>
      <c r="AA1354" s="12">
        <v>7.2525036108148644E-3</v>
      </c>
      <c r="AB1354" s="12">
        <v>3.9315490768039307E-3</v>
      </c>
      <c r="AC1354" s="12">
        <v>-2.3826074796587937E-3</v>
      </c>
    </row>
    <row r="1355" spans="12:29" x14ac:dyDescent="0.2">
      <c r="L1355" s="11">
        <v>46164</v>
      </c>
      <c r="M1355" s="10">
        <v>215.07933044433591</v>
      </c>
      <c r="N1355" s="10">
        <v>153.92332458496094</v>
      </c>
      <c r="O1355" s="10">
        <v>305.0059814453125</v>
      </c>
      <c r="P1355" s="10">
        <v>308.55389404296875</v>
      </c>
      <c r="Q1355" s="10">
        <v>743.7239990234375</v>
      </c>
      <c r="R1355" s="10">
        <v>233</v>
      </c>
      <c r="S1355" s="10">
        <v>143.3697509765625</v>
      </c>
      <c r="V1355" s="11">
        <v>46168</v>
      </c>
      <c r="W1355" s="12">
        <v>-1.586735786880733E-3</v>
      </c>
      <c r="X1355" s="12">
        <v>-1.2103035726260702E-2</v>
      </c>
      <c r="Y1355" s="12">
        <v>1.1749537442633518E-3</v>
      </c>
      <c r="Z1355" s="12">
        <v>-2.1826918622399605E-3</v>
      </c>
      <c r="AA1355" s="12">
        <v>-1.0246512301136268E-2</v>
      </c>
      <c r="AB1355" s="12">
        <v>6.6386413521875021E-3</v>
      </c>
      <c r="AC1355" s="12">
        <v>-3.2984820152507255E-2</v>
      </c>
    </row>
    <row r="1356" spans="12:29" x14ac:dyDescent="0.2">
      <c r="L1356" s="11">
        <v>46168</v>
      </c>
      <c r="M1356" s="10">
        <v>214.60987854003903</v>
      </c>
      <c r="N1356" s="10">
        <v>148.84619140625</v>
      </c>
      <c r="O1356" s="10">
        <v>305.36434936523438</v>
      </c>
      <c r="P1356" s="10">
        <v>308.06430053710938</v>
      </c>
      <c r="Q1356" s="10">
        <v>748.66131591796875</v>
      </c>
      <c r="R1356" s="10">
        <v>230.17999267578125</v>
      </c>
      <c r="S1356" s="10">
        <v>141.90071105957031</v>
      </c>
      <c r="V1356" s="11">
        <v>46169</v>
      </c>
      <c r="W1356" s="12">
        <v>8.1731404087175274E-3</v>
      </c>
      <c r="X1356" s="12">
        <v>4.8223157775273418E-3</v>
      </c>
      <c r="Y1356" s="12">
        <v>-2.4320272503620011E-2</v>
      </c>
      <c r="Z1356" s="12">
        <v>-1.0518481304186644E-2</v>
      </c>
      <c r="AA1356" s="12">
        <v>3.1687259835229575E-2</v>
      </c>
      <c r="AB1356" s="12">
        <v>-1.7324216474601251E-4</v>
      </c>
      <c r="AC1356" s="12">
        <v>-1.2749436584141738E-2</v>
      </c>
    </row>
    <row r="1357" spans="12:29" x14ac:dyDescent="0.2">
      <c r="L1357" s="11">
        <v>46169</v>
      </c>
      <c r="M1357" s="10">
        <v>212.35250854492188</v>
      </c>
      <c r="N1357" s="10">
        <v>146.948486328125</v>
      </c>
      <c r="O1357" s="10">
        <v>297.93780517578125</v>
      </c>
      <c r="P1357" s="10">
        <v>310.5821533203125</v>
      </c>
      <c r="Q1357" s="10">
        <v>748.5316162109375</v>
      </c>
      <c r="R1357" s="10">
        <v>231.28999328613281</v>
      </c>
      <c r="S1357" s="10">
        <v>146.39715576171875</v>
      </c>
      <c r="V1357" s="11">
        <v>46170</v>
      </c>
      <c r="W1357" s="12">
        <v>5.3401952372549299E-3</v>
      </c>
      <c r="X1357" s="12">
        <v>-2.1185103056698962E-3</v>
      </c>
      <c r="Y1357" s="12">
        <v>-8.5203812912367782E-3</v>
      </c>
      <c r="Z1357" s="12">
        <v>7.7610163419090661E-3</v>
      </c>
      <c r="AA1357" s="12">
        <v>-1.0712628477539288E-2</v>
      </c>
      <c r="AB1357" s="12">
        <v>5.5165786009099271E-3</v>
      </c>
      <c r="AC1357" s="12">
        <v>-6.3555925309976002E-3</v>
      </c>
    </row>
    <row r="1358" spans="12:29" x14ac:dyDescent="0.2">
      <c r="L1358" s="11">
        <v>46170</v>
      </c>
      <c r="M1358" s="10">
        <v>214.0005798339844</v>
      </c>
      <c r="N1358" s="10">
        <v>146.01454162597656</v>
      </c>
      <c r="O1358" s="10">
        <v>295.39926147460938</v>
      </c>
      <c r="P1358" s="10">
        <v>312.24072265625</v>
      </c>
      <c r="Q1358" s="10">
        <v>752.66094970703125</v>
      </c>
      <c r="R1358" s="10">
        <v>230.80000305175781</v>
      </c>
      <c r="S1358" s="10">
        <v>144.828857421875</v>
      </c>
      <c r="V1358" s="11">
        <v>46171</v>
      </c>
      <c r="W1358" s="12">
        <v>-1.4399642515899869E-3</v>
      </c>
      <c r="X1358" s="12">
        <v>-2.3700178285857576E-2</v>
      </c>
      <c r="Y1358" s="12">
        <v>8.6947421511309742E-3</v>
      </c>
      <c r="Z1358" s="12">
        <v>-1.4515703746992403E-2</v>
      </c>
      <c r="AA1358" s="12">
        <v>-1.6105877424694715E-2</v>
      </c>
      <c r="AB1358" s="12">
        <v>2.4914048034492264E-3</v>
      </c>
      <c r="AC1358" s="12">
        <v>-1.1567831782125393E-2</v>
      </c>
    </row>
    <row r="1359" spans="12:29" x14ac:dyDescent="0.2">
      <c r="L1359" s="11">
        <v>46171</v>
      </c>
      <c r="M1359" s="10">
        <v>210.89421081542969</v>
      </c>
      <c r="N1359" s="10">
        <v>144.32546997070312</v>
      </c>
      <c r="O1359" s="10">
        <v>297.96768188476562</v>
      </c>
      <c r="P1359" s="10">
        <v>311.79110717773438</v>
      </c>
      <c r="Q1359" s="10">
        <v>754.5361328125</v>
      </c>
      <c r="R1359" s="10">
        <v>225.33000183105469</v>
      </c>
      <c r="S1359" s="10">
        <v>142.49626159667969</v>
      </c>
      <c r="V1359" s="11">
        <v>46174</v>
      </c>
      <c r="W1359" s="12">
        <v>-1.8425978227367579E-2</v>
      </c>
      <c r="X1359" s="12">
        <v>-8.0770749985763501E-3</v>
      </c>
      <c r="Y1359" s="12">
        <v>-9.1210342689146406E-3</v>
      </c>
      <c r="Z1359" s="12">
        <v>6.2612458879184096E-2</v>
      </c>
      <c r="AA1359" s="12">
        <v>-2.2847557485649705E-2</v>
      </c>
      <c r="AB1359" s="12">
        <v>2.7231134609038143E-3</v>
      </c>
      <c r="AC1359" s="12">
        <v>2.8363017700243409E-2</v>
      </c>
    </row>
    <row r="1360" spans="12:29" x14ac:dyDescent="0.2">
      <c r="L1360" s="11">
        <v>46174</v>
      </c>
      <c r="M1360" s="10">
        <v>224.09881591796875</v>
      </c>
      <c r="N1360" s="10">
        <v>148.41897583007812</v>
      </c>
      <c r="O1360" s="10">
        <v>295.24990844726562</v>
      </c>
      <c r="P1360" s="10">
        <v>306.04605102539062</v>
      </c>
      <c r="Q1360" s="10">
        <v>756.5908203125</v>
      </c>
      <c r="R1360" s="10">
        <v>223.50999450683591</v>
      </c>
      <c r="S1360" s="10">
        <v>139.24057006835938</v>
      </c>
      <c r="V1360" s="11">
        <v>46175</v>
      </c>
      <c r="W1360" s="12">
        <v>2.9022935295418106E-2</v>
      </c>
      <c r="X1360" s="12">
        <v>-2.7739033261374724E-3</v>
      </c>
      <c r="Y1360" s="12">
        <v>1.4768341793673478E-2</v>
      </c>
      <c r="Z1360" s="12">
        <v>-6.8639720451515451E-3</v>
      </c>
      <c r="AA1360" s="12">
        <v>3.8495299317171661E-3</v>
      </c>
      <c r="AB1360" s="12">
        <v>1.3579397972762752E-3</v>
      </c>
      <c r="AC1360" s="12">
        <v>1.2049201041330893E-3</v>
      </c>
    </row>
    <row r="1361" spans="12:29" x14ac:dyDescent="0.2">
      <c r="L1361" s="11">
        <v>46175</v>
      </c>
      <c r="M1361" s="10">
        <v>222.56060791015625</v>
      </c>
      <c r="N1361" s="10">
        <v>148.59780883789062</v>
      </c>
      <c r="O1361" s="10">
        <v>299.61026000976562</v>
      </c>
      <c r="P1361" s="10">
        <v>314.92840576171875</v>
      </c>
      <c r="Q1361" s="10">
        <v>757.61822509765625</v>
      </c>
      <c r="R1361" s="10">
        <v>222.88999938964844</v>
      </c>
      <c r="S1361" s="10">
        <v>139.77658081054688</v>
      </c>
      <c r="V1361" s="11">
        <v>46176</v>
      </c>
      <c r="W1361" s="12">
        <v>-1.567264307615801E-2</v>
      </c>
      <c r="X1361" s="12">
        <v>1.570308692512512E-3</v>
      </c>
      <c r="Y1361" s="12">
        <v>-3.6536316456858842E-4</v>
      </c>
      <c r="Z1361" s="12">
        <v>-3.6217585788632323E-2</v>
      </c>
      <c r="AA1361" s="12">
        <v>-4.4738230806128376E-3</v>
      </c>
      <c r="AB1361" s="12">
        <v>-7.0171823204998596E-3</v>
      </c>
      <c r="AC1361" s="12">
        <v>1.9858282163609076E-2</v>
      </c>
    </row>
    <row r="1362" spans="12:29" x14ac:dyDescent="0.2">
      <c r="L1362" s="11">
        <v>46176</v>
      </c>
      <c r="M1362" s="10">
        <v>214.5</v>
      </c>
      <c r="N1362" s="10">
        <v>151.5487060546875</v>
      </c>
      <c r="O1362" s="10">
        <v>299.50079345703125</v>
      </c>
      <c r="P1362" s="10">
        <v>309.99264526367188</v>
      </c>
      <c r="Q1362" s="10">
        <v>752.3018798828125</v>
      </c>
      <c r="R1362" s="10">
        <v>223.24000549316409</v>
      </c>
      <c r="S1362" s="10">
        <v>139.1512451171875</v>
      </c>
      <c r="V1362" s="11">
        <v>46177</v>
      </c>
      <c r="W1362" s="12">
        <v>3.1264523881506801E-3</v>
      </c>
      <c r="X1362" s="12">
        <v>2.2083822587668722E-2</v>
      </c>
      <c r="Y1362" s="12">
        <v>3.3372080535216675E-2</v>
      </c>
      <c r="Z1362" s="12">
        <v>1.9393956466710272E-2</v>
      </c>
      <c r="AA1362" s="12">
        <v>4.2084931754402533E-3</v>
      </c>
      <c r="AB1362" s="12">
        <v>3.7786857621391334E-3</v>
      </c>
      <c r="AC1362" s="12">
        <v>-3.2125789476651345E-3</v>
      </c>
    </row>
    <row r="1363" spans="12:29" x14ac:dyDescent="0.2">
      <c r="L1363" s="11">
        <v>46177</v>
      </c>
      <c r="M1363" s="10">
        <v>218.66000366210935</v>
      </c>
      <c r="N1363" s="10">
        <v>151.06184387207031</v>
      </c>
      <c r="O1363" s="10">
        <v>309.49575805664062</v>
      </c>
      <c r="P1363" s="10">
        <v>310.96182250976562</v>
      </c>
      <c r="Q1363" s="10">
        <v>755.14459228515625</v>
      </c>
      <c r="R1363" s="10">
        <v>228.16999816894531</v>
      </c>
      <c r="S1363" s="10">
        <v>139.73686218261719</v>
      </c>
      <c r="V1363" s="11">
        <v>46178</v>
      </c>
      <c r="W1363" s="12">
        <v>-1.2498826008526143E-2</v>
      </c>
      <c r="X1363" s="12">
        <v>2.0160433625939111E-2</v>
      </c>
      <c r="Y1363" s="12">
        <v>4.7605116255817759E-3</v>
      </c>
      <c r="Z1363" s="12">
        <v>-6.2014073591381336E-2</v>
      </c>
      <c r="AA1363" s="12">
        <v>4.0914870883220322E-2</v>
      </c>
      <c r="AB1363" s="12">
        <v>-2.5809371248925683E-2</v>
      </c>
      <c r="AC1363" s="12">
        <v>-1.3943651856582862E-2</v>
      </c>
    </row>
    <row r="1364" spans="12:29" x14ac:dyDescent="0.2">
      <c r="L1364" s="11">
        <v>46178</v>
      </c>
      <c r="M1364" s="10">
        <v>205.1000061035156</v>
      </c>
      <c r="N1364" s="10">
        <v>148.95549011230469</v>
      </c>
      <c r="O1364" s="10">
        <v>310.9691162109375</v>
      </c>
      <c r="P1364" s="10">
        <v>307.07516479492188</v>
      </c>
      <c r="Q1364" s="10">
        <v>735.65478515625</v>
      </c>
      <c r="R1364" s="10">
        <v>232.77000427246097</v>
      </c>
      <c r="S1364" s="10">
        <v>145.45417785644531</v>
      </c>
      <c r="V1364" s="11">
        <v>46181</v>
      </c>
      <c r="W1364" s="12">
        <v>-1.8871545388655542E-2</v>
      </c>
      <c r="X1364" s="12">
        <v>-2.6206151959236035E-3</v>
      </c>
      <c r="Y1364" s="12">
        <v>-4.0337253710461818E-3</v>
      </c>
      <c r="Z1364" s="12">
        <v>1.7259839984335112E-2</v>
      </c>
      <c r="AA1364" s="12">
        <v>-9.8266086964731159E-3</v>
      </c>
      <c r="AB1364" s="12">
        <v>2.2641726087715419E-3</v>
      </c>
      <c r="AC1364" s="12">
        <v>1.220647889196691E-2</v>
      </c>
    </row>
    <row r="1365" spans="12:29" x14ac:dyDescent="0.2">
      <c r="L1365" s="11">
        <v>46181</v>
      </c>
      <c r="M1365" s="10">
        <v>208.63999938964844</v>
      </c>
      <c r="N1365" s="10">
        <v>150.77371215820312</v>
      </c>
      <c r="O1365" s="10">
        <v>309.71475219726562</v>
      </c>
      <c r="P1365" s="10">
        <v>301.28018188476562</v>
      </c>
      <c r="Q1365" s="10">
        <v>737.3204345703125</v>
      </c>
      <c r="R1365" s="10">
        <v>232.16000366210935</v>
      </c>
      <c r="S1365" s="10">
        <v>144.02485656738281</v>
      </c>
      <c r="V1365" s="11">
        <v>46182</v>
      </c>
      <c r="W1365" s="12">
        <v>-3.6446341189923515E-2</v>
      </c>
      <c r="X1365" s="12">
        <v>2.0847675144487265E-2</v>
      </c>
      <c r="Y1365" s="12">
        <v>5.1107857503001064E-3</v>
      </c>
      <c r="Z1365" s="12">
        <v>-2.1568105327770537E-3</v>
      </c>
      <c r="AA1365" s="12">
        <v>2.4603729303674049E-2</v>
      </c>
      <c r="AB1365" s="12">
        <v>-2.9354505508077944E-3</v>
      </c>
      <c r="AC1365" s="12">
        <v>-1.8714909039534655E-2</v>
      </c>
    </row>
    <row r="1366" spans="12:29" x14ac:dyDescent="0.2">
      <c r="L1366" s="11">
        <v>46182</v>
      </c>
      <c r="M1366" s="10">
        <v>208.19000244140625</v>
      </c>
      <c r="N1366" s="10">
        <v>147.95199584960938</v>
      </c>
      <c r="O1366" s="10">
        <v>311.29763793945312</v>
      </c>
      <c r="P1366" s="10">
        <v>290.29962158203125</v>
      </c>
      <c r="Q1366" s="10">
        <v>735.15606689453125</v>
      </c>
      <c r="R1366" s="10">
        <v>237</v>
      </c>
      <c r="S1366" s="10">
        <v>147.56840515136719</v>
      </c>
      <c r="V1366" s="11">
        <v>46183</v>
      </c>
      <c r="W1366" s="12">
        <v>3.5450055495178656E-3</v>
      </c>
      <c r="X1366" s="12">
        <v>6.2869430091312406E-3</v>
      </c>
      <c r="Y1366" s="12">
        <v>-1.1384721351222371E-2</v>
      </c>
      <c r="Z1366" s="12">
        <v>-3.7321697398258857E-2</v>
      </c>
      <c r="AA1366" s="12">
        <v>2.5559807768407161E-3</v>
      </c>
      <c r="AB1366" s="12">
        <v>-1.5765562508027298E-2</v>
      </c>
      <c r="AC1366" s="12">
        <v>1.1483385934793811E-2</v>
      </c>
    </row>
    <row r="1367" spans="12:29" x14ac:dyDescent="0.2">
      <c r="L1367" s="11">
        <v>46183</v>
      </c>
      <c r="M1367" s="10">
        <v>200.41999816894531</v>
      </c>
      <c r="N1367" s="10">
        <v>149.65098571777344</v>
      </c>
      <c r="O1367" s="10">
        <v>307.75360107421875</v>
      </c>
      <c r="P1367" s="10">
        <v>291.3287353515625</v>
      </c>
      <c r="Q1367" s="10">
        <v>723.56591796875</v>
      </c>
      <c r="R1367" s="10">
        <v>238.49000549316409</v>
      </c>
      <c r="S1367" s="10">
        <v>147.94558715820312</v>
      </c>
      <c r="V1367" s="11">
        <v>46184</v>
      </c>
      <c r="W1367" s="12">
        <v>1.388983748609407E-2</v>
      </c>
      <c r="X1367" s="12">
        <v>-6.7090300819327986E-4</v>
      </c>
      <c r="Y1367" s="12">
        <v>1.4071240233745508E-2</v>
      </c>
      <c r="Z1367" s="12">
        <v>2.2203357892913722E-2</v>
      </c>
      <c r="AA1367" s="12">
        <v>-4.7635245172066298E-3</v>
      </c>
      <c r="AB1367" s="12">
        <v>1.6996847886747934E-2</v>
      </c>
      <c r="AC1367" s="12">
        <v>-2.668960279181487E-2</v>
      </c>
    </row>
    <row r="1368" spans="12:29" x14ac:dyDescent="0.2">
      <c r="L1368" s="11">
        <v>46184</v>
      </c>
      <c r="M1368" s="10">
        <v>204.8699951171875</v>
      </c>
      <c r="N1368" s="10">
        <v>145.6568603515625</v>
      </c>
      <c r="O1368" s="10">
        <v>312.08407592773438</v>
      </c>
      <c r="P1368" s="10">
        <v>295.375244140625</v>
      </c>
      <c r="Q1368" s="10">
        <v>735.8642578125</v>
      </c>
      <c r="R1368" s="10">
        <v>238.33000183105469</v>
      </c>
      <c r="S1368" s="10">
        <v>147.2408447265625</v>
      </c>
      <c r="V1368" s="11">
        <v>46185</v>
      </c>
      <c r="W1368" s="12">
        <v>-1.5221633631081977E-2</v>
      </c>
      <c r="X1368" s="12">
        <v>1.0657463460824967E-2</v>
      </c>
      <c r="Y1368" s="12">
        <v>2.3063020107523924E-2</v>
      </c>
      <c r="Z1368" s="12">
        <v>1.5620019126554308E-3</v>
      </c>
      <c r="AA1368" s="12">
        <v>8.5614124392616731E-3</v>
      </c>
      <c r="AB1368" s="12">
        <v>5.4082479015293838E-3</v>
      </c>
      <c r="AC1368" s="12">
        <v>2.796631973456698E-3</v>
      </c>
    </row>
    <row r="1369" spans="12:29" x14ac:dyDescent="0.2">
      <c r="L1369" s="11">
        <v>46185</v>
      </c>
      <c r="M1369" s="10">
        <v>205.19000244140625</v>
      </c>
      <c r="N1369" s="10">
        <v>146.064208984375</v>
      </c>
      <c r="O1369" s="10">
        <v>319.28167724609375</v>
      </c>
      <c r="P1369" s="10">
        <v>290.879150390625</v>
      </c>
      <c r="Q1369" s="10">
        <v>739.843994140625</v>
      </c>
      <c r="R1369" s="10">
        <v>240.8699951171875</v>
      </c>
      <c r="S1369" s="10">
        <v>148.50143432617188</v>
      </c>
      <c r="V1369" s="11">
        <v>46188</v>
      </c>
      <c r="W1369" s="12">
        <v>1.8170538868479413E-2</v>
      </c>
      <c r="X1369" s="12">
        <v>-2.1629889818959858E-2</v>
      </c>
      <c r="Y1369" s="12">
        <v>-4.1157604952370974E-3</v>
      </c>
      <c r="Z1369" s="12">
        <v>3.5381814028240033E-2</v>
      </c>
      <c r="AA1369" s="12">
        <v>5.6814550476305126E-3</v>
      </c>
      <c r="AB1369" s="12">
        <v>1.7633969893753321E-2</v>
      </c>
      <c r="AC1369" s="12">
        <v>-4.1425697709597031E-2</v>
      </c>
    </row>
    <row r="1370" spans="12:29" x14ac:dyDescent="0.2">
      <c r="L1370" s="11">
        <v>46188</v>
      </c>
      <c r="M1370" s="10">
        <v>212.44999694824219</v>
      </c>
      <c r="N1370" s="10">
        <v>140.01339721679688</v>
      </c>
      <c r="O1370" s="10">
        <v>317.96759033203125</v>
      </c>
      <c r="P1370" s="10">
        <v>296.16458129882812</v>
      </c>
      <c r="Q1370" s="10">
        <v>752.890380859375</v>
      </c>
      <c r="R1370" s="10">
        <v>235.66000366210935</v>
      </c>
      <c r="S1370" s="10">
        <v>149.34513854980469</v>
      </c>
      <c r="V1370" s="11">
        <v>46189</v>
      </c>
      <c r="W1370" s="12">
        <v>9.5135140927802286E-3</v>
      </c>
      <c r="X1370" s="12">
        <v>-2.0368793128610063E-3</v>
      </c>
      <c r="Y1370" s="12">
        <v>3.6756410928249217E-2</v>
      </c>
      <c r="Z1370" s="12">
        <v>-2.3723197733726997E-2</v>
      </c>
      <c r="AA1370" s="12">
        <v>1.3492028542986922E-2</v>
      </c>
      <c r="AB1370" s="12">
        <v>-5.9615628442341029E-3</v>
      </c>
      <c r="AC1370" s="12">
        <v>6.6703952672637623E-3</v>
      </c>
    </row>
    <row r="1371" spans="12:29" x14ac:dyDescent="0.2">
      <c r="L1371" s="11">
        <v>46189</v>
      </c>
      <c r="M1371" s="10">
        <v>207.41000366210935</v>
      </c>
      <c r="N1371" s="10">
        <v>140.94734191894531</v>
      </c>
      <c r="O1371" s="10">
        <v>329.65493774414062</v>
      </c>
      <c r="P1371" s="10">
        <v>298.98214721679688</v>
      </c>
      <c r="Q1371" s="10">
        <v>748.4019775390625</v>
      </c>
      <c r="R1371" s="10">
        <v>235.17999267578125</v>
      </c>
      <c r="S1371" s="10">
        <v>151.360107421875</v>
      </c>
      <c r="V1371" s="11">
        <v>46190</v>
      </c>
      <c r="W1371" s="12">
        <v>-1.0994537435617069E-2</v>
      </c>
      <c r="X1371" s="12">
        <v>-4.167002968190725E-3</v>
      </c>
      <c r="Y1371" s="12">
        <v>7.0060237177231866E-3</v>
      </c>
      <c r="Z1371" s="12">
        <v>-1.3307023368657078E-2</v>
      </c>
      <c r="AA1371" s="12">
        <v>-1.2656640391244145E-2</v>
      </c>
      <c r="AB1371" s="12">
        <v>-1.2487870885051433E-2</v>
      </c>
      <c r="AC1371" s="12">
        <v>-7.8950972299280942E-3</v>
      </c>
    </row>
    <row r="1372" spans="12:29" x14ac:dyDescent="0.2">
      <c r="L1372" s="11">
        <v>46190</v>
      </c>
      <c r="M1372" s="10">
        <v>204.6499938964844</v>
      </c>
      <c r="N1372" s="10">
        <v>139.83454895019531</v>
      </c>
      <c r="O1372" s="10">
        <v>331.96450805664062</v>
      </c>
      <c r="P1372" s="10">
        <v>295.69497680664062</v>
      </c>
      <c r="Q1372" s="10">
        <v>739.0560302734375</v>
      </c>
      <c r="R1372" s="10">
        <v>234.19999694824219</v>
      </c>
      <c r="S1372" s="10">
        <v>149.44439697265625</v>
      </c>
      <c r="V1372" s="11">
        <v>46191</v>
      </c>
      <c r="W1372" s="12">
        <v>6.9606442466163543E-3</v>
      </c>
      <c r="X1372" s="12">
        <v>-2.4807846431687874E-2</v>
      </c>
      <c r="Y1372" s="12">
        <v>-2.4710573715507E-2</v>
      </c>
      <c r="Z1372" s="12">
        <v>2.9513846689763312E-2</v>
      </c>
      <c r="AA1372" s="12">
        <v>-1.195529339019008E-3</v>
      </c>
      <c r="AB1372" s="12">
        <v>1.0396992441959574E-2</v>
      </c>
      <c r="AC1372" s="12">
        <v>-2.0818517978170914E-2</v>
      </c>
    </row>
    <row r="1373" spans="12:29" x14ac:dyDescent="0.2">
      <c r="L1373" s="11">
        <v>46191</v>
      </c>
      <c r="M1373" s="10">
        <v>210.69000244140625</v>
      </c>
      <c r="N1373" s="10">
        <v>136.92340087890625</v>
      </c>
      <c r="O1373" s="10">
        <v>323.761474609375</v>
      </c>
      <c r="P1373" s="10">
        <v>297.75320434570312</v>
      </c>
      <c r="Q1373" s="10">
        <v>746.739990234375</v>
      </c>
      <c r="R1373" s="10">
        <v>228.38999938964844</v>
      </c>
      <c r="S1373" s="10">
        <v>149.26573181152344</v>
      </c>
      <c r="V1373" s="11">
        <v>46195</v>
      </c>
      <c r="W1373" s="12">
        <v>-3.3555138136291962E-3</v>
      </c>
      <c r="X1373" s="12">
        <v>1.2697552012935542E-2</v>
      </c>
      <c r="Y1373" s="12">
        <v>1.9248533511496246E-2</v>
      </c>
      <c r="Z1373" s="12">
        <v>-9.6825123227628485E-3</v>
      </c>
      <c r="AA1373" s="12">
        <v>-1.795460955468553E-2</v>
      </c>
      <c r="AB1373" s="12">
        <v>-3.1469796939627148E-3</v>
      </c>
      <c r="AC1373" s="12">
        <v>4.7892596483922745E-3</v>
      </c>
    </row>
    <row r="1374" spans="12:29" x14ac:dyDescent="0.2">
      <c r="L1374" s="11">
        <v>46195</v>
      </c>
      <c r="M1374" s="10">
        <v>208.6499938964844</v>
      </c>
      <c r="N1374" s="10">
        <v>137.57916259765625</v>
      </c>
      <c r="O1374" s="10">
        <v>329.993408203125</v>
      </c>
      <c r="P1374" s="10">
        <v>296.75408935546875</v>
      </c>
      <c r="Q1374" s="10">
        <v>744.3900146484375</v>
      </c>
      <c r="R1374" s="10">
        <v>231.28999328613281</v>
      </c>
      <c r="S1374" s="10">
        <v>146.58572387695312</v>
      </c>
      <c r="V1374" s="11">
        <v>46196</v>
      </c>
      <c r="W1374" s="12">
        <v>-9.1243987322962017E-3</v>
      </c>
      <c r="X1374" s="12">
        <v>3.3680698564787059E-2</v>
      </c>
      <c r="Y1374" s="12">
        <v>8.0246187446038064E-3</v>
      </c>
      <c r="Z1374" s="12">
        <v>-4.1265280911645719E-2</v>
      </c>
      <c r="AA1374" s="12">
        <v>2.1533122604131538E-2</v>
      </c>
      <c r="AB1374" s="12">
        <v>-1.4521954010491611E-2</v>
      </c>
      <c r="AC1374" s="12">
        <v>9.0993200381350725E-3</v>
      </c>
    </row>
    <row r="1375" spans="12:29" x14ac:dyDescent="0.2">
      <c r="L1375" s="11">
        <v>46196</v>
      </c>
      <c r="M1375" s="10">
        <v>200.03999328613281</v>
      </c>
      <c r="N1375" s="10">
        <v>138.83103942871094</v>
      </c>
      <c r="O1375" s="10">
        <v>332.6414794921875</v>
      </c>
      <c r="P1375" s="10">
        <v>294.04638671875</v>
      </c>
      <c r="Q1375" s="10">
        <v>733.58001708984375</v>
      </c>
      <c r="R1375" s="10">
        <v>239.08000183105469</v>
      </c>
      <c r="S1375" s="10">
        <v>149.74217224121094</v>
      </c>
      <c r="V1375" s="11">
        <v>46197</v>
      </c>
      <c r="W1375" s="12">
        <v>-4.1454807068002086E-3</v>
      </c>
      <c r="X1375" s="12">
        <v>8.0307769543270791E-3</v>
      </c>
      <c r="Y1375" s="12">
        <v>-2.0649548862219369E-3</v>
      </c>
      <c r="Z1375" s="12">
        <v>-5.1989268198245897E-3</v>
      </c>
      <c r="AA1375" s="12">
        <v>7.8217737335994908E-3</v>
      </c>
      <c r="AB1375" s="12">
        <v>-4.6351706364311518E-4</v>
      </c>
      <c r="AC1375" s="12">
        <v>-2.025327224001594E-2</v>
      </c>
    </row>
    <row r="1376" spans="12:29" x14ac:dyDescent="0.2">
      <c r="L1376" s="11">
        <v>46197</v>
      </c>
      <c r="M1376" s="10">
        <v>199</v>
      </c>
      <c r="N1376" s="10">
        <v>136.01925659179688</v>
      </c>
      <c r="O1376" s="10">
        <v>331.95458984375</v>
      </c>
      <c r="P1376" s="10">
        <v>292.82742309570312</v>
      </c>
      <c r="Q1376" s="10">
        <v>733.239990234375</v>
      </c>
      <c r="R1376" s="10">
        <v>241</v>
      </c>
      <c r="S1376" s="10">
        <v>150.91342163085938</v>
      </c>
      <c r="V1376" s="11">
        <v>46198</v>
      </c>
      <c r="W1376" s="12">
        <v>-6.1177741054043833E-2</v>
      </c>
      <c r="X1376" s="12">
        <v>1.6099605322873467E-2</v>
      </c>
      <c r="Y1376" s="12">
        <v>5.0081415856308986E-3</v>
      </c>
      <c r="Z1376" s="12">
        <v>-1.6381881943899002E-2</v>
      </c>
      <c r="AA1376" s="12">
        <v>-2.3283306347192778E-2</v>
      </c>
      <c r="AB1376" s="12">
        <v>1.4456352254532678E-3</v>
      </c>
      <c r="AC1376" s="12">
        <v>4.7479526389369031E-3</v>
      </c>
    </row>
    <row r="1377" spans="12:29" x14ac:dyDescent="0.2">
      <c r="L1377" s="11">
        <v>46198</v>
      </c>
      <c r="M1377" s="10">
        <v>195.74000549316409</v>
      </c>
      <c r="N1377" s="10">
        <v>136.66506958007812</v>
      </c>
      <c r="O1377" s="10">
        <v>333.6170654296875</v>
      </c>
      <c r="P1377" s="10">
        <v>274.91290283203125</v>
      </c>
      <c r="Q1377" s="10">
        <v>734.29998779296875</v>
      </c>
      <c r="R1377" s="10">
        <v>244.8800048828125</v>
      </c>
      <c r="S1377" s="10">
        <v>147.399658203125</v>
      </c>
      <c r="V1377" s="11">
        <v>46199</v>
      </c>
      <c r="W1377" s="12">
        <v>3.136469225316163E-2</v>
      </c>
      <c r="X1377" s="12">
        <v>3.993792300019372E-2</v>
      </c>
      <c r="Y1377" s="12">
        <v>-1.8112939266905714E-2</v>
      </c>
      <c r="Z1377" s="12">
        <v>-1.6399339040476968E-2</v>
      </c>
      <c r="AA1377" s="12">
        <v>3.5017656343945269E-3</v>
      </c>
      <c r="AB1377" s="12">
        <v>-7.2313736168696519E-3</v>
      </c>
      <c r="AC1377" s="12">
        <v>-7.3428384046325679E-3</v>
      </c>
    </row>
    <row r="1378" spans="12:29" x14ac:dyDescent="0.2">
      <c r="L1378" s="11">
        <v>46199</v>
      </c>
      <c r="M1378" s="10">
        <v>192.52999877929688</v>
      </c>
      <c r="N1378" s="10">
        <v>135.66156005859375</v>
      </c>
      <c r="O1378" s="10">
        <v>327.57427978515625</v>
      </c>
      <c r="P1378" s="10">
        <v>283.53546142578125</v>
      </c>
      <c r="Q1378" s="10">
        <v>728.989990234375</v>
      </c>
      <c r="R1378" s="10">
        <v>254.66000366210935</v>
      </c>
      <c r="S1378" s="10">
        <v>147.91581726074219</v>
      </c>
      <c r="V1378" s="11">
        <v>46202</v>
      </c>
      <c r="W1378" s="12">
        <v>-7.1886546929303963E-3</v>
      </c>
      <c r="X1378" s="12">
        <v>1.5118220561340934E-2</v>
      </c>
      <c r="Y1378" s="12">
        <v>1.0333563941116175E-3</v>
      </c>
      <c r="Z1378" s="12">
        <v>1.2673362368860186E-2</v>
      </c>
      <c r="AA1378" s="12">
        <v>-3.8251209973043654E-3</v>
      </c>
      <c r="AB1378" s="12">
        <v>1.6474862380159383E-2</v>
      </c>
      <c r="AC1378" s="12">
        <v>-3.5153524193102248E-3</v>
      </c>
    </row>
    <row r="1379" spans="12:29" x14ac:dyDescent="0.2">
      <c r="L1379" s="11">
        <v>46202</v>
      </c>
      <c r="M1379" s="10">
        <v>194.97000122070312</v>
      </c>
      <c r="N1379" s="10">
        <v>135.18466186523438</v>
      </c>
      <c r="O1379" s="10">
        <v>327.91278076171875</v>
      </c>
      <c r="P1379" s="10">
        <v>281.49722290039062</v>
      </c>
      <c r="Q1379" s="10">
        <v>741</v>
      </c>
      <c r="R1379" s="10">
        <v>258.510009765625</v>
      </c>
      <c r="S1379" s="10">
        <v>147.35002136230469</v>
      </c>
      <c r="V1379" s="11">
        <v>46203</v>
      </c>
      <c r="W1379" s="12">
        <v>2.7046212958856453E-2</v>
      </c>
      <c r="X1379" s="12">
        <v>-1.7562215672182413E-2</v>
      </c>
      <c r="Y1379" s="12">
        <v>-6.254044887290422E-3</v>
      </c>
      <c r="Z1379" s="12">
        <v>2.6260425117358377E-2</v>
      </c>
      <c r="AA1379" s="12">
        <v>-1.2192635375263161E-2</v>
      </c>
      <c r="AB1379" s="12">
        <v>7.7868009868420351E-3</v>
      </c>
      <c r="AC1379" s="12">
        <v>4.8507460159543658E-3</v>
      </c>
    </row>
    <row r="1380" spans="12:29" x14ac:dyDescent="0.2">
      <c r="L1380" s="11">
        <v>46203</v>
      </c>
      <c r="M1380" s="10">
        <v>200.08999633789065</v>
      </c>
      <c r="N1380" s="10">
        <v>135.84040832519531</v>
      </c>
      <c r="O1380" s="10">
        <v>325.86199951171875</v>
      </c>
      <c r="P1380" s="10">
        <v>289.11065673828125</v>
      </c>
      <c r="Q1380" s="10">
        <v>746.77001953125</v>
      </c>
      <c r="R1380" s="10">
        <v>253.97000122070312</v>
      </c>
      <c r="S1380" s="10">
        <v>145.55343627929688</v>
      </c>
      <c r="V1380" s="11">
        <v>46204</v>
      </c>
      <c r="W1380" s="12">
        <v>1.7348672275670385E-2</v>
      </c>
      <c r="X1380" s="12">
        <v>3.9353099924754886E-5</v>
      </c>
      <c r="Y1380" s="12">
        <v>2.0590950646787842E-2</v>
      </c>
      <c r="Z1380" s="12">
        <v>-1.2544327816355949E-2</v>
      </c>
      <c r="AA1380" s="12">
        <v>5.3873628130440832E-3</v>
      </c>
      <c r="AB1380" s="12">
        <v>-1.352504438058455E-3</v>
      </c>
      <c r="AC1380" s="12">
        <v>-3.2182199098965691E-3</v>
      </c>
    </row>
    <row r="1381" spans="12:29" x14ac:dyDescent="0.2">
      <c r="L1381" s="11">
        <v>46204</v>
      </c>
      <c r="M1381" s="10">
        <v>197.58000183105469</v>
      </c>
      <c r="N1381" s="10">
        <v>135.40324401855469</v>
      </c>
      <c r="O1381" s="10">
        <v>332.57180786132812</v>
      </c>
      <c r="P1381" s="10">
        <v>294.1263427734375</v>
      </c>
      <c r="Q1381" s="10">
        <v>745.760009765625</v>
      </c>
      <c r="R1381" s="10">
        <v>253.97999572753903</v>
      </c>
      <c r="S1381" s="10">
        <v>146.33758544921875</v>
      </c>
      <c r="V1381" s="11">
        <v>46205</v>
      </c>
      <c r="W1381" s="12">
        <v>4.8406753647981748E-2</v>
      </c>
      <c r="X1381" s="12">
        <v>3.5672151231556537E-2</v>
      </c>
      <c r="Y1381" s="12">
        <v>1.197315436734403E-3</v>
      </c>
      <c r="Z1381" s="12">
        <v>-1.3918412665829716E-2</v>
      </c>
      <c r="AA1381" s="12">
        <v>2.69959063144527E-2</v>
      </c>
      <c r="AB1381" s="12">
        <v>-1.3140694806872411E-3</v>
      </c>
      <c r="AC1381" s="12">
        <v>5.9435729074859278E-3</v>
      </c>
    </row>
    <row r="1382" spans="12:29" x14ac:dyDescent="0.2">
      <c r="L1382" s="11">
        <v>46205</v>
      </c>
      <c r="M1382" s="10">
        <v>194.83000183105469</v>
      </c>
      <c r="N1382" s="10">
        <v>136.20802307128906</v>
      </c>
      <c r="O1382" s="10">
        <v>332.97000122070312</v>
      </c>
      <c r="P1382" s="10">
        <v>308.36404418945312</v>
      </c>
      <c r="Q1382" s="10">
        <v>744.780029296875</v>
      </c>
      <c r="R1382" s="10">
        <v>263.04000854492188</v>
      </c>
      <c r="S1382" s="10">
        <v>150.28810119628906</v>
      </c>
      <c r="V1382" s="11">
        <v>46209</v>
      </c>
      <c r="W1382" s="12">
        <v>1.305778143996239E-2</v>
      </c>
      <c r="X1382" s="12">
        <v>-1.4104401810124845E-2</v>
      </c>
      <c r="Y1382" s="12">
        <v>1.4265549396600186E-2</v>
      </c>
      <c r="Z1382" s="12">
        <v>3.6955356666652506E-3</v>
      </c>
      <c r="AA1382" s="12">
        <v>-1.3869641855075554E-2</v>
      </c>
      <c r="AB1382" s="12">
        <v>8.7274090930398174E-3</v>
      </c>
      <c r="AC1382" s="12">
        <v>-4.7413725984646327E-3</v>
      </c>
    </row>
    <row r="1383" spans="12:29" x14ac:dyDescent="0.2">
      <c r="L1383" s="11">
        <v>46209</v>
      </c>
      <c r="M1383" s="10">
        <v>195.55000305175781</v>
      </c>
      <c r="N1383" s="10">
        <v>135.56221008300781</v>
      </c>
      <c r="O1383" s="10">
        <v>337.72000122070312</v>
      </c>
      <c r="P1383" s="10">
        <v>312.39059448242188</v>
      </c>
      <c r="Q1383" s="10">
        <v>751.280029296875</v>
      </c>
      <c r="R1383" s="10">
        <v>259.32998657226562</v>
      </c>
      <c r="S1383" s="10">
        <v>148.20365905761719</v>
      </c>
      <c r="V1383" s="11">
        <v>46210</v>
      </c>
      <c r="W1383" s="12">
        <v>-6.3967707444452238E-3</v>
      </c>
      <c r="X1383" s="12">
        <v>3.0501693100212224E-2</v>
      </c>
      <c r="Y1383" s="12">
        <v>4.4415491963110121E-3</v>
      </c>
      <c r="Z1383" s="12">
        <v>7.056965494693257E-3</v>
      </c>
      <c r="AA1383" s="12">
        <v>2.3039275997601028E-2</v>
      </c>
      <c r="AB1383" s="12">
        <v>-4.7518996712316852E-3</v>
      </c>
      <c r="AC1383" s="12">
        <v>3.8478513271587023E-2</v>
      </c>
    </row>
    <row r="1384" spans="12:29" x14ac:dyDescent="0.2">
      <c r="L1384" s="11">
        <v>46210</v>
      </c>
      <c r="M1384" s="10">
        <v>196.92999267578125</v>
      </c>
      <c r="N1384" s="10">
        <v>140.7784423828125</v>
      </c>
      <c r="O1384" s="10">
        <v>339.22000122070312</v>
      </c>
      <c r="P1384" s="10">
        <v>310.39230346679688</v>
      </c>
      <c r="Q1384" s="10">
        <v>747.71002197265625</v>
      </c>
      <c r="R1384" s="10">
        <v>267.239990234375</v>
      </c>
      <c r="S1384" s="10">
        <v>151.6181640625</v>
      </c>
      <c r="V1384" s="11">
        <v>46211</v>
      </c>
      <c r="W1384" s="12">
        <v>8.7877859803449088E-3</v>
      </c>
      <c r="X1384" s="12">
        <v>-1.4369093242829645E-2</v>
      </c>
      <c r="Y1384" s="12">
        <v>-2.5352296658711193E-2</v>
      </c>
      <c r="Z1384" s="12">
        <v>3.6510448935239692E-2</v>
      </c>
      <c r="AA1384" s="12">
        <v>-2.847788263975215E-2</v>
      </c>
      <c r="AB1384" s="12">
        <v>-3.0894297130047432E-3</v>
      </c>
      <c r="AC1384" s="12">
        <v>-3.9522847032361641E-3</v>
      </c>
    </row>
    <row r="1385" spans="12:29" x14ac:dyDescent="0.2">
      <c r="L1385" s="11">
        <v>46211</v>
      </c>
      <c r="M1385" s="10">
        <v>204.1199951171875</v>
      </c>
      <c r="N1385" s="10">
        <v>140.2220458984375</v>
      </c>
      <c r="O1385" s="10">
        <v>330.6199951171875</v>
      </c>
      <c r="P1385" s="10">
        <v>313.11996459960938</v>
      </c>
      <c r="Q1385" s="10">
        <v>745.4000244140625</v>
      </c>
      <c r="R1385" s="10">
        <v>263.39999389648438</v>
      </c>
      <c r="S1385" s="10">
        <v>147.30039978027344</v>
      </c>
      <c r="V1385" s="11">
        <v>46212</v>
      </c>
      <c r="W1385" s="12">
        <v>9.0302295787214604E-3</v>
      </c>
      <c r="X1385" s="12">
        <v>-1.6324935051663769E-2</v>
      </c>
      <c r="Y1385" s="12">
        <v>1.466942766663748E-2</v>
      </c>
      <c r="Z1385" s="12">
        <v>-6.5647480400992109E-3</v>
      </c>
      <c r="AA1385" s="12">
        <v>-1.0444731894066361E-2</v>
      </c>
      <c r="AB1385" s="12">
        <v>8.4652500025792499E-3</v>
      </c>
      <c r="AC1385" s="12">
        <v>-2.6004418912178084E-2</v>
      </c>
    </row>
    <row r="1386" spans="12:29" x14ac:dyDescent="0.2">
      <c r="L1386" s="11">
        <v>46212</v>
      </c>
      <c r="M1386" s="10">
        <v>202.77999877929688</v>
      </c>
      <c r="N1386" s="10">
        <v>136.57565307617188</v>
      </c>
      <c r="O1386" s="10">
        <v>335.47000122070312</v>
      </c>
      <c r="P1386" s="10">
        <v>315.947509765625</v>
      </c>
      <c r="Q1386" s="10">
        <v>751.71002197265625</v>
      </c>
      <c r="R1386" s="10">
        <v>259.10000610351562</v>
      </c>
      <c r="S1386" s="10">
        <v>145.76188659667969</v>
      </c>
      <c r="V1386" s="11">
        <v>46213</v>
      </c>
      <c r="W1386" s="12">
        <v>-2.846043762522954E-3</v>
      </c>
      <c r="X1386" s="12">
        <v>-8.1821500086747267E-3</v>
      </c>
      <c r="Y1386" s="12">
        <v>2.980892468361418E-3</v>
      </c>
      <c r="Z1386" s="12">
        <v>4.0339323324847909E-2</v>
      </c>
      <c r="AA1386" s="12">
        <v>1.2937769840015712E-3</v>
      </c>
      <c r="AB1386" s="12">
        <v>4.3101596888019955E-3</v>
      </c>
      <c r="AC1386" s="12">
        <v>1.0330343522494845E-2</v>
      </c>
    </row>
    <row r="1387" spans="12:29" x14ac:dyDescent="0.2">
      <c r="L1387" s="11">
        <v>46213</v>
      </c>
      <c r="M1387" s="10">
        <v>210.96000671386719</v>
      </c>
      <c r="N1387" s="10">
        <v>137.98652648925781</v>
      </c>
      <c r="O1387" s="10">
        <v>336.47000122070312</v>
      </c>
      <c r="P1387" s="10">
        <v>315.04830932617188</v>
      </c>
      <c r="Q1387" s="10">
        <v>754.95001220703125</v>
      </c>
      <c r="R1387" s="10">
        <v>256.98001098632812</v>
      </c>
      <c r="S1387" s="10">
        <v>145.95046997070312</v>
      </c>
      <c r="V1387" s="11">
        <v>46216</v>
      </c>
      <c r="W1387" s="12">
        <v>6.3109392228588579E-3</v>
      </c>
      <c r="X1387" s="12">
        <v>3.0740835612532713E-3</v>
      </c>
      <c r="Y1387" s="12">
        <v>-5.7657515807292281E-3</v>
      </c>
      <c r="Z1387" s="12">
        <v>-3.521998340020871E-2</v>
      </c>
      <c r="AA1387" s="12">
        <v>9.045155206319766E-3</v>
      </c>
      <c r="AB1387" s="12">
        <v>-7.6561748505409311E-3</v>
      </c>
      <c r="AC1387" s="12">
        <v>4.053848880111155E-2</v>
      </c>
    </row>
    <row r="1388" spans="12:29" x14ac:dyDescent="0.2">
      <c r="L1388" s="11">
        <v>46216</v>
      </c>
      <c r="M1388" s="10">
        <v>203.52999877929688</v>
      </c>
      <c r="N1388" s="10">
        <v>143.58029174804688</v>
      </c>
      <c r="O1388" s="10">
        <v>334.52999877929688</v>
      </c>
      <c r="P1388" s="10">
        <v>317.03656005859375</v>
      </c>
      <c r="Q1388" s="10">
        <v>749.16998291015625</v>
      </c>
      <c r="R1388" s="10">
        <v>257.76998901367188</v>
      </c>
      <c r="S1388" s="10">
        <v>147.27061462402344</v>
      </c>
      <c r="V1388" s="11">
        <v>46217</v>
      </c>
      <c r="W1388" s="12">
        <v>-7.7211157480073789E-3</v>
      </c>
      <c r="X1388" s="12">
        <v>-1.5207289743680574E-2</v>
      </c>
      <c r="Y1388" s="12">
        <v>2.4990332405603111E-2</v>
      </c>
      <c r="Z1388" s="12">
        <v>4.0632851776453593E-2</v>
      </c>
      <c r="AA1388" s="12">
        <v>-1.5434345259563553E-2</v>
      </c>
      <c r="AB1388" s="12">
        <v>3.5506416973014598E-3</v>
      </c>
      <c r="AC1388" s="12">
        <v>4.0135273491823664E-3</v>
      </c>
    </row>
    <row r="1389" spans="12:29" x14ac:dyDescent="0.2">
      <c r="L1389" s="11">
        <v>46217</v>
      </c>
      <c r="M1389" s="10">
        <v>211.80000305175781</v>
      </c>
      <c r="N1389" s="10">
        <v>144.15655517578125</v>
      </c>
      <c r="O1389" s="10">
        <v>342.8900146484375</v>
      </c>
      <c r="P1389" s="10">
        <v>314.58868408203125</v>
      </c>
      <c r="Q1389" s="10">
        <v>751.83001708984375</v>
      </c>
      <c r="R1389" s="10">
        <v>253.8500061035156</v>
      </c>
      <c r="S1389" s="10">
        <v>144.99758911132812</v>
      </c>
      <c r="V1389" s="11">
        <v>46218</v>
      </c>
      <c r="W1389" s="12">
        <v>4.0144863792219931E-2</v>
      </c>
      <c r="X1389" s="12">
        <v>-2.6905659510874647E-2</v>
      </c>
      <c r="Y1389" s="12">
        <v>1.1723843920603993E-2</v>
      </c>
      <c r="Z1389" s="12">
        <v>3.3049902651376417E-3</v>
      </c>
      <c r="AA1389" s="12">
        <v>1.3485836766968795E-2</v>
      </c>
      <c r="AB1389" s="12">
        <v>3.9636359296810753E-3</v>
      </c>
      <c r="AC1389" s="12">
        <v>-3.9974833404675669E-3</v>
      </c>
    </row>
    <row r="1390" spans="12:29" x14ac:dyDescent="0.2">
      <c r="L1390" s="11">
        <v>46218</v>
      </c>
      <c r="M1390" s="10">
        <v>212.5</v>
      </c>
      <c r="N1390" s="10">
        <v>143.58029174804688</v>
      </c>
      <c r="O1390" s="10">
        <v>346.91000366210938</v>
      </c>
      <c r="P1390" s="10">
        <v>327.21780395507812</v>
      </c>
      <c r="Q1390" s="10">
        <v>754.80999755859375</v>
      </c>
      <c r="R1390" s="10">
        <v>247.02000427246097</v>
      </c>
      <c r="S1390" s="10">
        <v>146.9530029296875</v>
      </c>
      <c r="V1390" s="11">
        <v>46219</v>
      </c>
      <c r="W1390" s="12">
        <v>1.7587781993612772E-2</v>
      </c>
      <c r="X1390" s="12">
        <v>1.1942340285074016E-2</v>
      </c>
      <c r="Y1390" s="12">
        <v>-1.0838574056478478E-2</v>
      </c>
      <c r="Z1390" s="12">
        <v>-2.4000028722426348E-2</v>
      </c>
      <c r="AA1390" s="12">
        <v>2.3302846144708678E-2</v>
      </c>
      <c r="AB1390" s="12">
        <v>-5.4186177563860793E-3</v>
      </c>
      <c r="AC1390" s="12">
        <v>9.9647405575409298E-3</v>
      </c>
    </row>
    <row r="1391" spans="12:29" x14ac:dyDescent="0.2">
      <c r="L1391" s="11">
        <v>46219</v>
      </c>
      <c r="M1391" s="10">
        <v>207.3999938964844</v>
      </c>
      <c r="N1391" s="10">
        <v>145.01103210449219</v>
      </c>
      <c r="O1391" s="10">
        <v>343.14999389648438</v>
      </c>
      <c r="P1391" s="10">
        <v>332.97283935546875</v>
      </c>
      <c r="Q1391" s="10">
        <v>750.719970703125</v>
      </c>
      <c r="R1391" s="10">
        <v>249.97000122070312</v>
      </c>
      <c r="S1391" s="10">
        <v>150.37742614746094</v>
      </c>
      <c r="V1391" s="11">
        <v>46220</v>
      </c>
      <c r="W1391" s="12">
        <v>1.4402172368908062E-3</v>
      </c>
      <c r="X1391" s="12">
        <v>1.2281441974787644E-2</v>
      </c>
      <c r="Y1391" s="12">
        <v>-5.9740283532896399E-3</v>
      </c>
      <c r="Z1391" s="12">
        <v>-2.2131130535045118E-2</v>
      </c>
      <c r="AA1391" s="12">
        <v>-1.003304368737723E-2</v>
      </c>
      <c r="AB1391" s="12">
        <v>-9.8971560178722218E-3</v>
      </c>
      <c r="AC1391" s="12">
        <v>9.6608145069108087E-3</v>
      </c>
    </row>
    <row r="1392" spans="12:29" x14ac:dyDescent="0.2">
      <c r="L1392" s="11">
        <v>46220</v>
      </c>
      <c r="M1392" s="10">
        <v>202.80999755859375</v>
      </c>
      <c r="N1392" s="10">
        <v>146.41195678710938</v>
      </c>
      <c r="O1392" s="10">
        <v>341.10000610351562</v>
      </c>
      <c r="P1392" s="10">
        <v>333.452392578125</v>
      </c>
      <c r="Q1392" s="10">
        <v>743.28997802734375</v>
      </c>
      <c r="R1392" s="10">
        <v>253.03999328613281</v>
      </c>
      <c r="S1392" s="10">
        <v>148.86868286132812</v>
      </c>
      <c r="V1392" s="11">
        <v>46223</v>
      </c>
      <c r="W1392" s="12">
        <v>-2.1423835919933909E-2</v>
      </c>
      <c r="X1392" s="12">
        <v>-1.6677150149708497E-2</v>
      </c>
      <c r="Y1392" s="12">
        <v>-6.5377043284231551E-3</v>
      </c>
      <c r="Z1392" s="12">
        <v>2.3174460152899368E-3</v>
      </c>
      <c r="AA1392" s="12">
        <v>-5.6673368006463498E-3</v>
      </c>
      <c r="AB1392" s="12">
        <v>-1.6143782471810253E-3</v>
      </c>
      <c r="AC1392" s="12">
        <v>6.7861674115141657E-3</v>
      </c>
    </row>
    <row r="1393" spans="12:29" x14ac:dyDescent="0.2">
      <c r="L1393" s="11">
        <v>46223</v>
      </c>
      <c r="M1393" s="10">
        <v>203.27999877929688</v>
      </c>
      <c r="N1393" s="10">
        <v>147.40553283691406</v>
      </c>
      <c r="O1393" s="10">
        <v>338.8699951171875</v>
      </c>
      <c r="P1393" s="10">
        <v>326.30856323242188</v>
      </c>
      <c r="Q1393" s="10">
        <v>742.09002685546875</v>
      </c>
      <c r="R1393" s="10">
        <v>248.82000732421875</v>
      </c>
      <c r="S1393" s="10">
        <v>148.02499389648438</v>
      </c>
      <c r="V1393" s="11">
        <v>46224</v>
      </c>
      <c r="W1393" s="12">
        <v>3.5212601306020552E-3</v>
      </c>
      <c r="X1393" s="12">
        <v>7.1939282752306877E-3</v>
      </c>
      <c r="Y1393" s="12">
        <v>1.8768306314465022E-2</v>
      </c>
      <c r="Z1393" s="12">
        <v>1.9726458731385677E-2</v>
      </c>
      <c r="AA1393" s="12">
        <v>-6.9067348550649887E-3</v>
      </c>
      <c r="AB1393" s="12">
        <v>8.3413092985977766E-3</v>
      </c>
      <c r="AC1393" s="12">
        <v>2.2580193365284495E-2</v>
      </c>
    </row>
    <row r="1394" spans="12:29" x14ac:dyDescent="0.2">
      <c r="L1394" s="11">
        <v>46224</v>
      </c>
      <c r="M1394" s="10">
        <v>207.28999328613281</v>
      </c>
      <c r="N1394" s="10">
        <v>150.73397827148438</v>
      </c>
      <c r="O1394" s="10">
        <v>345.23001098632812</v>
      </c>
      <c r="P1394" s="10">
        <v>327.45758056640625</v>
      </c>
      <c r="Q1394" s="10">
        <v>748.280029296875</v>
      </c>
      <c r="R1394" s="10">
        <v>250.61000061035156</v>
      </c>
      <c r="S1394" s="10">
        <v>147.00262451171875</v>
      </c>
      <c r="V1394" s="11">
        <v>46225</v>
      </c>
      <c r="W1394" s="12">
        <v>-5.6446660012506866E-3</v>
      </c>
      <c r="X1394" s="12">
        <v>2.003114105676107E-2</v>
      </c>
      <c r="Y1394" s="12">
        <v>8.6318696924294613E-3</v>
      </c>
      <c r="Z1394" s="12">
        <v>2.3011261647718051E-2</v>
      </c>
      <c r="AA1394" s="12">
        <v>6.9547696047027596E-3</v>
      </c>
      <c r="AB1394" s="12">
        <v>-1.1627413779321527E-3</v>
      </c>
      <c r="AC1394" s="12">
        <v>1.8060734309716109E-2</v>
      </c>
    </row>
    <row r="1395" spans="12:29" x14ac:dyDescent="0.2">
      <c r="L1395" s="11">
        <v>46225</v>
      </c>
      <c r="M1395" s="10">
        <v>212.05999755859375</v>
      </c>
      <c r="N1395" s="10">
        <v>153.45634460449219</v>
      </c>
      <c r="O1395" s="10">
        <v>348.20999145507812</v>
      </c>
      <c r="P1395" s="10">
        <v>325.60919189453125</v>
      </c>
      <c r="Q1395" s="10">
        <v>747.40997314453125</v>
      </c>
      <c r="R1395" s="10">
        <v>255.6300048828125</v>
      </c>
      <c r="S1395" s="10">
        <v>148.02499389648438</v>
      </c>
      <c r="V1395" s="11">
        <v>46226</v>
      </c>
      <c r="W1395" s="12">
        <v>-1.2979820539962161E-2</v>
      </c>
      <c r="X1395" s="12">
        <v>1.4239267931509314E-2</v>
      </c>
      <c r="Y1395" s="12">
        <v>4.8534001978064456E-3</v>
      </c>
      <c r="Z1395" s="12">
        <v>-1.5561648070122391E-2</v>
      </c>
      <c r="AA1395" s="12">
        <v>-1.4484021488169296E-2</v>
      </c>
      <c r="AB1395" s="12">
        <v>-1.2349287272575782E-2</v>
      </c>
      <c r="AC1395" s="12">
        <v>1.5797985764024025E-2</v>
      </c>
    </row>
    <row r="1396" spans="12:29" x14ac:dyDescent="0.2">
      <c r="L1396" s="11">
        <v>46226</v>
      </c>
      <c r="M1396" s="10">
        <v>208.75999450683591</v>
      </c>
      <c r="N1396" s="10">
        <v>155.88064575195312</v>
      </c>
      <c r="O1396" s="10">
        <v>349.89999389648438</v>
      </c>
      <c r="P1396" s="10">
        <v>321.38284301757812</v>
      </c>
      <c r="Q1396" s="10">
        <v>738.17999267578125</v>
      </c>
      <c r="R1396" s="10">
        <v>259.26998901367188</v>
      </c>
      <c r="S1396" s="10">
        <v>145.88099670410156</v>
      </c>
      <c r="V1396" s="11">
        <v>46227</v>
      </c>
      <c r="W1396" s="12">
        <v>3.5316724136277511E-2</v>
      </c>
      <c r="X1396" s="12">
        <v>1.5929359578114255E-2</v>
      </c>
      <c r="Y1396" s="12">
        <v>9.4598388577651349E-3</v>
      </c>
      <c r="Z1396" s="12">
        <v>-9.197155678610569E-3</v>
      </c>
      <c r="AA1396" s="12">
        <v>1.048119352453547E-2</v>
      </c>
      <c r="AB1396" s="12">
        <v>1.0160123647910968E-3</v>
      </c>
      <c r="AC1396" s="12">
        <v>3.1872216687212074E-4</v>
      </c>
    </row>
    <row r="1397" spans="12:29" x14ac:dyDescent="0.2">
      <c r="L1397" s="11">
        <v>46227</v>
      </c>
      <c r="M1397" s="10">
        <v>206.83999633789065</v>
      </c>
      <c r="N1397" s="10">
        <v>155.93032836914062</v>
      </c>
      <c r="O1397" s="10">
        <v>353.20999145507812</v>
      </c>
      <c r="P1397" s="10">
        <v>332.7330322265625</v>
      </c>
      <c r="Q1397" s="10">
        <v>738.92999267578125</v>
      </c>
      <c r="R1397" s="10">
        <v>263.39999389648438</v>
      </c>
      <c r="S1397" s="10">
        <v>147.41000366210938</v>
      </c>
      <c r="V1397" s="11">
        <v>46230</v>
      </c>
      <c r="W1397" s="12">
        <v>1.1681009513348384E-2</v>
      </c>
      <c r="X1397" s="12">
        <v>9.681163134533044E-3</v>
      </c>
      <c r="Y1397" s="12">
        <v>8.4652779487790486E-3</v>
      </c>
      <c r="Z1397" s="12">
        <v>-4.9941993879074609E-2</v>
      </c>
      <c r="AA1397" s="12">
        <v>8.2762444230013443E-3</v>
      </c>
      <c r="AB1397" s="12">
        <v>2.165755636849287E-4</v>
      </c>
      <c r="AC1397" s="12">
        <v>-1.3826921289160965E-2</v>
      </c>
    </row>
    <row r="1398" spans="12:29" x14ac:dyDescent="0.2">
      <c r="L1398" s="11">
        <v>46230</v>
      </c>
      <c r="M1398" s="10">
        <v>196.50999450683591</v>
      </c>
      <c r="N1398" s="10">
        <v>153.7742919921875</v>
      </c>
      <c r="O1398" s="10">
        <v>356.20001220703125</v>
      </c>
      <c r="P1398" s="10">
        <v>336.61968994140625</v>
      </c>
      <c r="Q1398" s="10">
        <v>739.09002685546875</v>
      </c>
      <c r="R1398" s="10">
        <v>265.95001220703125</v>
      </c>
      <c r="S1398" s="10">
        <v>148.6300048828125</v>
      </c>
      <c r="V1398" s="11">
        <v>46231</v>
      </c>
      <c r="W1398" s="12">
        <v>9.4089455333890015E-3</v>
      </c>
      <c r="X1398" s="12">
        <v>2.9328773961088128E-3</v>
      </c>
      <c r="Y1398" s="12">
        <v>3.116185607869415E-3</v>
      </c>
      <c r="Z1398" s="12">
        <v>2.5443998472178819E-3</v>
      </c>
      <c r="AA1398" s="12">
        <v>1.6820291447685598E-3</v>
      </c>
      <c r="AB1398" s="12">
        <v>2.3947806515860481E-3</v>
      </c>
      <c r="AC1398" s="12">
        <v>-1.1177889672220553E-2</v>
      </c>
    </row>
    <row r="1399" spans="12:29" x14ac:dyDescent="0.2">
      <c r="L1399" s="11">
        <v>46231</v>
      </c>
      <c r="M1399" s="10">
        <v>197.00999450683591</v>
      </c>
      <c r="N1399" s="10">
        <v>152.055419921875</v>
      </c>
      <c r="O1399" s="10">
        <v>357.30999755859375</v>
      </c>
      <c r="P1399" s="10">
        <v>339.78692626953125</v>
      </c>
      <c r="Q1399" s="10">
        <v>740.8599853515625</v>
      </c>
      <c r="R1399" s="10">
        <v>266.73001098632812</v>
      </c>
      <c r="S1399" s="10">
        <v>148.8800048828125</v>
      </c>
      <c r="V1399" s="11">
        <v>46232</v>
      </c>
      <c r="W1399" s="12">
        <v>-5.5574127067582468E-3</v>
      </c>
      <c r="X1399" s="12">
        <v>-4.4989770839576337E-3</v>
      </c>
      <c r="Y1399" s="12">
        <v>-3.5263514006347974E-2</v>
      </c>
      <c r="Z1399" s="12">
        <v>-3.553119230079016E-2</v>
      </c>
      <c r="AA1399" s="12">
        <v>-1.8672747770831166E-2</v>
      </c>
      <c r="AB1399" s="12">
        <v>-1.5387473482586067E-2</v>
      </c>
      <c r="AC1399" s="12">
        <v>2.4241994865281891E-2</v>
      </c>
    </row>
    <row r="1400" spans="12:29" x14ac:dyDescent="0.2">
      <c r="L1400" s="11">
        <v>46232</v>
      </c>
      <c r="M1400" s="10">
        <v>190.00999450683591</v>
      </c>
      <c r="N1400" s="10">
        <v>155.74154663085938</v>
      </c>
      <c r="O1400" s="10">
        <v>344.70999145507812</v>
      </c>
      <c r="P1400" s="10">
        <v>337.89859008789062</v>
      </c>
      <c r="Q1400" s="10">
        <v>729.46002197265625</v>
      </c>
      <c r="R1400" s="10">
        <v>265.52999877929688</v>
      </c>
      <c r="S1400" s="10">
        <v>146.10000610351562</v>
      </c>
      <c r="V1400" s="11">
        <v>46233</v>
      </c>
      <c r="W1400" s="12">
        <v>-1.4074993355015719E-2</v>
      </c>
      <c r="X1400" s="12">
        <v>-3.6568340676071287E-2</v>
      </c>
      <c r="Y1400" s="12">
        <v>1.7812116853705096E-2</v>
      </c>
      <c r="Z1400" s="12">
        <v>2.6472285272951535E-2</v>
      </c>
      <c r="AA1400" s="12">
        <v>-1.4647496921609937E-2</v>
      </c>
      <c r="AB1400" s="12">
        <v>1.6765799496011979E-2</v>
      </c>
      <c r="AC1400" s="12">
        <v>1.4035908647260786E-3</v>
      </c>
    </row>
    <row r="1401" spans="12:29" x14ac:dyDescent="0.2">
      <c r="L1401" s="11">
        <v>46233</v>
      </c>
      <c r="M1401" s="10">
        <v>195.03999328613281</v>
      </c>
      <c r="N1401" s="10">
        <v>155.96014404296875</v>
      </c>
      <c r="O1401" s="10">
        <v>350.85000610351562</v>
      </c>
      <c r="P1401" s="10">
        <v>333.14266967773438</v>
      </c>
      <c r="Q1401" s="10">
        <v>741.69000244140625</v>
      </c>
      <c r="R1401" s="10">
        <v>255.82000732421875</v>
      </c>
      <c r="S1401" s="10">
        <v>143.96000671386719</v>
      </c>
      <c r="V1401" s="11">
        <v>46234</v>
      </c>
      <c r="W1401" s="12">
        <v>-7.3538584402082718E-2</v>
      </c>
      <c r="X1401" s="12">
        <v>2.071764381685659E-3</v>
      </c>
      <c r="Y1401" s="12">
        <v>2.6792145505305509E-3</v>
      </c>
      <c r="Z1401" s="12">
        <v>2.9276081370092744E-2</v>
      </c>
      <c r="AA1401" s="12">
        <v>3.6815695650131985E-3</v>
      </c>
      <c r="AB1401" s="12">
        <v>7.1998096750542917E-3</v>
      </c>
      <c r="AC1401" s="12">
        <v>-9.747085511364606E-3</v>
      </c>
    </row>
    <row r="1402" spans="12:29" x14ac:dyDescent="0.2">
      <c r="L1402" s="11">
        <v>46234</v>
      </c>
      <c r="M1402" s="10">
        <v>200.75</v>
      </c>
      <c r="N1402" s="10">
        <v>154.43998718261719</v>
      </c>
      <c r="O1402" s="10">
        <v>351.79000854492188</v>
      </c>
      <c r="P1402" s="10">
        <v>308.64382934570312</v>
      </c>
      <c r="Q1402" s="10">
        <v>747.030029296875</v>
      </c>
      <c r="R1402" s="10">
        <v>256.35000610351562</v>
      </c>
      <c r="S1402" s="10">
        <v>144.49000549316406</v>
      </c>
      <c r="V1402" s="11">
        <v>46237</v>
      </c>
      <c r="W1402" s="12">
        <v>-1.7772135672998512E-2</v>
      </c>
      <c r="X1402" s="12">
        <v>-7.5677877714693809E-3</v>
      </c>
      <c r="Y1402" s="12">
        <v>2.4162315099038878E-3</v>
      </c>
      <c r="Z1402" s="12">
        <v>2.9339972053043173E-2</v>
      </c>
      <c r="AA1402" s="12">
        <v>3.3219995106288369E-3</v>
      </c>
      <c r="AB1402" s="12">
        <v>1.424300656734756E-2</v>
      </c>
      <c r="AC1402" s="12">
        <v>-2.4447261583624424E-3</v>
      </c>
    </row>
    <row r="1403" spans="12:29" x14ac:dyDescent="0.2">
      <c r="L1403" s="11">
        <v>46237</v>
      </c>
      <c r="M1403" s="10">
        <v>206.63999938964844</v>
      </c>
      <c r="N1403" s="10">
        <v>154.06242370605469</v>
      </c>
      <c r="O1403" s="10">
        <v>352.6400146484375</v>
      </c>
      <c r="P1403" s="10">
        <v>303.1585693359375</v>
      </c>
      <c r="Q1403" s="10">
        <v>757.66998291015625</v>
      </c>
      <c r="R1403" s="10">
        <v>254.41000366210935</v>
      </c>
      <c r="S1403" s="10">
        <v>144.97000122070312</v>
      </c>
      <c r="V1403" s="11">
        <v>46238</v>
      </c>
      <c r="W1403" s="12">
        <v>1.9642637836096544E-2</v>
      </c>
      <c r="X1403" s="12">
        <v>2.0439016005144861E-3</v>
      </c>
      <c r="Y1403" s="12">
        <v>1.3838402230386349E-2</v>
      </c>
      <c r="Z1403" s="12">
        <v>2.5648485614655492E-2</v>
      </c>
      <c r="AA1403" s="12">
        <v>2.0969809343553081E-2</v>
      </c>
      <c r="AB1403" s="12">
        <v>1.8029002715958642E-2</v>
      </c>
      <c r="AC1403" s="12">
        <v>-7.0939476370097676E-3</v>
      </c>
    </row>
    <row r="1404" spans="12:29" x14ac:dyDescent="0.2">
      <c r="L1404" s="11">
        <v>46238</v>
      </c>
      <c r="M1404" s="10">
        <v>211.94000244140625</v>
      </c>
      <c r="N1404" s="10">
        <v>152.96951293945312</v>
      </c>
      <c r="O1404" s="10">
        <v>357.51998901367188</v>
      </c>
      <c r="P1404" s="10">
        <v>309.1134033203125</v>
      </c>
      <c r="Q1404" s="10">
        <v>771.33001708984375</v>
      </c>
      <c r="R1404" s="10">
        <v>254.92999267578125</v>
      </c>
      <c r="S1404" s="10">
        <v>148.00999450683594</v>
      </c>
      <c r="V1404" s="11">
        <v>46239</v>
      </c>
      <c r="W1404" s="12">
        <v>5.2363365961669572E-3</v>
      </c>
      <c r="X1404" s="12">
        <v>1.0434251514267023E-2</v>
      </c>
      <c r="Y1404" s="12">
        <v>4.8109232310289407E-3</v>
      </c>
      <c r="Z1404" s="12">
        <v>3.4349337998660801E-2</v>
      </c>
      <c r="AA1404" s="12">
        <v>-8.1750658738267701E-3</v>
      </c>
      <c r="AB1404" s="12">
        <v>-1.9966020100066206E-3</v>
      </c>
      <c r="AC1404" s="12">
        <v>-1.5133850240548363E-2</v>
      </c>
    </row>
    <row r="1405" spans="12:29" x14ac:dyDescent="0.2">
      <c r="L1405" s="11">
        <v>46239</v>
      </c>
      <c r="M1405" s="10">
        <v>219.22000122070312</v>
      </c>
      <c r="N1405" s="10">
        <v>150.65449523925781</v>
      </c>
      <c r="O1405" s="10">
        <v>359.239990234375</v>
      </c>
      <c r="P1405" s="10">
        <v>310.73202514648438</v>
      </c>
      <c r="Q1405" s="10">
        <v>769.78997802734375</v>
      </c>
      <c r="R1405" s="10">
        <v>257.58999633789062</v>
      </c>
      <c r="S1405" s="10">
        <v>146.80000305175781</v>
      </c>
      <c r="V1405" s="11">
        <v>46240</v>
      </c>
      <c r="W1405" s="12">
        <v>4.5337552777839907E-3</v>
      </c>
      <c r="X1405" s="12">
        <v>-2.3680475182831229E-3</v>
      </c>
      <c r="Y1405" s="12">
        <v>-8.1839509000324329E-3</v>
      </c>
      <c r="Z1405" s="12">
        <v>-1.0491548501885273E-3</v>
      </c>
      <c r="AA1405" s="12">
        <v>1.1580256499408303E-3</v>
      </c>
      <c r="AB1405" s="12">
        <v>-1.597813044932006E-3</v>
      </c>
      <c r="AC1405" s="12">
        <v>2.1169937932562055E-2</v>
      </c>
    </row>
    <row r="1406" spans="12:29" x14ac:dyDescent="0.2">
      <c r="L1406" s="11">
        <v>46240</v>
      </c>
      <c r="M1406" s="10">
        <v>218.99000549316409</v>
      </c>
      <c r="N1406" s="10">
        <v>153.84384155273438</v>
      </c>
      <c r="O1406" s="10">
        <v>356.29998779296875</v>
      </c>
      <c r="P1406" s="10">
        <v>312.14080810546875</v>
      </c>
      <c r="Q1406" s="10">
        <v>768.55999755859375</v>
      </c>
      <c r="R1406" s="10">
        <v>256.98001098632812</v>
      </c>
      <c r="S1406" s="10">
        <v>146.97000122070312</v>
      </c>
      <c r="V1406" s="11">
        <v>46241</v>
      </c>
      <c r="W1406" s="12">
        <v>2.9447910342259576E-3</v>
      </c>
      <c r="X1406" s="12">
        <v>8.7943775835821469E-3</v>
      </c>
      <c r="Y1406" s="12">
        <v>3.4240843741257798E-3</v>
      </c>
      <c r="Z1406" s="12">
        <v>2.2695105237842572E-2</v>
      </c>
      <c r="AA1406" s="12">
        <v>-8.0289033460529957E-3</v>
      </c>
      <c r="AB1406" s="12">
        <v>6.115348472417681E-3</v>
      </c>
      <c r="AC1406" s="12">
        <v>-1.162491532198473E-2</v>
      </c>
    </row>
    <row r="1407" spans="12:29" x14ac:dyDescent="0.2">
      <c r="L1407" s="11">
        <v>46241</v>
      </c>
      <c r="M1407" s="10">
        <v>223.96000671386719</v>
      </c>
      <c r="N1407" s="10">
        <v>152.055419921875</v>
      </c>
      <c r="O1407" s="10">
        <v>357.51998901367188</v>
      </c>
      <c r="P1407" s="10">
        <v>313.05999755859375</v>
      </c>
      <c r="Q1407" s="10">
        <v>773.260009765625</v>
      </c>
      <c r="R1407" s="10">
        <v>259.239990234375</v>
      </c>
      <c r="S1407" s="10">
        <v>145.78999328613281</v>
      </c>
      <c r="V1407" s="11">
        <v>46244</v>
      </c>
      <c r="W1407" s="12">
        <v>-1.5332485243728322E-2</v>
      </c>
      <c r="X1407" s="12">
        <v>9.9136222073425984E-3</v>
      </c>
      <c r="Y1407" s="12">
        <v>6.3493499692492961E-3</v>
      </c>
      <c r="Z1407" s="12">
        <v>-2.8621197847608748E-2</v>
      </c>
      <c r="AA1407" s="12">
        <v>4.4585306619617793E-3</v>
      </c>
      <c r="AB1407" s="12">
        <v>-2.9741673673222557E-4</v>
      </c>
      <c r="AC1407" s="12">
        <v>4.4106112690845967E-2</v>
      </c>
    </row>
    <row r="1408" spans="12:29" x14ac:dyDescent="0.2">
      <c r="L1408" s="11">
        <v>46244</v>
      </c>
      <c r="M1408" s="10">
        <v>217.55000305175781</v>
      </c>
      <c r="N1408" s="10">
        <v>158.76199340820312</v>
      </c>
      <c r="O1408" s="10">
        <v>359.79000854492188</v>
      </c>
      <c r="P1408" s="10">
        <v>308.260009765625</v>
      </c>
      <c r="Q1408" s="10">
        <v>773.030029296875</v>
      </c>
      <c r="R1408" s="10">
        <v>261.80999755859375</v>
      </c>
      <c r="S1408" s="10">
        <v>146.44000244140625</v>
      </c>
      <c r="V1408" s="11">
        <v>46245</v>
      </c>
      <c r="W1408" s="12">
        <v>-1.0867469011185404E-2</v>
      </c>
      <c r="X1408" s="12">
        <v>-7.6773606217048762E-3</v>
      </c>
      <c r="Y1408" s="12">
        <v>6.2536478127881434E-3</v>
      </c>
      <c r="Z1408" s="12">
        <v>-2.2984624709898593E-4</v>
      </c>
      <c r="AA1408" s="12">
        <v>-8.3993151258735521E-3</v>
      </c>
      <c r="AB1408" s="12">
        <v>-3.1952597501651026E-3</v>
      </c>
      <c r="AC1408" s="12">
        <v>6.2568322974909663E-5</v>
      </c>
    </row>
    <row r="1409" spans="12:29" x14ac:dyDescent="0.2">
      <c r="L1409" s="11">
        <v>46245</v>
      </c>
      <c r="M1409" s="10">
        <v>217.5</v>
      </c>
      <c r="N1409" s="10">
        <v>158.77192687988281</v>
      </c>
      <c r="O1409" s="10">
        <v>362.04000854492188</v>
      </c>
      <c r="P1409" s="10">
        <v>304.91000366210938</v>
      </c>
      <c r="Q1409" s="10">
        <v>770.55999755859375</v>
      </c>
      <c r="R1409" s="10">
        <v>259.79998779296875</v>
      </c>
      <c r="S1409" s="10">
        <v>145.21000671386719</v>
      </c>
      <c r="V1409" s="11">
        <v>46246</v>
      </c>
      <c r="W1409" s="12">
        <v>-8.723897642456846E-3</v>
      </c>
      <c r="X1409" s="12">
        <v>4.0800523802890787E-3</v>
      </c>
      <c r="Y1409" s="12">
        <v>8.6730307611011526E-3</v>
      </c>
      <c r="Z1409" s="12">
        <v>3.0298833737428366E-2</v>
      </c>
      <c r="AA1409" s="12">
        <v>-7.7818664731498233E-3</v>
      </c>
      <c r="AB1409" s="12">
        <v>2.5046624297864195E-3</v>
      </c>
      <c r="AC1409" s="12">
        <v>-3.129181472054654E-4</v>
      </c>
    </row>
    <row r="1410" spans="12:29" x14ac:dyDescent="0.2">
      <c r="L1410" s="11">
        <v>46246</v>
      </c>
      <c r="M1410" s="10">
        <v>224.08999633789065</v>
      </c>
      <c r="N1410" s="10">
        <v>158.72224426269531</v>
      </c>
      <c r="O1410" s="10">
        <v>365.17999267578131</v>
      </c>
      <c r="P1410" s="10">
        <v>302.25</v>
      </c>
      <c r="Q1410" s="10">
        <v>772.489990234375</v>
      </c>
      <c r="R1410" s="10">
        <v>260.8599853515625</v>
      </c>
      <c r="S1410" s="10">
        <v>144.08000183105469</v>
      </c>
      <c r="V1410" s="11">
        <v>46247</v>
      </c>
      <c r="W1410" s="12">
        <v>9.958675816790663E-3</v>
      </c>
      <c r="X1410" s="12">
        <v>4.6768430928911808E-3</v>
      </c>
      <c r="Y1410" s="12">
        <v>-5.6684576530363628E-3</v>
      </c>
      <c r="Z1410" s="12">
        <v>5.3996462744489993E-3</v>
      </c>
      <c r="AA1410" s="12">
        <v>1.2492550908786981E-3</v>
      </c>
      <c r="AB1410" s="12">
        <v>6.9774556519524022E-3</v>
      </c>
      <c r="AC1410" s="12">
        <v>-7.1361132610672229E-3</v>
      </c>
    </row>
    <row r="1411" spans="12:29" x14ac:dyDescent="0.2">
      <c r="L1411" s="11">
        <v>46247</v>
      </c>
      <c r="M1411" s="10">
        <v>225.30000305175781</v>
      </c>
      <c r="N1411" s="10">
        <v>157.58958435058594</v>
      </c>
      <c r="O1411" s="10">
        <v>363.1099853515625</v>
      </c>
      <c r="P1411" s="10">
        <v>305.260009765625</v>
      </c>
      <c r="Q1411" s="10">
        <v>777.8800048828125</v>
      </c>
      <c r="R1411" s="10">
        <v>262.07998657226562</v>
      </c>
      <c r="S1411" s="10">
        <v>144.25999450683594</v>
      </c>
      <c r="V1411" s="11">
        <v>46248</v>
      </c>
      <c r="W1411" s="12">
        <v>2.194794236790587E-3</v>
      </c>
      <c r="X1411" s="12">
        <v>-6.6009636652395454E-3</v>
      </c>
      <c r="Y1411" s="12">
        <v>-7.435461005306232E-4</v>
      </c>
      <c r="Z1411" s="12">
        <v>-6.2139097981417368E-4</v>
      </c>
      <c r="AA1411" s="12">
        <v>2.010318563461011E-3</v>
      </c>
      <c r="AB1411" s="12">
        <v>-1.9797115463531245E-3</v>
      </c>
      <c r="AC1411" s="12">
        <v>9.3941676395272733E-3</v>
      </c>
    </row>
    <row r="1412" spans="12:29" x14ac:dyDescent="0.2">
      <c r="L1412" s="11">
        <v>46248</v>
      </c>
      <c r="M1412" s="10">
        <v>225.16000366210935</v>
      </c>
      <c r="N1412" s="10">
        <v>159.07000732421875</v>
      </c>
      <c r="O1412" s="10">
        <v>362.83999633789062</v>
      </c>
      <c r="P1412" s="10">
        <v>305.92999267578125</v>
      </c>
      <c r="Q1412" s="10">
        <v>776.34002685546875</v>
      </c>
      <c r="R1412" s="10">
        <v>260.35000610351562</v>
      </c>
      <c r="S1412" s="10">
        <v>144.55000305175781</v>
      </c>
      <c r="V1412" s="11">
        <v>46251</v>
      </c>
      <c r="W1412" s="12">
        <v>-1.1113534012042736E-3</v>
      </c>
      <c r="X1412" s="12">
        <v>7.7587438690849275E-3</v>
      </c>
      <c r="Y1412" s="12">
        <v>-5.181360659759715E-3</v>
      </c>
      <c r="Z1412" s="12">
        <v>-6.6623357982598108E-4</v>
      </c>
      <c r="AA1412" s="12">
        <v>-9.8928253502580388E-3</v>
      </c>
      <c r="AB1412" s="12">
        <v>-4.7273666413644166E-3</v>
      </c>
      <c r="AC1412" s="12">
        <v>1.5024827306238331E-2</v>
      </c>
    </row>
    <row r="1413" spans="12:29" x14ac:dyDescent="0.2">
      <c r="L1413" s="11">
        <v>46251</v>
      </c>
      <c r="M1413" s="10">
        <v>225.00999450683591</v>
      </c>
      <c r="N1413" s="10">
        <v>161.46000671386719</v>
      </c>
      <c r="O1413" s="10">
        <v>360.95999145507812</v>
      </c>
      <c r="P1413" s="10">
        <v>305.58999633789062</v>
      </c>
      <c r="Q1413" s="10">
        <v>772.66998291015625</v>
      </c>
      <c r="R1413" s="10">
        <v>262.3699951171875</v>
      </c>
      <c r="S1413" s="10">
        <v>143.1199951171875</v>
      </c>
      <c r="V1413" s="11">
        <v>46252</v>
      </c>
      <c r="W1413" s="12">
        <v>1.4529279409058127E-2</v>
      </c>
      <c r="X1413" s="12">
        <v>3.3311698734724837E-2</v>
      </c>
      <c r="Y1413" s="12">
        <v>6.3442170853631463E-3</v>
      </c>
      <c r="Z1413" s="12">
        <v>-2.3421133026656382E-2</v>
      </c>
      <c r="AA1413" s="12">
        <v>2.305770278880237E-3</v>
      </c>
      <c r="AB1413" s="12">
        <v>-6.7557570742746709E-3</v>
      </c>
      <c r="AC1413" s="12">
        <v>2.5393228503900689E-2</v>
      </c>
    </row>
    <row r="1414" spans="12:29" x14ac:dyDescent="0.2">
      <c r="L1414" s="11">
        <v>46252</v>
      </c>
      <c r="M1414" s="10">
        <v>219.74000549316409</v>
      </c>
      <c r="N1414" s="10">
        <v>165.55999755859375</v>
      </c>
      <c r="O1414" s="10">
        <v>363.25</v>
      </c>
      <c r="P1414" s="10">
        <v>310.02999877929688</v>
      </c>
      <c r="Q1414" s="10">
        <v>767.45001220703125</v>
      </c>
      <c r="R1414" s="10">
        <v>271.1099853515625</v>
      </c>
      <c r="S1414" s="10">
        <v>143.44999694824219</v>
      </c>
    </row>
  </sheetData>
  <sortState xmlns:xlrd2="http://schemas.microsoft.com/office/spreadsheetml/2017/richdata2" ref="B5:C12">
    <sortCondition descending="1" ref="C8"/>
  </sortState>
  <mergeCells count="9">
    <mergeCell ref="B17:E17"/>
    <mergeCell ref="B21:E22"/>
    <mergeCell ref="B4:C4"/>
    <mergeCell ref="F4:G4"/>
    <mergeCell ref="L1:S1"/>
    <mergeCell ref="V1:AC1"/>
    <mergeCell ref="B18:E18"/>
    <mergeCell ref="B19:E19"/>
    <mergeCell ref="B20:E20"/>
  </mergeCells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C387-A12E-4F4B-8DDE-4D1C35EB7C3B}">
  <dimension ref="A1"/>
  <sheetViews>
    <sheetView workbookViewId="0">
      <selection activeCell="J31" sqref="J31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E4E0-29AA-0D4B-B589-C504C161A56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BBF6-191A-BE41-9195-097D21934A0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B4EB-748F-6D40-AF42-7049CEA17CF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49988-6DC6-7542-99EC-F9DA9064EE4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36C2-05FC-0A4A-947A-F79CED3C0F2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5AEE-4EE3-8246-98CB-8433D8AFB58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1816C-A4DC-AC4F-A136-96BECA8FD6B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266E-1B59-F54E-A8DD-55384D25E6C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04B2-4C39-3E43-B040-51139F76712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6235-E6D5-1341-8404-165B5F07889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F35A-A575-504A-BD95-FAAC86D12A9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742E-29A5-734C-89B5-F5DA4AA1F74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9812-16C6-EF41-B548-105ECBE9E9C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C237-51F5-404D-9E17-788482B5773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EEED-0A63-8846-99EF-43497D5AC1A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B5DEA3-5D79-1341-B9E6-1DE5562AB9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Executive Overview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Tammy Le</dc:creator>
  <cp:lastModifiedBy>Tammy Le</cp:lastModifiedBy>
  <dcterms:created xsi:type="dcterms:W3CDTF">2026-09-10T19:36:19Z</dcterms:created>
  <dcterms:modified xsi:type="dcterms:W3CDTF">2026-09-12T01:33:00Z</dcterms:modified>
</cp:coreProperties>
</file>